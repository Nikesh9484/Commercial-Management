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https://theredsea-my.sharepoint.com/personal/wlombard_redseaglobal_com/Documents/P01 - Marina Village/1. Contracts Management/01_Claims Tracker/"/>
    </mc:Choice>
  </mc:AlternateContent>
  <xr:revisionPtr revIDLastSave="163" documentId="8_{DDE6DCCC-5285-4428-960C-BEF463D9EF82}" xr6:coauthVersionLast="47" xr6:coauthVersionMax="47" xr10:uidLastSave="{6D2A6ABD-C4FF-374A-9D53-5BDFA9A13371}"/>
  <bookViews>
    <workbookView xWindow="0" yWindow="600" windowWidth="68800" windowHeight="26720" activeTab="2" xr2:uid="{175CA7D1-FD02-4E60-8417-7EF171076945}"/>
  </bookViews>
  <sheets>
    <sheet name="Required actions" sheetId="1" state="hidden" r:id="rId1"/>
    <sheet name="Summary" sheetId="2" state="hidden" r:id="rId2"/>
    <sheet name="Program_01" sheetId="3" r:id="rId3"/>
  </sheets>
  <externalReferences>
    <externalReference r:id="rId4"/>
  </externalReferences>
  <definedNames>
    <definedName name="_xlnm._FilterDatabase" localSheetId="2" hidden="1">Program_01!$A$14:$CE$183</definedName>
    <definedName name="_xlnm._FilterDatabase" localSheetId="1" hidden="1">Summary!$A$17:$CI$194</definedName>
    <definedName name="_xlnm.Print_Area" localSheetId="2">Program_01!$A$1:$CE$74</definedName>
    <definedName name="_xlnm.Print_Titles" localSheetId="1">Summary!$A:$I,Summary!$1:$14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F176" i="3" l="1"/>
  <c r="BK176" i="3"/>
  <c r="BI176" i="3"/>
  <c r="BF176" i="3"/>
  <c r="BG176" i="3" s="1"/>
  <c r="H176" i="3" a="1"/>
  <c r="G176" i="3" a="1"/>
  <c r="F176" i="3" a="1"/>
  <c r="E176" i="3" a="1"/>
  <c r="CF183" i="3"/>
  <c r="BK183" i="3"/>
  <c r="BI183" i="3"/>
  <c r="BG183" i="3"/>
  <c r="BF183" i="3"/>
  <c r="H183" i="3" a="1"/>
  <c r="G183" i="3" a="1"/>
  <c r="F183" i="3" a="1"/>
  <c r="E183" i="3" a="1"/>
  <c r="CF182" i="3"/>
  <c r="BK182" i="3"/>
  <c r="BI182" i="3"/>
  <c r="BG182" i="3"/>
  <c r="BF182" i="3"/>
  <c r="H182" i="3" a="1"/>
  <c r="G182" i="3" a="1"/>
  <c r="F182" i="3" a="1"/>
  <c r="E182" i="3" a="1"/>
  <c r="CF181" i="3"/>
  <c r="BK181" i="3"/>
  <c r="BI181" i="3"/>
  <c r="BG181" i="3"/>
  <c r="BF181" i="3"/>
  <c r="H181" i="3" a="1"/>
  <c r="G181" i="3" a="1"/>
  <c r="F181" i="3" a="1"/>
  <c r="E181" i="3" a="1"/>
  <c r="CF180" i="3"/>
  <c r="BK180" i="3"/>
  <c r="BI180" i="3"/>
  <c r="BG180" i="3"/>
  <c r="BF180" i="3"/>
  <c r="H180" i="3" a="1"/>
  <c r="G180" i="3" a="1"/>
  <c r="F180" i="3" a="1"/>
  <c r="E180" i="3" a="1"/>
  <c r="CF179" i="3"/>
  <c r="BK179" i="3"/>
  <c r="BI179" i="3"/>
  <c r="BG179" i="3"/>
  <c r="BF179" i="3"/>
  <c r="H179" i="3" a="1"/>
  <c r="G179" i="3" a="1"/>
  <c r="F179" i="3" a="1"/>
  <c r="E179" i="3" a="1"/>
  <c r="CF178" i="3"/>
  <c r="BK178" i="3"/>
  <c r="BI178" i="3"/>
  <c r="BG178" i="3"/>
  <c r="BF178" i="3"/>
  <c r="H178" i="3" a="1"/>
  <c r="G178" i="3" a="1"/>
  <c r="F178" i="3" a="1"/>
  <c r="E178" i="3" a="1"/>
  <c r="CF177" i="3"/>
  <c r="BK177" i="3"/>
  <c r="BI177" i="3"/>
  <c r="BG177" i="3"/>
  <c r="BF177" i="3"/>
  <c r="H177" i="3" a="1"/>
  <c r="G177" i="3" a="1"/>
  <c r="F177" i="3" a="1"/>
  <c r="E177" i="3" a="1"/>
  <c r="CF175" i="3"/>
  <c r="BK175" i="3"/>
  <c r="BI175" i="3"/>
  <c r="BF175" i="3"/>
  <c r="BG175" i="3" s="1"/>
  <c r="H175" i="3" a="1"/>
  <c r="G175" i="3" a="1"/>
  <c r="F175" i="3" a="1"/>
  <c r="E175" i="3" a="1"/>
  <c r="CF174" i="3"/>
  <c r="BK174" i="3"/>
  <c r="BI174" i="3"/>
  <c r="BF174" i="3"/>
  <c r="BG174" i="3" s="1"/>
  <c r="H174" i="3" a="1"/>
  <c r="G174" i="3" a="1"/>
  <c r="F174" i="3" a="1"/>
  <c r="E174" i="3" a="1"/>
  <c r="CF173" i="3"/>
  <c r="BK173" i="3"/>
  <c r="BI173" i="3"/>
  <c r="BF173" i="3"/>
  <c r="BG173" i="3" s="1"/>
  <c r="H173" i="3" a="1"/>
  <c r="G173" i="3" a="1"/>
  <c r="F173" i="3" a="1"/>
  <c r="E173" i="3" a="1"/>
  <c r="CF172" i="3"/>
  <c r="BK172" i="3"/>
  <c r="BI172" i="3"/>
  <c r="BF172" i="3"/>
  <c r="BG172" i="3" s="1"/>
  <c r="H172" i="3" a="1"/>
  <c r="G172" i="3" a="1"/>
  <c r="F172" i="3" a="1"/>
  <c r="E172" i="3" a="1"/>
  <c r="CF171" i="3"/>
  <c r="BK171" i="3"/>
  <c r="BI171" i="3"/>
  <c r="BF171" i="3"/>
  <c r="BG171" i="3" s="1"/>
  <c r="H171" i="3" a="1"/>
  <c r="G171" i="3" a="1"/>
  <c r="F171" i="3" a="1"/>
  <c r="E171" i="3" a="1"/>
  <c r="CF170" i="3"/>
  <c r="BK170" i="3"/>
  <c r="BI170" i="3"/>
  <c r="BF170" i="3"/>
  <c r="BG170" i="3" s="1"/>
  <c r="H170" i="3" a="1"/>
  <c r="G170" i="3" a="1"/>
  <c r="F170" i="3" a="1"/>
  <c r="E170" i="3" a="1"/>
  <c r="CF169" i="3"/>
  <c r="BK169" i="3"/>
  <c r="BI169" i="3"/>
  <c r="BF169" i="3"/>
  <c r="BG169" i="3" s="1"/>
  <c r="H169" i="3" a="1"/>
  <c r="G169" i="3" a="1"/>
  <c r="F169" i="3" a="1"/>
  <c r="E169" i="3" a="1"/>
  <c r="CF168" i="3"/>
  <c r="BK168" i="3"/>
  <c r="BI168" i="3"/>
  <c r="BF168" i="3"/>
  <c r="BG168" i="3" s="1"/>
  <c r="H168" i="3" a="1"/>
  <c r="G168" i="3" a="1"/>
  <c r="F168" i="3" a="1"/>
  <c r="E168" i="3" a="1"/>
  <c r="CF167" i="3"/>
  <c r="BK167" i="3"/>
  <c r="BI167" i="3"/>
  <c r="BF167" i="3"/>
  <c r="BG167" i="3" s="1"/>
  <c r="H167" i="3" a="1"/>
  <c r="G167" i="3" a="1"/>
  <c r="F167" i="3" a="1"/>
  <c r="E167" i="3" a="1"/>
  <c r="CF166" i="3"/>
  <c r="BK166" i="3"/>
  <c r="BI166" i="3"/>
  <c r="BF166" i="3"/>
  <c r="BG166" i="3" s="1"/>
  <c r="H166" i="3" a="1"/>
  <c r="G166" i="3" a="1"/>
  <c r="F166" i="3" a="1"/>
  <c r="E166" i="3" a="1"/>
  <c r="CF165" i="3"/>
  <c r="BK165" i="3"/>
  <c r="BI165" i="3"/>
  <c r="BF165" i="3"/>
  <c r="BG165" i="3" s="1"/>
  <c r="H165" i="3" a="1"/>
  <c r="G165" i="3" a="1"/>
  <c r="F165" i="3" a="1"/>
  <c r="E165" i="3" a="1"/>
  <c r="CF164" i="3"/>
  <c r="BK164" i="3"/>
  <c r="BI164" i="3"/>
  <c r="BF164" i="3"/>
  <c r="BG164" i="3" s="1"/>
  <c r="H164" i="3" a="1"/>
  <c r="G164" i="3" a="1"/>
  <c r="F164" i="3" a="1"/>
  <c r="E164" i="3" a="1"/>
  <c r="CF163" i="3"/>
  <c r="BK163" i="3"/>
  <c r="BI163" i="3"/>
  <c r="BF163" i="3"/>
  <c r="BG163" i="3" s="1"/>
  <c r="H163" i="3" a="1"/>
  <c r="G163" i="3" a="1"/>
  <c r="F163" i="3" a="1"/>
  <c r="E163" i="3" a="1"/>
  <c r="CF162" i="3"/>
  <c r="BK162" i="3"/>
  <c r="BI162" i="3"/>
  <c r="BF162" i="3"/>
  <c r="BG162" i="3" s="1"/>
  <c r="AO162" i="3"/>
  <c r="H162" i="3" a="1"/>
  <c r="G162" i="3" a="1"/>
  <c r="F162" i="3" a="1"/>
  <c r="E162" i="3" a="1"/>
  <c r="CF161" i="3"/>
  <c r="BK161" i="3"/>
  <c r="BI161" i="3"/>
  <c r="BF161" i="3"/>
  <c r="BG161" i="3" s="1"/>
  <c r="H161" i="3" a="1"/>
  <c r="G161" i="3" a="1"/>
  <c r="F161" i="3" a="1"/>
  <c r="E161" i="3" a="1"/>
  <c r="CF160" i="3"/>
  <c r="BK160" i="3"/>
  <c r="BI160" i="3"/>
  <c r="BF160" i="3"/>
  <c r="BG160" i="3" s="1"/>
  <c r="H160" i="3" a="1"/>
  <c r="G160" i="3" a="1"/>
  <c r="F160" i="3" a="1"/>
  <c r="E160" i="3" a="1"/>
  <c r="CF159" i="3"/>
  <c r="BK159" i="3"/>
  <c r="BI159" i="3"/>
  <c r="BF159" i="3"/>
  <c r="BG159" i="3" s="1"/>
  <c r="H159" i="3" a="1"/>
  <c r="G159" i="3" a="1"/>
  <c r="F159" i="3" a="1"/>
  <c r="E159" i="3" a="1"/>
  <c r="CF158" i="3"/>
  <c r="BK158" i="3"/>
  <c r="BI158" i="3"/>
  <c r="BF158" i="3"/>
  <c r="BG158" i="3" s="1"/>
  <c r="H158" i="3" a="1"/>
  <c r="G158" i="3" a="1"/>
  <c r="F158" i="3" a="1"/>
  <c r="E158" i="3" a="1"/>
  <c r="CF157" i="3"/>
  <c r="BK157" i="3"/>
  <c r="BI157" i="3"/>
  <c r="BF157" i="3"/>
  <c r="BG157" i="3" s="1"/>
  <c r="H157" i="3" a="1"/>
  <c r="G157" i="3" a="1"/>
  <c r="F157" i="3" a="1"/>
  <c r="E157" i="3" a="1"/>
  <c r="CF156" i="3"/>
  <c r="BK156" i="3"/>
  <c r="BI156" i="3"/>
  <c r="BF156" i="3"/>
  <c r="BG156" i="3" s="1"/>
  <c r="H156" i="3" a="1"/>
  <c r="G156" i="3" a="1"/>
  <c r="F156" i="3" a="1"/>
  <c r="E156" i="3" a="1"/>
  <c r="CF155" i="3"/>
  <c r="BK155" i="3"/>
  <c r="BI155" i="3"/>
  <c r="BF155" i="3"/>
  <c r="BG155" i="3" s="1"/>
  <c r="H155" i="3" a="1"/>
  <c r="G155" i="3" a="1"/>
  <c r="F155" i="3" a="1"/>
  <c r="E155" i="3" a="1"/>
  <c r="CF154" i="3"/>
  <c r="BK154" i="3"/>
  <c r="BI154" i="3"/>
  <c r="BF154" i="3"/>
  <c r="BG154" i="3" s="1"/>
  <c r="AO154" i="3"/>
  <c r="H154" i="3" a="1"/>
  <c r="G154" i="3" a="1"/>
  <c r="F154" i="3" a="1"/>
  <c r="E154" i="3" a="1"/>
  <c r="CF153" i="3"/>
  <c r="BK153" i="3"/>
  <c r="BI153" i="3"/>
  <c r="BF153" i="3"/>
  <c r="BG153" i="3" s="1"/>
  <c r="H153" i="3" a="1"/>
  <c r="G153" i="3" a="1"/>
  <c r="F153" i="3" a="1"/>
  <c r="E153" i="3" a="1"/>
  <c r="CF152" i="3"/>
  <c r="BK152" i="3"/>
  <c r="BI152" i="3"/>
  <c r="BF152" i="3"/>
  <c r="BG152" i="3" s="1"/>
  <c r="AO152" i="3"/>
  <c r="H152" i="3" a="1"/>
  <c r="G152" i="3" a="1"/>
  <c r="F152" i="3" a="1"/>
  <c r="E152" i="3" a="1"/>
  <c r="CF151" i="3"/>
  <c r="BK151" i="3"/>
  <c r="BI151" i="3"/>
  <c r="BF151" i="3"/>
  <c r="BG151" i="3" s="1"/>
  <c r="H151" i="3" a="1"/>
  <c r="G151" i="3" a="1"/>
  <c r="F151" i="3" a="1"/>
  <c r="E151" i="3" a="1"/>
  <c r="CF150" i="3"/>
  <c r="BK150" i="3"/>
  <c r="BI150" i="3"/>
  <c r="BF150" i="3"/>
  <c r="BG150" i="3" s="1"/>
  <c r="H150" i="3" a="1"/>
  <c r="G150" i="3" a="1"/>
  <c r="F150" i="3" a="1"/>
  <c r="E150" i="3" a="1"/>
  <c r="CF149" i="3"/>
  <c r="BK149" i="3"/>
  <c r="BI149" i="3"/>
  <c r="BF149" i="3"/>
  <c r="BG149" i="3" s="1"/>
  <c r="H149" i="3" a="1"/>
  <c r="G149" i="3" a="1"/>
  <c r="F149" i="3" a="1"/>
  <c r="E149" i="3" a="1"/>
  <c r="CF148" i="3"/>
  <c r="BK148" i="3"/>
  <c r="BI148" i="3"/>
  <c r="BF148" i="3"/>
  <c r="BG148" i="3" s="1"/>
  <c r="H148" i="3" a="1"/>
  <c r="G148" i="3" a="1"/>
  <c r="F148" i="3" a="1"/>
  <c r="E148" i="3" a="1"/>
  <c r="CF147" i="3"/>
  <c r="BK147" i="3"/>
  <c r="BI147" i="3"/>
  <c r="BF147" i="3"/>
  <c r="BG147" i="3" s="1"/>
  <c r="H147" i="3" a="1"/>
  <c r="G147" i="3" a="1"/>
  <c r="F147" i="3" a="1"/>
  <c r="E147" i="3" a="1"/>
  <c r="CF146" i="3"/>
  <c r="BK146" i="3"/>
  <c r="BI146" i="3"/>
  <c r="BF146" i="3"/>
  <c r="BG146" i="3" s="1"/>
  <c r="H146" i="3" a="1"/>
  <c r="G146" i="3" a="1"/>
  <c r="F146" i="3" a="1"/>
  <c r="E146" i="3" a="1"/>
  <c r="CF145" i="3"/>
  <c r="BK145" i="3"/>
  <c r="BI145" i="3"/>
  <c r="BF145" i="3"/>
  <c r="BG145" i="3" s="1"/>
  <c r="H145" i="3" a="1"/>
  <c r="G145" i="3" a="1"/>
  <c r="F145" i="3" a="1"/>
  <c r="E145" i="3" a="1"/>
  <c r="CF144" i="3"/>
  <c r="BK144" i="3"/>
  <c r="BI144" i="3"/>
  <c r="BF144" i="3"/>
  <c r="BG144" i="3" s="1"/>
  <c r="H144" i="3" a="1"/>
  <c r="G144" i="3" a="1"/>
  <c r="F144" i="3" a="1"/>
  <c r="E144" i="3" a="1"/>
  <c r="CF143" i="3"/>
  <c r="BK143" i="3"/>
  <c r="BI143" i="3"/>
  <c r="BF143" i="3"/>
  <c r="BG143" i="3" s="1"/>
  <c r="H143" i="3" a="1"/>
  <c r="G143" i="3" a="1"/>
  <c r="F143" i="3" a="1"/>
  <c r="E143" i="3" a="1"/>
  <c r="CF142" i="3"/>
  <c r="BK142" i="3"/>
  <c r="BI142" i="3"/>
  <c r="BF142" i="3"/>
  <c r="BG142" i="3" s="1"/>
  <c r="H142" i="3" a="1"/>
  <c r="G142" i="3" a="1"/>
  <c r="F142" i="3" a="1"/>
  <c r="E142" i="3" a="1"/>
  <c r="CF141" i="3"/>
  <c r="BK141" i="3"/>
  <c r="BI141" i="3"/>
  <c r="BF141" i="3"/>
  <c r="BG141" i="3" s="1"/>
  <c r="H141" i="3" a="1"/>
  <c r="G141" i="3" a="1"/>
  <c r="F141" i="3" a="1"/>
  <c r="E141" i="3" a="1"/>
  <c r="CF140" i="3"/>
  <c r="BK140" i="3"/>
  <c r="BI140" i="3"/>
  <c r="BF140" i="3"/>
  <c r="BG140" i="3" s="1"/>
  <c r="H140" i="3" a="1"/>
  <c r="G140" i="3" a="1"/>
  <c r="F140" i="3" a="1"/>
  <c r="E140" i="3" a="1"/>
  <c r="CF139" i="3"/>
  <c r="BK139" i="3"/>
  <c r="BI139" i="3"/>
  <c r="BF139" i="3"/>
  <c r="BG139" i="3" s="1"/>
  <c r="H139" i="3" a="1"/>
  <c r="G139" i="3" a="1"/>
  <c r="F139" i="3" a="1"/>
  <c r="E139" i="3" a="1"/>
  <c r="CF138" i="3"/>
  <c r="BK138" i="3"/>
  <c r="BI138" i="3"/>
  <c r="BF138" i="3"/>
  <c r="BG138" i="3" s="1"/>
  <c r="H138" i="3" a="1"/>
  <c r="G138" i="3" a="1"/>
  <c r="F138" i="3" a="1"/>
  <c r="E138" i="3" a="1"/>
  <c r="CF137" i="3"/>
  <c r="BK137" i="3"/>
  <c r="BI137" i="3"/>
  <c r="BF137" i="3"/>
  <c r="BG137" i="3" s="1"/>
  <c r="AO137" i="3"/>
  <c r="H137" i="3" a="1"/>
  <c r="G137" i="3" a="1"/>
  <c r="F137" i="3" a="1"/>
  <c r="E137" i="3" a="1"/>
  <c r="CF136" i="3"/>
  <c r="BK136" i="3"/>
  <c r="BI136" i="3"/>
  <c r="BF136" i="3"/>
  <c r="BG136" i="3" s="1"/>
  <c r="H136" i="3" a="1"/>
  <c r="G136" i="3" a="1"/>
  <c r="F136" i="3" a="1"/>
  <c r="E136" i="3" a="1"/>
  <c r="CF135" i="3"/>
  <c r="BK135" i="3"/>
  <c r="BI135" i="3"/>
  <c r="BF135" i="3"/>
  <c r="BG135" i="3" s="1"/>
  <c r="AO135" i="3"/>
  <c r="H135" i="3" a="1"/>
  <c r="G135" i="3" a="1"/>
  <c r="F135" i="3" a="1"/>
  <c r="E135" i="3" a="1"/>
  <c r="CF134" i="3"/>
  <c r="BK134" i="3"/>
  <c r="BI134" i="3"/>
  <c r="BF134" i="3"/>
  <c r="BG134" i="3" s="1"/>
  <c r="AO134" i="3"/>
  <c r="H134" i="3" a="1"/>
  <c r="G134" i="3" a="1"/>
  <c r="F134" i="3" a="1"/>
  <c r="E134" i="3" a="1"/>
  <c r="CF133" i="3"/>
  <c r="BK133" i="3"/>
  <c r="BI133" i="3"/>
  <c r="BF133" i="3"/>
  <c r="BG133" i="3" s="1"/>
  <c r="H133" i="3" a="1"/>
  <c r="G133" i="3" a="1"/>
  <c r="F133" i="3" a="1"/>
  <c r="E133" i="3" a="1"/>
  <c r="CF132" i="3"/>
  <c r="BK132" i="3"/>
  <c r="BI132" i="3"/>
  <c r="BF132" i="3"/>
  <c r="BG132" i="3" s="1"/>
  <c r="H132" i="3" a="1"/>
  <c r="G132" i="3" a="1"/>
  <c r="F132" i="3" a="1"/>
  <c r="E132" i="3" a="1"/>
  <c r="CF131" i="3"/>
  <c r="BK131" i="3"/>
  <c r="BI131" i="3"/>
  <c r="BF131" i="3"/>
  <c r="BG131" i="3" s="1"/>
  <c r="H131" i="3" a="1"/>
  <c r="G131" i="3" a="1"/>
  <c r="F131" i="3" a="1"/>
  <c r="E131" i="3" a="1"/>
  <c r="CF130" i="3"/>
  <c r="BK130" i="3"/>
  <c r="BI130" i="3"/>
  <c r="BF130" i="3"/>
  <c r="BG130" i="3" s="1"/>
  <c r="H130" i="3" a="1"/>
  <c r="G130" i="3" a="1"/>
  <c r="F130" i="3" a="1"/>
  <c r="E130" i="3" a="1"/>
  <c r="CF129" i="3"/>
  <c r="BK129" i="3"/>
  <c r="BI129" i="3"/>
  <c r="BF129" i="3"/>
  <c r="BG129" i="3" s="1"/>
  <c r="AO129" i="3"/>
  <c r="H129" i="3" a="1"/>
  <c r="G129" i="3" a="1"/>
  <c r="F129" i="3" a="1"/>
  <c r="E129" i="3" a="1"/>
  <c r="CF128" i="3"/>
  <c r="BK128" i="3"/>
  <c r="BI128" i="3"/>
  <c r="BF128" i="3"/>
  <c r="BG128" i="3" s="1"/>
  <c r="AO128" i="3"/>
  <c r="H128" i="3" a="1"/>
  <c r="G128" i="3" a="1"/>
  <c r="F128" i="3" a="1"/>
  <c r="E128" i="3" a="1"/>
  <c r="CF127" i="3"/>
  <c r="BK127" i="3"/>
  <c r="BI127" i="3"/>
  <c r="BF127" i="3"/>
  <c r="BG127" i="3" s="1"/>
  <c r="AO127" i="3"/>
  <c r="H127" i="3" a="1"/>
  <c r="G127" i="3" a="1"/>
  <c r="F127" i="3" a="1"/>
  <c r="E127" i="3" a="1"/>
  <c r="CF126" i="3"/>
  <c r="BK126" i="3"/>
  <c r="BI126" i="3"/>
  <c r="BF126" i="3"/>
  <c r="BG126" i="3" s="1"/>
  <c r="H126" i="3" a="1"/>
  <c r="G126" i="3" a="1"/>
  <c r="F126" i="3" a="1"/>
  <c r="E126" i="3" a="1"/>
  <c r="CF125" i="3"/>
  <c r="BK125" i="3"/>
  <c r="BI125" i="3"/>
  <c r="BF125" i="3"/>
  <c r="BG125" i="3" s="1"/>
  <c r="H125" i="3" a="1"/>
  <c r="G125" i="3" a="1"/>
  <c r="F125" i="3" a="1"/>
  <c r="E125" i="3" a="1"/>
  <c r="CF124" i="3"/>
  <c r="BK124" i="3"/>
  <c r="BI124" i="3"/>
  <c r="BF124" i="3"/>
  <c r="BG124" i="3" s="1"/>
  <c r="AO124" i="3"/>
  <c r="H124" i="3" a="1"/>
  <c r="G124" i="3" a="1"/>
  <c r="F124" i="3" a="1"/>
  <c r="E124" i="3" a="1"/>
  <c r="CF123" i="3"/>
  <c r="BK123" i="3"/>
  <c r="BI123" i="3"/>
  <c r="BF123" i="3"/>
  <c r="BG123" i="3" s="1"/>
  <c r="H123" i="3" a="1"/>
  <c r="G123" i="3" a="1"/>
  <c r="F123" i="3" a="1"/>
  <c r="E123" i="3" a="1"/>
  <c r="CF122" i="3"/>
  <c r="BK122" i="3"/>
  <c r="BI122" i="3"/>
  <c r="BF122" i="3"/>
  <c r="BG122" i="3" s="1"/>
  <c r="AO122" i="3"/>
  <c r="H122" i="3" a="1"/>
  <c r="G122" i="3" a="1"/>
  <c r="F122" i="3" a="1"/>
  <c r="E122" i="3" a="1"/>
  <c r="CF121" i="3"/>
  <c r="BK121" i="3"/>
  <c r="BI121" i="3"/>
  <c r="BF121" i="3"/>
  <c r="BG121" i="3" s="1"/>
  <c r="H121" i="3" a="1"/>
  <c r="G121" i="3" a="1"/>
  <c r="F121" i="3" a="1"/>
  <c r="E121" i="3" a="1"/>
  <c r="CF120" i="3"/>
  <c r="BK120" i="3"/>
  <c r="BI120" i="3"/>
  <c r="BF120" i="3"/>
  <c r="BG120" i="3" s="1"/>
  <c r="H120" i="3" a="1"/>
  <c r="G120" i="3" a="1"/>
  <c r="F120" i="3" a="1"/>
  <c r="E120" i="3" a="1"/>
  <c r="CF119" i="3"/>
  <c r="BK119" i="3"/>
  <c r="BI119" i="3"/>
  <c r="BF119" i="3"/>
  <c r="BG119" i="3" s="1"/>
  <c r="H119" i="3" a="1"/>
  <c r="G119" i="3" a="1"/>
  <c r="F119" i="3" a="1"/>
  <c r="E119" i="3" a="1"/>
  <c r="CF118" i="3"/>
  <c r="BK118" i="3"/>
  <c r="BI118" i="3"/>
  <c r="BF118" i="3"/>
  <c r="BG118" i="3" s="1"/>
  <c r="H118" i="3" a="1"/>
  <c r="G118" i="3" a="1"/>
  <c r="F118" i="3" a="1"/>
  <c r="E118" i="3" a="1"/>
  <c r="CF117" i="3"/>
  <c r="BK117" i="3"/>
  <c r="BI117" i="3"/>
  <c r="BF117" i="3"/>
  <c r="BG117" i="3" s="1"/>
  <c r="AT117" i="3"/>
  <c r="H117" i="3" a="1"/>
  <c r="G117" i="3" a="1"/>
  <c r="F117" i="3" a="1"/>
  <c r="E117" i="3" a="1"/>
  <c r="CF116" i="3"/>
  <c r="BK116" i="3"/>
  <c r="BI116" i="3"/>
  <c r="BF116" i="3"/>
  <c r="BG116" i="3" s="1"/>
  <c r="H116" i="3" a="1"/>
  <c r="G116" i="3" a="1"/>
  <c r="F116" i="3" a="1"/>
  <c r="E116" i="3" a="1"/>
  <c r="CF115" i="3"/>
  <c r="BK115" i="3"/>
  <c r="BI115" i="3"/>
  <c r="BF115" i="3"/>
  <c r="BG115" i="3" s="1"/>
  <c r="H115" i="3" a="1"/>
  <c r="G115" i="3" a="1"/>
  <c r="F115" i="3" a="1"/>
  <c r="E115" i="3" a="1"/>
  <c r="CF114" i="3"/>
  <c r="BK114" i="3"/>
  <c r="BI114" i="3"/>
  <c r="BF114" i="3"/>
  <c r="BG114" i="3" s="1"/>
  <c r="AO114" i="3"/>
  <c r="H114" i="3" a="1"/>
  <c r="G114" i="3" a="1"/>
  <c r="F114" i="3" a="1"/>
  <c r="E114" i="3" a="1"/>
  <c r="CF113" i="3"/>
  <c r="BK113" i="3"/>
  <c r="BI113" i="3"/>
  <c r="BF113" i="3"/>
  <c r="BG113" i="3" s="1"/>
  <c r="AO113" i="3"/>
  <c r="H113" i="3" a="1"/>
  <c r="G113" i="3" a="1"/>
  <c r="F113" i="3" a="1"/>
  <c r="E113" i="3" a="1"/>
  <c r="CF112" i="3"/>
  <c r="BK112" i="3"/>
  <c r="BI112" i="3"/>
  <c r="BF112" i="3"/>
  <c r="BG112" i="3" s="1"/>
  <c r="AO112" i="3"/>
  <c r="H112" i="3" a="1"/>
  <c r="G112" i="3" a="1"/>
  <c r="F112" i="3" a="1"/>
  <c r="E112" i="3" a="1"/>
  <c r="CF111" i="3"/>
  <c r="BK111" i="3"/>
  <c r="BI111" i="3"/>
  <c r="BF111" i="3"/>
  <c r="BG111" i="3" s="1"/>
  <c r="AO111" i="3"/>
  <c r="H111" i="3" a="1"/>
  <c r="G111" i="3" a="1"/>
  <c r="F111" i="3" a="1"/>
  <c r="E111" i="3" a="1"/>
  <c r="CF110" i="3"/>
  <c r="BK110" i="3"/>
  <c r="BI110" i="3"/>
  <c r="BF110" i="3"/>
  <c r="BG110" i="3" s="1"/>
  <c r="AO110" i="3"/>
  <c r="H110" i="3" a="1"/>
  <c r="G110" i="3" a="1"/>
  <c r="F110" i="3" a="1"/>
  <c r="E110" i="3" a="1"/>
  <c r="CF109" i="3"/>
  <c r="BK109" i="3"/>
  <c r="BI109" i="3"/>
  <c r="BF109" i="3"/>
  <c r="BG109" i="3" s="1"/>
  <c r="AO109" i="3"/>
  <c r="AE109" i="3"/>
  <c r="H109" i="3" a="1"/>
  <c r="G109" i="3" a="1"/>
  <c r="F109" i="3" a="1"/>
  <c r="E109" i="3" a="1"/>
  <c r="CF108" i="3"/>
  <c r="BK108" i="3"/>
  <c r="BI108" i="3"/>
  <c r="BF108" i="3"/>
  <c r="BG108" i="3" s="1"/>
  <c r="AO108" i="3"/>
  <c r="H108" i="3" a="1"/>
  <c r="G108" i="3" a="1"/>
  <c r="F108" i="3" a="1"/>
  <c r="E108" i="3" a="1"/>
  <c r="CF107" i="3"/>
  <c r="BK107" i="3"/>
  <c r="BI107" i="3"/>
  <c r="BF107" i="3"/>
  <c r="BG107" i="3" s="1"/>
  <c r="H107" i="3" a="1"/>
  <c r="G107" i="3" a="1"/>
  <c r="F107" i="3" a="1"/>
  <c r="E107" i="3" a="1"/>
  <c r="CF106" i="3"/>
  <c r="BK106" i="3"/>
  <c r="BI106" i="3"/>
  <c r="BF106" i="3"/>
  <c r="BG106" i="3" s="1"/>
  <c r="H106" i="3" a="1"/>
  <c r="G106" i="3" a="1"/>
  <c r="F106" i="3" a="1"/>
  <c r="E106" i="3" a="1"/>
  <c r="CF105" i="3"/>
  <c r="BK105" i="3"/>
  <c r="BI105" i="3"/>
  <c r="BF105" i="3"/>
  <c r="BG105" i="3" s="1"/>
  <c r="H105" i="3" a="1"/>
  <c r="G105" i="3" a="1"/>
  <c r="F105" i="3" a="1"/>
  <c r="E105" i="3" a="1"/>
  <c r="CF104" i="3"/>
  <c r="BK104" i="3"/>
  <c r="BI104" i="3"/>
  <c r="BF104" i="3"/>
  <c r="BG104" i="3" s="1"/>
  <c r="H104" i="3" a="1"/>
  <c r="G104" i="3" a="1"/>
  <c r="F104" i="3" a="1"/>
  <c r="E104" i="3" a="1"/>
  <c r="CF103" i="3"/>
  <c r="BK103" i="3"/>
  <c r="BI103" i="3"/>
  <c r="BF103" i="3"/>
  <c r="BG103" i="3" s="1"/>
  <c r="H103" i="3" a="1"/>
  <c r="G103" i="3" a="1"/>
  <c r="F103" i="3" a="1"/>
  <c r="E103" i="3" a="1"/>
  <c r="CF102" i="3"/>
  <c r="BK102" i="3"/>
  <c r="BI102" i="3"/>
  <c r="BF102" i="3"/>
  <c r="BG102" i="3" s="1"/>
  <c r="H102" i="3" a="1"/>
  <c r="G102" i="3" a="1"/>
  <c r="F102" i="3" a="1"/>
  <c r="E102" i="3" a="1"/>
  <c r="CF101" i="3"/>
  <c r="BK101" i="3"/>
  <c r="BI101" i="3"/>
  <c r="BF101" i="3"/>
  <c r="BG101" i="3" s="1"/>
  <c r="H101" i="3" a="1"/>
  <c r="G101" i="3" a="1"/>
  <c r="F101" i="3" a="1"/>
  <c r="E101" i="3" a="1"/>
  <c r="CF100" i="3"/>
  <c r="BK100" i="3"/>
  <c r="BI100" i="3"/>
  <c r="BF100" i="3"/>
  <c r="BG100" i="3" s="1"/>
  <c r="H100" i="3" a="1"/>
  <c r="G100" i="3" a="1"/>
  <c r="F100" i="3" a="1"/>
  <c r="E100" i="3" a="1"/>
  <c r="CF99" i="3"/>
  <c r="BK99" i="3"/>
  <c r="BI99" i="3"/>
  <c r="BF99" i="3"/>
  <c r="BG99" i="3" s="1"/>
  <c r="H99" i="3" a="1"/>
  <c r="G99" i="3" a="1"/>
  <c r="F99" i="3" a="1"/>
  <c r="E99" i="3" a="1"/>
  <c r="CF98" i="3"/>
  <c r="BK98" i="3"/>
  <c r="BI98" i="3"/>
  <c r="BF98" i="3"/>
  <c r="BG98" i="3" s="1"/>
  <c r="H98" i="3" a="1"/>
  <c r="G98" i="3" a="1"/>
  <c r="F98" i="3" a="1"/>
  <c r="E98" i="3" a="1"/>
  <c r="CF97" i="3"/>
  <c r="BK97" i="3"/>
  <c r="BI97" i="3"/>
  <c r="BF97" i="3"/>
  <c r="BG97" i="3" s="1"/>
  <c r="H97" i="3" a="1"/>
  <c r="G97" i="3" a="1"/>
  <c r="F97" i="3" a="1"/>
  <c r="E97" i="3" a="1"/>
  <c r="CF96" i="3"/>
  <c r="BK96" i="3"/>
  <c r="BI96" i="3"/>
  <c r="BF96" i="3"/>
  <c r="BG96" i="3" s="1"/>
  <c r="H96" i="3" a="1"/>
  <c r="G96" i="3" a="1"/>
  <c r="F96" i="3" a="1"/>
  <c r="E96" i="3" a="1"/>
  <c r="CF95" i="3"/>
  <c r="BK95" i="3"/>
  <c r="BI95" i="3"/>
  <c r="BF95" i="3"/>
  <c r="BG95" i="3" s="1"/>
  <c r="H95" i="3" a="1"/>
  <c r="G95" i="3" a="1"/>
  <c r="F95" i="3" a="1"/>
  <c r="E95" i="3" a="1"/>
  <c r="BK94" i="3"/>
  <c r="BI94" i="3"/>
  <c r="BF94" i="3"/>
  <c r="BG94" i="3" s="1"/>
  <c r="H94" i="3" a="1"/>
  <c r="G94" i="3" a="1"/>
  <c r="F94" i="3" a="1"/>
  <c r="E94" i="3" a="1"/>
  <c r="BK93" i="3"/>
  <c r="BI93" i="3"/>
  <c r="BF93" i="3"/>
  <c r="BG93" i="3" s="1"/>
  <c r="H93" i="3" a="1"/>
  <c r="G93" i="3" a="1"/>
  <c r="F93" i="3" a="1"/>
  <c r="E93" i="3" a="1"/>
  <c r="BK92" i="3"/>
  <c r="BI92" i="3"/>
  <c r="BF92" i="3"/>
  <c r="BG92" i="3" s="1"/>
  <c r="H92" i="3" a="1"/>
  <c r="G92" i="3" a="1"/>
  <c r="F92" i="3" a="1"/>
  <c r="E92" i="3" a="1"/>
  <c r="BK91" i="3"/>
  <c r="BI91" i="3"/>
  <c r="BF91" i="3"/>
  <c r="BG91" i="3" s="1"/>
  <c r="H91" i="3" a="1"/>
  <c r="G91" i="3" a="1"/>
  <c r="F91" i="3" a="1"/>
  <c r="E91" i="3" a="1"/>
  <c r="BK90" i="3"/>
  <c r="BI90" i="3"/>
  <c r="BF90" i="3"/>
  <c r="BG90" i="3" s="1"/>
  <c r="H90" i="3" a="1"/>
  <c r="G90" i="3" a="1"/>
  <c r="F90" i="3" a="1"/>
  <c r="E90" i="3" a="1"/>
  <c r="BK89" i="3"/>
  <c r="BI89" i="3"/>
  <c r="BF89" i="3"/>
  <c r="BG89" i="3" s="1"/>
  <c r="H89" i="3" a="1"/>
  <c r="G89" i="3" a="1"/>
  <c r="F89" i="3" a="1"/>
  <c r="E89" i="3" a="1"/>
  <c r="BK88" i="3"/>
  <c r="BI88" i="3"/>
  <c r="BF88" i="3"/>
  <c r="BG88" i="3" s="1"/>
  <c r="H88" i="3" a="1"/>
  <c r="G88" i="3" a="1"/>
  <c r="F88" i="3" a="1"/>
  <c r="E88" i="3" a="1"/>
  <c r="BK87" i="3"/>
  <c r="BI87" i="3"/>
  <c r="BF87" i="3"/>
  <c r="BG87" i="3" s="1"/>
  <c r="H87" i="3" a="1"/>
  <c r="G87" i="3" a="1"/>
  <c r="F87" i="3" a="1"/>
  <c r="E87" i="3" a="1"/>
  <c r="BK86" i="3"/>
  <c r="BI86" i="3"/>
  <c r="BF86" i="3"/>
  <c r="BG86" i="3" s="1"/>
  <c r="H86" i="3" a="1"/>
  <c r="G86" i="3" a="1"/>
  <c r="F86" i="3" a="1"/>
  <c r="E86" i="3" a="1"/>
  <c r="CD85" i="3"/>
  <c r="BK85" i="3"/>
  <c r="BI85" i="3"/>
  <c r="BF85" i="3"/>
  <c r="BG85" i="3" s="1"/>
  <c r="R85" i="3"/>
  <c r="H85" i="3" a="1"/>
  <c r="G85" i="3" a="1"/>
  <c r="F85" i="3" a="1"/>
  <c r="E85" i="3" a="1"/>
  <c r="CD84" i="3"/>
  <c r="BK84" i="3"/>
  <c r="BI84" i="3"/>
  <c r="BF84" i="3"/>
  <c r="BG84" i="3" s="1"/>
  <c r="R84" i="3"/>
  <c r="H84" i="3" a="1"/>
  <c r="G84" i="3" a="1"/>
  <c r="F84" i="3" a="1"/>
  <c r="E84" i="3" a="1"/>
  <c r="CD83" i="3"/>
  <c r="BK83" i="3"/>
  <c r="BI83" i="3"/>
  <c r="BF83" i="3"/>
  <c r="BG83" i="3" s="1"/>
  <c r="H83" i="3" a="1"/>
  <c r="G83" i="3" a="1"/>
  <c r="F83" i="3" a="1"/>
  <c r="E83" i="3" a="1"/>
  <c r="A83" i="3"/>
  <c r="CF82" i="3"/>
  <c r="CD82" i="3"/>
  <c r="BK82" i="3"/>
  <c r="BH86" i="2" s="1"/>
  <c r="BI82" i="3"/>
  <c r="BF86" i="2" s="1"/>
  <c r="BF82" i="3"/>
  <c r="H82" i="3" a="1"/>
  <c r="H86" i="2" s="1"/>
  <c r="G82" i="3" a="1"/>
  <c r="G86" i="2" s="1"/>
  <c r="F82" i="3" a="1"/>
  <c r="F86" i="2" s="1"/>
  <c r="E82" i="3" a="1"/>
  <c r="E86" i="2" s="1"/>
  <c r="CF81" i="3"/>
  <c r="CD81" i="3"/>
  <c r="BK81" i="3"/>
  <c r="BH85" i="2" s="1"/>
  <c r="BI81" i="3"/>
  <c r="BF85" i="2" s="1"/>
  <c r="BF81" i="3"/>
  <c r="H81" i="3" a="1"/>
  <c r="H85" i="2" s="1"/>
  <c r="G81" i="3" a="1"/>
  <c r="G85" i="2" s="1"/>
  <c r="F81" i="3" a="1"/>
  <c r="F85" i="2" s="1"/>
  <c r="E81" i="3" a="1"/>
  <c r="E85" i="2" s="1"/>
  <c r="CF80" i="3"/>
  <c r="CD80" i="3"/>
  <c r="BK80" i="3"/>
  <c r="BH84" i="2" s="1"/>
  <c r="BI80" i="3"/>
  <c r="BF84" i="2" s="1"/>
  <c r="BF80" i="3"/>
  <c r="H80" i="3" a="1"/>
  <c r="H84" i="2" s="1"/>
  <c r="G80" i="3" a="1"/>
  <c r="G84" i="2" s="1"/>
  <c r="F80" i="3" a="1"/>
  <c r="F84" i="2" s="1"/>
  <c r="E80" i="3" a="1"/>
  <c r="E84" i="2" s="1"/>
  <c r="CF79" i="3"/>
  <c r="CD79" i="3"/>
  <c r="BK79" i="3"/>
  <c r="BH83" i="2" s="1"/>
  <c r="BI79" i="3"/>
  <c r="BF83" i="2" s="1"/>
  <c r="BF79" i="3"/>
  <c r="H79" i="3" a="1"/>
  <c r="H83" i="2" s="1"/>
  <c r="G79" i="3" a="1"/>
  <c r="G83" i="2" s="1"/>
  <c r="F79" i="3" a="1"/>
  <c r="F83" i="2" s="1"/>
  <c r="E79" i="3" a="1"/>
  <c r="E83" i="2" s="1"/>
  <c r="CF78" i="3"/>
  <c r="CD78" i="3"/>
  <c r="BK78" i="3"/>
  <c r="BH82" i="2" s="1"/>
  <c r="BI78" i="3"/>
  <c r="BF82" i="2" s="1"/>
  <c r="BF78" i="3"/>
  <c r="AO78" i="3"/>
  <c r="H78" i="3" a="1"/>
  <c r="H82" i="2" s="1"/>
  <c r="G78" i="3" a="1"/>
  <c r="G82" i="2" s="1"/>
  <c r="F78" i="3" a="1"/>
  <c r="F82" i="2" s="1"/>
  <c r="E78" i="3" a="1"/>
  <c r="E82" i="2" s="1"/>
  <c r="CF77" i="3"/>
  <c r="CD77" i="3"/>
  <c r="BK77" i="3"/>
  <c r="BH81" i="2" s="1"/>
  <c r="BI77" i="3"/>
  <c r="BF81" i="2" s="1"/>
  <c r="BF77" i="3"/>
  <c r="H77" i="3" a="1"/>
  <c r="H81" i="2" s="1"/>
  <c r="G77" i="3" a="1"/>
  <c r="G81" i="2" s="1"/>
  <c r="F77" i="3" a="1"/>
  <c r="F81" i="2" s="1"/>
  <c r="E77" i="3" a="1"/>
  <c r="E81" i="2" s="1"/>
  <c r="CF76" i="3"/>
  <c r="CD76" i="3"/>
  <c r="BK76" i="3"/>
  <c r="BH80" i="2" s="1"/>
  <c r="BI76" i="3"/>
  <c r="BF80" i="2" s="1"/>
  <c r="BF76" i="3"/>
  <c r="H76" i="3" a="1"/>
  <c r="H80" i="2" s="1"/>
  <c r="G76" i="3" a="1"/>
  <c r="G80" i="2" s="1"/>
  <c r="F76" i="3" a="1"/>
  <c r="F80" i="2" s="1"/>
  <c r="E76" i="3" a="1"/>
  <c r="E80" i="2" s="1"/>
  <c r="CF75" i="3"/>
  <c r="CD75" i="3"/>
  <c r="BK75" i="3"/>
  <c r="BH79" i="2" s="1"/>
  <c r="BI75" i="3"/>
  <c r="BF79" i="2" s="1"/>
  <c r="BF75" i="3"/>
  <c r="H75" i="3" a="1"/>
  <c r="H79" i="2" s="1"/>
  <c r="G75" i="3" a="1"/>
  <c r="G79" i="2" s="1"/>
  <c r="F75" i="3" a="1"/>
  <c r="F79" i="2" s="1"/>
  <c r="E75" i="3" a="1"/>
  <c r="E79" i="2" s="1"/>
  <c r="CF74" i="3"/>
  <c r="CD74" i="3"/>
  <c r="BK74" i="3"/>
  <c r="BH78" i="2" s="1"/>
  <c r="BI74" i="3"/>
  <c r="BF78" i="2" s="1"/>
  <c r="BF74" i="3"/>
  <c r="H74" i="3" a="1"/>
  <c r="H78" i="2" s="1"/>
  <c r="G74" i="3" a="1"/>
  <c r="G78" i="2" s="1"/>
  <c r="F74" i="3" a="1"/>
  <c r="F78" i="2" s="1"/>
  <c r="E74" i="3" a="1"/>
  <c r="E78" i="2" s="1"/>
  <c r="CF73" i="3"/>
  <c r="CD73" i="3"/>
  <c r="BK73" i="3"/>
  <c r="BH77" i="2" s="1"/>
  <c r="BI73" i="3"/>
  <c r="BF77" i="2" s="1"/>
  <c r="BF73" i="3"/>
  <c r="H73" i="3" a="1"/>
  <c r="H77" i="2" s="1"/>
  <c r="G73" i="3" a="1"/>
  <c r="G77" i="2" s="1"/>
  <c r="F73" i="3" a="1"/>
  <c r="F77" i="2" s="1"/>
  <c r="E73" i="3" a="1"/>
  <c r="E77" i="2" s="1"/>
  <c r="CF72" i="3"/>
  <c r="CD72" i="3"/>
  <c r="BK72" i="3"/>
  <c r="BH76" i="2" s="1"/>
  <c r="BI72" i="3"/>
  <c r="BF76" i="2" s="1"/>
  <c r="BF72" i="3"/>
  <c r="E72" i="3" a="1"/>
  <c r="E76" i="2" s="1"/>
  <c r="CF71" i="3"/>
  <c r="CD71" i="3"/>
  <c r="BK71" i="3"/>
  <c r="BH75" i="2" s="1"/>
  <c r="BI71" i="3"/>
  <c r="BF75" i="2" s="1"/>
  <c r="BF71" i="3"/>
  <c r="H71" i="3" a="1"/>
  <c r="H75" i="2" s="1"/>
  <c r="G71" i="3" a="1"/>
  <c r="G75" i="2" s="1"/>
  <c r="F71" i="3" a="1"/>
  <c r="F75" i="2" s="1"/>
  <c r="E71" i="3" a="1"/>
  <c r="E75" i="2" s="1"/>
  <c r="CF70" i="3"/>
  <c r="CD70" i="3"/>
  <c r="BK70" i="3"/>
  <c r="BH74" i="2" s="1"/>
  <c r="BI70" i="3"/>
  <c r="BF74" i="2" s="1"/>
  <c r="BF70" i="3"/>
  <c r="H70" i="3" a="1"/>
  <c r="H74" i="2" s="1"/>
  <c r="G70" i="3" a="1"/>
  <c r="G74" i="2" s="1"/>
  <c r="F70" i="3" a="1"/>
  <c r="F74" i="2" s="1"/>
  <c r="E70" i="3" a="1"/>
  <c r="E74" i="2" s="1"/>
  <c r="CF69" i="3"/>
  <c r="CD69" i="3"/>
  <c r="BK69" i="3"/>
  <c r="BH73" i="2" s="1"/>
  <c r="BI69" i="3"/>
  <c r="BF73" i="2" s="1"/>
  <c r="BF69" i="3"/>
  <c r="H69" i="3" a="1"/>
  <c r="H73" i="2" s="1"/>
  <c r="G69" i="3" a="1"/>
  <c r="G73" i="2" s="1"/>
  <c r="F69" i="3" a="1"/>
  <c r="F73" i="2" s="1"/>
  <c r="E69" i="3" a="1"/>
  <c r="E73" i="2" s="1"/>
  <c r="CF68" i="3"/>
  <c r="CD68" i="3"/>
  <c r="BK68" i="3"/>
  <c r="BH72" i="2" s="1"/>
  <c r="BI68" i="3"/>
  <c r="BF72" i="2" s="1"/>
  <c r="BF68" i="3"/>
  <c r="H68" i="3" a="1"/>
  <c r="H72" i="2" s="1"/>
  <c r="G68" i="3" a="1"/>
  <c r="G72" i="2" s="1"/>
  <c r="F68" i="3" a="1"/>
  <c r="F72" i="2" s="1"/>
  <c r="E68" i="3" a="1"/>
  <c r="E72" i="2" s="1"/>
  <c r="CF67" i="3"/>
  <c r="CD67" i="3"/>
  <c r="BK67" i="3"/>
  <c r="BH71" i="2" s="1"/>
  <c r="BI67" i="3"/>
  <c r="BF71" i="2" s="1"/>
  <c r="BF67" i="3"/>
  <c r="H67" i="3" a="1"/>
  <c r="H71" i="2" s="1"/>
  <c r="G67" i="3" a="1"/>
  <c r="G71" i="2" s="1"/>
  <c r="F67" i="3" a="1"/>
  <c r="F71" i="2" s="1"/>
  <c r="E67" i="3" a="1"/>
  <c r="E71" i="2" s="1"/>
  <c r="CF66" i="3"/>
  <c r="CD66" i="3"/>
  <c r="BK66" i="3"/>
  <c r="BH70" i="2" s="1"/>
  <c r="BI66" i="3"/>
  <c r="BF70" i="2" s="1"/>
  <c r="BF66" i="3"/>
  <c r="H66" i="3" a="1"/>
  <c r="H70" i="2" s="1"/>
  <c r="G66" i="3" a="1"/>
  <c r="G70" i="2" s="1"/>
  <c r="F66" i="3" a="1"/>
  <c r="F70" i="2" s="1"/>
  <c r="E66" i="3" a="1"/>
  <c r="E70" i="2" s="1"/>
  <c r="CF65" i="3"/>
  <c r="CD65" i="3"/>
  <c r="BK65" i="3"/>
  <c r="BH69" i="2" s="1"/>
  <c r="BI65" i="3"/>
  <c r="BF69" i="2" s="1"/>
  <c r="BF65" i="3"/>
  <c r="H65" i="3" a="1"/>
  <c r="H69" i="2" s="1"/>
  <c r="G65" i="3" a="1"/>
  <c r="G69" i="2" s="1"/>
  <c r="F65" i="3" a="1"/>
  <c r="F69" i="2" s="1"/>
  <c r="E65" i="3" a="1"/>
  <c r="E69" i="2" s="1"/>
  <c r="CF64" i="3"/>
  <c r="CD64" i="3"/>
  <c r="BK64" i="3"/>
  <c r="BH68" i="2" s="1"/>
  <c r="BI64" i="3"/>
  <c r="BF68" i="2" s="1"/>
  <c r="BF64" i="3"/>
  <c r="H64" i="3" a="1"/>
  <c r="H68" i="2" s="1"/>
  <c r="G64" i="3" a="1"/>
  <c r="G68" i="2" s="1"/>
  <c r="F64" i="3" a="1"/>
  <c r="F68" i="2" s="1"/>
  <c r="E64" i="3" a="1"/>
  <c r="E68" i="2" s="1"/>
  <c r="CF63" i="3"/>
  <c r="CD63" i="3"/>
  <c r="BK63" i="3"/>
  <c r="BH67" i="2" s="1"/>
  <c r="BI63" i="3"/>
  <c r="BF67" i="2" s="1"/>
  <c r="BF63" i="3"/>
  <c r="H63" i="3" a="1"/>
  <c r="H67" i="2" s="1"/>
  <c r="G63" i="3" a="1"/>
  <c r="G67" i="2" s="1"/>
  <c r="F63" i="3" a="1"/>
  <c r="F67" i="2" s="1"/>
  <c r="E63" i="3" a="1"/>
  <c r="E67" i="2" s="1"/>
  <c r="CF62" i="3"/>
  <c r="CD62" i="3"/>
  <c r="BK62" i="3"/>
  <c r="BH66" i="2" s="1"/>
  <c r="BI62" i="3"/>
  <c r="BF66" i="2" s="1"/>
  <c r="BF62" i="3"/>
  <c r="BG62" i="3" s="1"/>
  <c r="BD66" i="2" s="1"/>
  <c r="R62" i="3"/>
  <c r="H62" i="3" a="1"/>
  <c r="H66" i="2" s="1"/>
  <c r="G62" i="3" a="1"/>
  <c r="G66" i="2" s="1"/>
  <c r="F62" i="3" a="1"/>
  <c r="F66" i="2" s="1"/>
  <c r="E62" i="3" a="1"/>
  <c r="E66" i="2" s="1"/>
  <c r="CF61" i="3"/>
  <c r="CD61" i="3"/>
  <c r="BK61" i="3"/>
  <c r="BH65" i="2" s="1"/>
  <c r="BI61" i="3"/>
  <c r="BF65" i="2" s="1"/>
  <c r="BF61" i="3"/>
  <c r="R61" i="3"/>
  <c r="H61" i="3" a="1"/>
  <c r="H65" i="2" s="1"/>
  <c r="G61" i="3" a="1"/>
  <c r="G65" i="2" s="1"/>
  <c r="F61" i="3" a="1"/>
  <c r="F65" i="2" s="1"/>
  <c r="E61" i="3" a="1"/>
  <c r="E65" i="2" s="1"/>
  <c r="CF60" i="3"/>
  <c r="CD60" i="3"/>
  <c r="BK60" i="3"/>
  <c r="BH64" i="2" s="1"/>
  <c r="BI60" i="3"/>
  <c r="BF64" i="2" s="1"/>
  <c r="BF60" i="3"/>
  <c r="R60" i="3"/>
  <c r="H60" i="3" a="1"/>
  <c r="H64" i="2" s="1"/>
  <c r="G60" i="3" a="1"/>
  <c r="G64" i="2" s="1"/>
  <c r="F60" i="3" a="1"/>
  <c r="F64" i="2" s="1"/>
  <c r="E60" i="3" a="1"/>
  <c r="E64" i="2" s="1"/>
  <c r="CF59" i="3"/>
  <c r="CD59" i="3"/>
  <c r="BK59" i="3"/>
  <c r="BH63" i="2" s="1"/>
  <c r="BI59" i="3"/>
  <c r="BF63" i="2" s="1"/>
  <c r="BF59" i="3"/>
  <c r="R59" i="3"/>
  <c r="H59" i="3" a="1"/>
  <c r="H63" i="2" s="1"/>
  <c r="G59" i="3" a="1"/>
  <c r="G63" i="2" s="1"/>
  <c r="F59" i="3" a="1"/>
  <c r="F63" i="2" s="1"/>
  <c r="E59" i="3" a="1"/>
  <c r="E63" i="2" s="1"/>
  <c r="CF58" i="3"/>
  <c r="CD58" i="3"/>
  <c r="BK58" i="3"/>
  <c r="BH62" i="2" s="1"/>
  <c r="BI58" i="3"/>
  <c r="BF62" i="2" s="1"/>
  <c r="BF58" i="3"/>
  <c r="R58" i="3"/>
  <c r="H58" i="3" a="1"/>
  <c r="H62" i="2" s="1"/>
  <c r="G58" i="3" a="1"/>
  <c r="G62" i="2" s="1"/>
  <c r="F58" i="3" a="1"/>
  <c r="F62" i="2" s="1"/>
  <c r="E58" i="3" a="1"/>
  <c r="E62" i="2" s="1"/>
  <c r="CF57" i="3"/>
  <c r="CD57" i="3"/>
  <c r="BK57" i="3"/>
  <c r="BH61" i="2" s="1"/>
  <c r="BI57" i="3"/>
  <c r="BF61" i="2" s="1"/>
  <c r="BF57" i="3"/>
  <c r="R57" i="3"/>
  <c r="H57" i="3" a="1"/>
  <c r="H61" i="2" s="1"/>
  <c r="G57" i="3" a="1"/>
  <c r="G61" i="2" s="1"/>
  <c r="F57" i="3" a="1"/>
  <c r="F61" i="2" s="1"/>
  <c r="E57" i="3" a="1"/>
  <c r="E61" i="2" s="1"/>
  <c r="CF56" i="3"/>
  <c r="CD56" i="3"/>
  <c r="BK56" i="3"/>
  <c r="BH60" i="2" s="1"/>
  <c r="BI56" i="3"/>
  <c r="BF60" i="2" s="1"/>
  <c r="BF56" i="3"/>
  <c r="R56" i="3"/>
  <c r="H56" i="3" a="1"/>
  <c r="H60" i="2" s="1"/>
  <c r="G56" i="3" a="1"/>
  <c r="G60" i="2" s="1"/>
  <c r="F56" i="3" a="1"/>
  <c r="F60" i="2" s="1"/>
  <c r="E56" i="3" a="1"/>
  <c r="E60" i="2" s="1"/>
  <c r="CF55" i="3"/>
  <c r="CD55" i="3"/>
  <c r="BK55" i="3"/>
  <c r="BH59" i="2" s="1"/>
  <c r="BI55" i="3"/>
  <c r="BF59" i="2" s="1"/>
  <c r="BF55" i="3"/>
  <c r="R55" i="3"/>
  <c r="H55" i="3" a="1"/>
  <c r="H59" i="2" s="1"/>
  <c r="G55" i="3" a="1"/>
  <c r="G59" i="2" s="1"/>
  <c r="F55" i="3" a="1"/>
  <c r="F59" i="2" s="1"/>
  <c r="E55" i="3" a="1"/>
  <c r="E59" i="2" s="1"/>
  <c r="CF54" i="3"/>
  <c r="CD54" i="3"/>
  <c r="BK54" i="3"/>
  <c r="BH58" i="2" s="1"/>
  <c r="BI54" i="3"/>
  <c r="BF58" i="2" s="1"/>
  <c r="BF54" i="3"/>
  <c r="AO54" i="3"/>
  <c r="R54" i="3"/>
  <c r="H54" i="3" a="1"/>
  <c r="H58" i="2" s="1"/>
  <c r="G54" i="3" a="1"/>
  <c r="G58" i="2" s="1"/>
  <c r="F54" i="3" a="1"/>
  <c r="F58" i="2" s="1"/>
  <c r="E54" i="3" a="1"/>
  <c r="E58" i="2" s="1"/>
  <c r="CF53" i="3"/>
  <c r="CD53" i="3"/>
  <c r="BK53" i="3"/>
  <c r="BH57" i="2" s="1"/>
  <c r="BI53" i="3"/>
  <c r="BF57" i="2" s="1"/>
  <c r="BF53" i="3"/>
  <c r="R53" i="3"/>
  <c r="H53" i="3" a="1"/>
  <c r="H57" i="2" s="1"/>
  <c r="G53" i="3" a="1"/>
  <c r="G57" i="2" s="1"/>
  <c r="F53" i="3" a="1"/>
  <c r="F57" i="2" s="1"/>
  <c r="E53" i="3" a="1"/>
  <c r="E57" i="2" s="1"/>
  <c r="CF52" i="3"/>
  <c r="CD52" i="3"/>
  <c r="BK52" i="3"/>
  <c r="BH56" i="2" s="1"/>
  <c r="BI52" i="3"/>
  <c r="BF56" i="2" s="1"/>
  <c r="BF52" i="3"/>
  <c r="BG52" i="3" s="1"/>
  <c r="BD56" i="2" s="1"/>
  <c r="AO52" i="3"/>
  <c r="R52" i="3"/>
  <c r="H52" i="3" a="1"/>
  <c r="H56" i="2" s="1"/>
  <c r="G52" i="3" a="1"/>
  <c r="G56" i="2" s="1"/>
  <c r="F52" i="3" a="1"/>
  <c r="F56" i="2" s="1"/>
  <c r="E52" i="3" a="1"/>
  <c r="E56" i="2" s="1"/>
  <c r="CF51" i="3"/>
  <c r="CD51" i="3"/>
  <c r="BK51" i="3"/>
  <c r="BH55" i="2" s="1"/>
  <c r="BI51" i="3"/>
  <c r="BF55" i="2" s="1"/>
  <c r="BF51" i="3"/>
  <c r="R51" i="3"/>
  <c r="H51" i="3" a="1"/>
  <c r="H55" i="2" s="1"/>
  <c r="G51" i="3" a="1"/>
  <c r="G55" i="2" s="1"/>
  <c r="F51" i="3" a="1"/>
  <c r="F55" i="2" s="1"/>
  <c r="E51" i="3" a="1"/>
  <c r="E55" i="2" s="1"/>
  <c r="CF50" i="3"/>
  <c r="CD50" i="3"/>
  <c r="BK50" i="3"/>
  <c r="BH54" i="2" s="1"/>
  <c r="BI50" i="3"/>
  <c r="BF54" i="2" s="1"/>
  <c r="BF50" i="3"/>
  <c r="R50" i="3"/>
  <c r="H50" i="3" a="1"/>
  <c r="H54" i="2" s="1"/>
  <c r="G50" i="3" a="1"/>
  <c r="G54" i="2" s="1"/>
  <c r="F50" i="3" a="1"/>
  <c r="F54" i="2" s="1"/>
  <c r="E50" i="3" a="1"/>
  <c r="E54" i="2" s="1"/>
  <c r="CF49" i="3"/>
  <c r="CD49" i="3"/>
  <c r="BK49" i="3"/>
  <c r="BH53" i="2" s="1"/>
  <c r="BI49" i="3"/>
  <c r="BF53" i="2" s="1"/>
  <c r="BF49" i="3"/>
  <c r="BG49" i="3" s="1"/>
  <c r="BD53" i="2" s="1"/>
  <c r="R49" i="3"/>
  <c r="H49" i="3" a="1"/>
  <c r="H53" i="2" s="1"/>
  <c r="G49" i="3" a="1"/>
  <c r="G53" i="2" s="1"/>
  <c r="F49" i="3" a="1"/>
  <c r="F53" i="2" s="1"/>
  <c r="E49" i="3" a="1"/>
  <c r="E53" i="2" s="1"/>
  <c r="CF48" i="3"/>
  <c r="CD48" i="3"/>
  <c r="BK48" i="3"/>
  <c r="BH52" i="2" s="1"/>
  <c r="BI48" i="3"/>
  <c r="BF52" i="2" s="1"/>
  <c r="BF48" i="3"/>
  <c r="R48" i="3"/>
  <c r="H48" i="3" a="1"/>
  <c r="H52" i="2" s="1"/>
  <c r="G48" i="3" a="1"/>
  <c r="G52" i="2" s="1"/>
  <c r="F48" i="3" a="1"/>
  <c r="F52" i="2" s="1"/>
  <c r="E48" i="3" a="1"/>
  <c r="E52" i="2" s="1"/>
  <c r="CF47" i="3"/>
  <c r="CD47" i="3"/>
  <c r="BK47" i="3"/>
  <c r="BH51" i="2" s="1"/>
  <c r="BI47" i="3"/>
  <c r="BF51" i="2" s="1"/>
  <c r="BF47" i="3"/>
  <c r="R47" i="3"/>
  <c r="H47" i="3" a="1"/>
  <c r="H51" i="2" s="1"/>
  <c r="G47" i="3" a="1"/>
  <c r="G51" i="2" s="1"/>
  <c r="F47" i="3" a="1"/>
  <c r="F51" i="2" s="1"/>
  <c r="E47" i="3" a="1"/>
  <c r="E51" i="2" s="1"/>
  <c r="CF46" i="3"/>
  <c r="CD46" i="3"/>
  <c r="BK46" i="3"/>
  <c r="BH50" i="2" s="1"/>
  <c r="BI46" i="3"/>
  <c r="BF50" i="2" s="1"/>
  <c r="BF46" i="3"/>
  <c r="R46" i="3"/>
  <c r="H46" i="3" a="1"/>
  <c r="H50" i="2" s="1"/>
  <c r="G46" i="3" a="1"/>
  <c r="G50" i="2" s="1"/>
  <c r="F46" i="3" a="1"/>
  <c r="F50" i="2" s="1"/>
  <c r="E46" i="3" a="1"/>
  <c r="E50" i="2" s="1"/>
  <c r="CF45" i="3"/>
  <c r="CD45" i="3"/>
  <c r="BK45" i="3"/>
  <c r="BH49" i="2" s="1"/>
  <c r="BI45" i="3"/>
  <c r="BF49" i="2" s="1"/>
  <c r="BF45" i="3"/>
  <c r="R45" i="3"/>
  <c r="H45" i="3" a="1"/>
  <c r="H49" i="2" s="1"/>
  <c r="G45" i="3" a="1"/>
  <c r="G49" i="2" s="1"/>
  <c r="F45" i="3" a="1"/>
  <c r="F49" i="2" s="1"/>
  <c r="E45" i="3" a="1"/>
  <c r="E49" i="2" s="1"/>
  <c r="CF44" i="3"/>
  <c r="CD44" i="3"/>
  <c r="BK44" i="3"/>
  <c r="BH48" i="2" s="1"/>
  <c r="BI44" i="3"/>
  <c r="BF48" i="2" s="1"/>
  <c r="BF44" i="3"/>
  <c r="R44" i="3"/>
  <c r="H44" i="3" a="1"/>
  <c r="H48" i="2" s="1"/>
  <c r="G44" i="3" a="1"/>
  <c r="G48" i="2" s="1"/>
  <c r="F44" i="3" a="1"/>
  <c r="F48" i="2" s="1"/>
  <c r="E44" i="3" a="1"/>
  <c r="E48" i="2" s="1"/>
  <c r="CF43" i="3"/>
  <c r="CD43" i="3"/>
  <c r="BK43" i="3"/>
  <c r="BH47" i="2" s="1"/>
  <c r="BI43" i="3"/>
  <c r="BF47" i="2" s="1"/>
  <c r="BF43" i="3"/>
  <c r="BG43" i="3" s="1"/>
  <c r="BD47" i="2" s="1"/>
  <c r="R43" i="3"/>
  <c r="H43" i="3" a="1"/>
  <c r="H47" i="2" s="1"/>
  <c r="G43" i="3" a="1"/>
  <c r="G47" i="2" s="1"/>
  <c r="F43" i="3" a="1"/>
  <c r="F47" i="2" s="1"/>
  <c r="E43" i="3" a="1"/>
  <c r="E47" i="2" s="1"/>
  <c r="CF42" i="3"/>
  <c r="CD42" i="3"/>
  <c r="BK42" i="3"/>
  <c r="BH46" i="2" s="1"/>
  <c r="BI42" i="3"/>
  <c r="BF46" i="2" s="1"/>
  <c r="BF42" i="3"/>
  <c r="R42" i="3"/>
  <c r="H42" i="3" a="1"/>
  <c r="H46" i="2" s="1"/>
  <c r="G42" i="3" a="1"/>
  <c r="G46" i="2" s="1"/>
  <c r="F42" i="3" a="1"/>
  <c r="F46" i="2" s="1"/>
  <c r="E42" i="3" a="1"/>
  <c r="E46" i="2" s="1"/>
  <c r="CD41" i="3"/>
  <c r="BK41" i="3"/>
  <c r="BH45" i="2" s="1"/>
  <c r="BI41" i="3"/>
  <c r="BF45" i="2" s="1"/>
  <c r="BF41" i="3"/>
  <c r="R41" i="3"/>
  <c r="H41" i="3" a="1"/>
  <c r="H45" i="2" s="1"/>
  <c r="G41" i="3" a="1"/>
  <c r="G45" i="2" s="1"/>
  <c r="F41" i="3" a="1"/>
  <c r="F45" i="2" s="1"/>
  <c r="E41" i="3" a="1"/>
  <c r="E45" i="2" s="1"/>
  <c r="CD40" i="3"/>
  <c r="BK40" i="3"/>
  <c r="BH44" i="2" s="1"/>
  <c r="BI40" i="3"/>
  <c r="BF44" i="2" s="1"/>
  <c r="BF40" i="3"/>
  <c r="BC44" i="2" s="1"/>
  <c r="R40" i="3"/>
  <c r="H40" i="3" a="1"/>
  <c r="H44" i="2" s="1"/>
  <c r="G40" i="3" a="1"/>
  <c r="G44" i="2" s="1"/>
  <c r="F40" i="3" a="1"/>
  <c r="F44" i="2" s="1"/>
  <c r="E40" i="3" a="1"/>
  <c r="E44" i="2" s="1"/>
  <c r="CD39" i="3"/>
  <c r="BK39" i="3"/>
  <c r="BH43" i="2" s="1"/>
  <c r="BI39" i="3"/>
  <c r="BF43" i="2" s="1"/>
  <c r="BF39" i="3"/>
  <c r="R39" i="3"/>
  <c r="H39" i="3" a="1"/>
  <c r="H43" i="2" s="1"/>
  <c r="G39" i="3" a="1"/>
  <c r="G43" i="2" s="1"/>
  <c r="F39" i="3" a="1"/>
  <c r="F43" i="2" s="1"/>
  <c r="E39" i="3" a="1"/>
  <c r="E43" i="2" s="1"/>
  <c r="CD38" i="3"/>
  <c r="BK38" i="3"/>
  <c r="BH42" i="2" s="1"/>
  <c r="BI38" i="3"/>
  <c r="BF42" i="2" s="1"/>
  <c r="BF38" i="3"/>
  <c r="R38" i="3"/>
  <c r="H38" i="3" a="1"/>
  <c r="H42" i="2" s="1"/>
  <c r="G38" i="3" a="1"/>
  <c r="G42" i="2" s="1"/>
  <c r="F38" i="3" a="1"/>
  <c r="F42" i="2" s="1"/>
  <c r="E38" i="3" a="1"/>
  <c r="E42" i="2" s="1"/>
  <c r="CD37" i="3"/>
  <c r="BK37" i="3"/>
  <c r="BH41" i="2" s="1"/>
  <c r="BI37" i="3"/>
  <c r="BF41" i="2" s="1"/>
  <c r="BF37" i="3"/>
  <c r="H37" i="3" a="1"/>
  <c r="H41" i="2" s="1"/>
  <c r="G37" i="3" a="1"/>
  <c r="G41" i="2" s="1"/>
  <c r="F37" i="3" a="1"/>
  <c r="F41" i="2" s="1"/>
  <c r="E37" i="3" a="1"/>
  <c r="E41" i="2" s="1"/>
  <c r="CD36" i="3"/>
  <c r="BK36" i="3"/>
  <c r="BH40" i="2" s="1"/>
  <c r="BI36" i="3"/>
  <c r="BF40" i="2" s="1"/>
  <c r="BF36" i="3"/>
  <c r="BG36" i="3" s="1"/>
  <c r="BD40" i="2" s="1"/>
  <c r="R36" i="3"/>
  <c r="H36" i="3" a="1"/>
  <c r="H40" i="2" s="1"/>
  <c r="G36" i="3" a="1"/>
  <c r="G40" i="2" s="1"/>
  <c r="F36" i="3" a="1"/>
  <c r="F40" i="2" s="1"/>
  <c r="E36" i="3" a="1"/>
  <c r="E40" i="2" s="1"/>
  <c r="BK35" i="3"/>
  <c r="BH39" i="2" s="1"/>
  <c r="BI35" i="3"/>
  <c r="BF39" i="2" s="1"/>
  <c r="BF35" i="3"/>
  <c r="BG35" i="3" s="1"/>
  <c r="BD39" i="2" s="1"/>
  <c r="H35" i="3" a="1"/>
  <c r="H39" i="2" s="1"/>
  <c r="G35" i="3" a="1"/>
  <c r="G39" i="2" s="1"/>
  <c r="F35" i="3" a="1"/>
  <c r="F39" i="2" s="1"/>
  <c r="E35" i="3" a="1"/>
  <c r="E39" i="2" s="1"/>
  <c r="CD34" i="3"/>
  <c r="BK34" i="3"/>
  <c r="BH38" i="2" s="1"/>
  <c r="BI34" i="3"/>
  <c r="BF38" i="2" s="1"/>
  <c r="BF34" i="3"/>
  <c r="BC38" i="2" s="1"/>
  <c r="R34" i="3"/>
  <c r="H34" i="3" a="1"/>
  <c r="H38" i="2" s="1"/>
  <c r="G34" i="3" a="1"/>
  <c r="G38" i="2" s="1"/>
  <c r="F34" i="3" a="1"/>
  <c r="F38" i="2" s="1"/>
  <c r="E34" i="3" a="1"/>
  <c r="E38" i="2" s="1"/>
  <c r="CD33" i="3"/>
  <c r="BK33" i="3"/>
  <c r="BH37" i="2" s="1"/>
  <c r="BI33" i="3"/>
  <c r="BF37" i="2" s="1"/>
  <c r="BF33" i="3"/>
  <c r="BG33" i="3" s="1"/>
  <c r="BD37" i="2" s="1"/>
  <c r="R33" i="3"/>
  <c r="H33" i="3" a="1"/>
  <c r="H37" i="2" s="1"/>
  <c r="G33" i="3" a="1"/>
  <c r="G37" i="2" s="1"/>
  <c r="F33" i="3" a="1"/>
  <c r="F37" i="2" s="1"/>
  <c r="E33" i="3" a="1"/>
  <c r="E37" i="2" s="1"/>
  <c r="CD32" i="3"/>
  <c r="BK32" i="3"/>
  <c r="BH36" i="2" s="1"/>
  <c r="BI32" i="3"/>
  <c r="BF36" i="2" s="1"/>
  <c r="BF32" i="3"/>
  <c r="BG32" i="3" s="1"/>
  <c r="BD36" i="2" s="1"/>
  <c r="R32" i="3"/>
  <c r="H32" i="3" a="1"/>
  <c r="H36" i="2" s="1"/>
  <c r="G32" i="3" a="1"/>
  <c r="G36" i="2" s="1"/>
  <c r="F32" i="3" a="1"/>
  <c r="F36" i="2" s="1"/>
  <c r="E32" i="3" a="1"/>
  <c r="E36" i="2" s="1"/>
  <c r="CD31" i="3"/>
  <c r="BK31" i="3"/>
  <c r="BH35" i="2" s="1"/>
  <c r="BI31" i="3"/>
  <c r="BF35" i="2" s="1"/>
  <c r="BF31" i="3"/>
  <c r="R31" i="3"/>
  <c r="H31" i="3" a="1"/>
  <c r="H35" i="2" s="1"/>
  <c r="G31" i="3" a="1"/>
  <c r="G35" i="2" s="1"/>
  <c r="F31" i="3" a="1"/>
  <c r="F35" i="2" s="1"/>
  <c r="E31" i="3" a="1"/>
  <c r="E35" i="2" s="1"/>
  <c r="CC30" i="3"/>
  <c r="CD30" i="3" s="1"/>
  <c r="BK30" i="3"/>
  <c r="BH34" i="2" s="1"/>
  <c r="BI30" i="3"/>
  <c r="BF34" i="2" s="1"/>
  <c r="BF30" i="3"/>
  <c r="R30" i="3"/>
  <c r="H30" i="3" a="1"/>
  <c r="H34" i="2" s="1"/>
  <c r="G30" i="3" a="1"/>
  <c r="G34" i="2" s="1"/>
  <c r="F30" i="3" a="1"/>
  <c r="F34" i="2" s="1"/>
  <c r="BK29" i="3"/>
  <c r="BH33" i="2" s="1"/>
  <c r="BI29" i="3"/>
  <c r="BF33" i="2" s="1"/>
  <c r="BF29" i="3"/>
  <c r="BG29" i="3" s="1"/>
  <c r="BD33" i="2" s="1"/>
  <c r="H29" i="3" a="1"/>
  <c r="H33" i="2" s="1"/>
  <c r="G29" i="3" a="1"/>
  <c r="G33" i="2" s="1"/>
  <c r="F29" i="3" a="1"/>
  <c r="F33" i="2" s="1"/>
  <c r="E29" i="3" a="1"/>
  <c r="E33" i="2" s="1"/>
  <c r="BK28" i="3"/>
  <c r="BH32" i="2" s="1"/>
  <c r="BI28" i="3"/>
  <c r="BF32" i="2" s="1"/>
  <c r="BF28" i="3"/>
  <c r="BG28" i="3" s="1"/>
  <c r="BD32" i="2" s="1"/>
  <c r="H28" i="3" a="1"/>
  <c r="H32" i="2" s="1"/>
  <c r="G28" i="3" a="1"/>
  <c r="G32" i="2" s="1"/>
  <c r="F28" i="3" a="1"/>
  <c r="F32" i="2" s="1"/>
  <c r="E28" i="3" a="1"/>
  <c r="E32" i="2" s="1"/>
  <c r="CD27" i="3"/>
  <c r="BK27" i="3"/>
  <c r="BH31" i="2" s="1"/>
  <c r="BI27" i="3"/>
  <c r="BF31" i="2" s="1"/>
  <c r="BF27" i="3"/>
  <c r="R27" i="3"/>
  <c r="H27" i="3" a="1"/>
  <c r="H31" i="2" s="1"/>
  <c r="G27" i="3" a="1"/>
  <c r="G31" i="2" s="1"/>
  <c r="F27" i="3" a="1"/>
  <c r="F31" i="2" s="1"/>
  <c r="E27" i="3" a="1"/>
  <c r="E31" i="2" s="1"/>
  <c r="CD26" i="3"/>
  <c r="BK26" i="3"/>
  <c r="BH30" i="2" s="1"/>
  <c r="BI26" i="3"/>
  <c r="BF30" i="2" s="1"/>
  <c r="BF26" i="3"/>
  <c r="R26" i="3"/>
  <c r="H26" i="3" a="1"/>
  <c r="H30" i="2" s="1"/>
  <c r="G26" i="3" a="1"/>
  <c r="G30" i="2" s="1"/>
  <c r="F26" i="3" a="1"/>
  <c r="F30" i="2" s="1"/>
  <c r="E26" i="3" a="1"/>
  <c r="E30" i="2" s="1"/>
  <c r="CD25" i="3"/>
  <c r="BK25" i="3"/>
  <c r="BH29" i="2" s="1"/>
  <c r="BI25" i="3"/>
  <c r="BF29" i="2" s="1"/>
  <c r="BF25" i="3"/>
  <c r="BG25" i="3" s="1"/>
  <c r="BD29" i="2" s="1"/>
  <c r="R25" i="3"/>
  <c r="H25" i="3" a="1"/>
  <c r="H29" i="2" s="1"/>
  <c r="G25" i="3" a="1"/>
  <c r="G29" i="2" s="1"/>
  <c r="F25" i="3" a="1"/>
  <c r="F29" i="2" s="1"/>
  <c r="E25" i="3" a="1"/>
  <c r="E29" i="2" s="1"/>
  <c r="CD24" i="3"/>
  <c r="BK24" i="3"/>
  <c r="BH28" i="2" s="1"/>
  <c r="BI24" i="3"/>
  <c r="BF28" i="2" s="1"/>
  <c r="BF24" i="3"/>
  <c r="BG24" i="3" s="1"/>
  <c r="BD28" i="2" s="1"/>
  <c r="R24" i="3"/>
  <c r="H24" i="3" a="1"/>
  <c r="H28" i="2" s="1"/>
  <c r="G24" i="3" a="1"/>
  <c r="G28" i="2" s="1"/>
  <c r="F24" i="3" a="1"/>
  <c r="F28" i="2" s="1"/>
  <c r="E24" i="3" a="1"/>
  <c r="E28" i="2" s="1"/>
  <c r="CD23" i="3"/>
  <c r="BK23" i="3"/>
  <c r="BH27" i="2" s="1"/>
  <c r="BI23" i="3"/>
  <c r="BF27" i="2" s="1"/>
  <c r="BF23" i="3"/>
  <c r="BG23" i="3" s="1"/>
  <c r="BD27" i="2" s="1"/>
  <c r="R23" i="3"/>
  <c r="H23" i="3" a="1"/>
  <c r="H27" i="2" s="1"/>
  <c r="G23" i="3" a="1"/>
  <c r="G27" i="2" s="1"/>
  <c r="F23" i="3" a="1"/>
  <c r="F27" i="2" s="1"/>
  <c r="E23" i="3" a="1"/>
  <c r="E27" i="2" s="1"/>
  <c r="CD22" i="3"/>
  <c r="BK22" i="3"/>
  <c r="BH26" i="2" s="1"/>
  <c r="BI22" i="3"/>
  <c r="BF26" i="2" s="1"/>
  <c r="BF22" i="3"/>
  <c r="BG22" i="3" s="1"/>
  <c r="BD26" i="2" s="1"/>
  <c r="R22" i="3"/>
  <c r="H22" i="3" a="1"/>
  <c r="H26" i="2" s="1"/>
  <c r="G22" i="3" a="1"/>
  <c r="G26" i="2" s="1"/>
  <c r="F22" i="3" a="1"/>
  <c r="F26" i="2" s="1"/>
  <c r="E22" i="3" a="1"/>
  <c r="E26" i="2" s="1"/>
  <c r="CD21" i="3"/>
  <c r="BK21" i="3"/>
  <c r="BH25" i="2" s="1"/>
  <c r="BI21" i="3"/>
  <c r="BF25" i="2" s="1"/>
  <c r="BF21" i="3"/>
  <c r="BG21" i="3" s="1"/>
  <c r="BD25" i="2" s="1"/>
  <c r="R21" i="3"/>
  <c r="H21" i="3" a="1"/>
  <c r="H25" i="2" s="1"/>
  <c r="G21" i="3" a="1"/>
  <c r="G25" i="2" s="1"/>
  <c r="F21" i="3" a="1"/>
  <c r="F25" i="2" s="1"/>
  <c r="E21" i="3" a="1"/>
  <c r="E25" i="2" s="1"/>
  <c r="CD20" i="3"/>
  <c r="BK20" i="3"/>
  <c r="BH24" i="2" s="1"/>
  <c r="BI20" i="3"/>
  <c r="BF24" i="2" s="1"/>
  <c r="BF20" i="3"/>
  <c r="BG20" i="3" s="1"/>
  <c r="BD24" i="2" s="1"/>
  <c r="R20" i="3"/>
  <c r="H20" i="3" a="1"/>
  <c r="H24" i="2" s="1"/>
  <c r="G20" i="3" a="1"/>
  <c r="G24" i="2" s="1"/>
  <c r="F20" i="3" a="1"/>
  <c r="F24" i="2" s="1"/>
  <c r="E20" i="3" a="1"/>
  <c r="E24" i="2" s="1"/>
  <c r="CD19" i="3"/>
  <c r="BK19" i="3"/>
  <c r="BH23" i="2" s="1"/>
  <c r="BI19" i="3"/>
  <c r="BF23" i="2" s="1"/>
  <c r="BF19" i="3"/>
  <c r="BC23" i="2" s="1"/>
  <c r="S19" i="3"/>
  <c r="R19" i="3"/>
  <c r="H19" i="3" a="1"/>
  <c r="H23" i="2" s="1"/>
  <c r="G19" i="3" a="1"/>
  <c r="G23" i="2" s="1"/>
  <c r="F19" i="3" a="1"/>
  <c r="F23" i="2" s="1"/>
  <c r="E19" i="3" a="1"/>
  <c r="E23" i="2" s="1"/>
  <c r="CD18" i="3"/>
  <c r="BK18" i="3"/>
  <c r="BH22" i="2" s="1"/>
  <c r="BI18" i="3"/>
  <c r="BF22" i="2" s="1"/>
  <c r="BF18" i="3"/>
  <c r="BG18" i="3" s="1"/>
  <c r="BD22" i="2" s="1"/>
  <c r="S18" i="3"/>
  <c r="R18" i="3"/>
  <c r="H18" i="3" a="1"/>
  <c r="H22" i="2" s="1"/>
  <c r="G18" i="3" a="1"/>
  <c r="G22" i="2" s="1"/>
  <c r="F18" i="3" a="1"/>
  <c r="F22" i="2" s="1"/>
  <c r="E18" i="3" a="1"/>
  <c r="E22" i="2" s="1"/>
  <c r="CD17" i="3"/>
  <c r="BK17" i="3"/>
  <c r="BH21" i="2" s="1"/>
  <c r="BI17" i="3"/>
  <c r="BF21" i="2" s="1"/>
  <c r="BF17" i="3"/>
  <c r="BG17" i="3" s="1"/>
  <c r="BD21" i="2" s="1"/>
  <c r="AM17" i="3"/>
  <c r="S17" i="3"/>
  <c r="R17" i="3"/>
  <c r="H17" i="3" a="1"/>
  <c r="H21" i="2" s="1"/>
  <c r="G17" i="3" a="1"/>
  <c r="G21" i="2" s="1"/>
  <c r="F17" i="3" a="1"/>
  <c r="F21" i="2" s="1"/>
  <c r="E17" i="3" a="1"/>
  <c r="E21" i="2" s="1"/>
  <c r="CD16" i="3"/>
  <c r="BK16" i="3"/>
  <c r="BH20" i="2" s="1"/>
  <c r="BI16" i="3"/>
  <c r="BF20" i="2" s="1"/>
  <c r="BF16" i="3"/>
  <c r="BG16" i="3" s="1"/>
  <c r="BD20" i="2" s="1"/>
  <c r="AT16" i="3"/>
  <c r="CG20" i="2" s="1"/>
  <c r="S16" i="3"/>
  <c r="R16" i="3"/>
  <c r="H16" i="3" a="1"/>
  <c r="H20" i="2" s="1"/>
  <c r="G16" i="3" a="1"/>
  <c r="G20" i="2" s="1"/>
  <c r="F16" i="3" a="1"/>
  <c r="F20" i="2" s="1"/>
  <c r="E16" i="3" a="1"/>
  <c r="E20" i="2" s="1"/>
  <c r="CD15" i="3"/>
  <c r="BK15" i="3"/>
  <c r="BH19" i="2" s="1"/>
  <c r="BI15" i="3"/>
  <c r="BF19" i="2" s="1"/>
  <c r="BF15" i="3"/>
  <c r="BC19" i="2" s="1"/>
  <c r="S15" i="3"/>
  <c r="R15" i="3"/>
  <c r="H15" i="3" a="1"/>
  <c r="H19" i="2" s="1"/>
  <c r="G15" i="3" a="1"/>
  <c r="G19" i="2" s="1"/>
  <c r="F15" i="3" a="1"/>
  <c r="F19" i="2" s="1"/>
  <c r="E15" i="3" a="1"/>
  <c r="E19" i="2" s="1"/>
  <c r="D6" i="3"/>
  <c r="B93" i="2"/>
  <c r="CH86" i="2"/>
  <c r="CG86" i="2"/>
  <c r="CC86" i="2"/>
  <c r="BT86" i="2"/>
  <c r="BL86" i="2"/>
  <c r="BK86" i="2"/>
  <c r="BI86" i="2"/>
  <c r="BG86" i="2"/>
  <c r="BE86" i="2"/>
  <c r="AU86" i="2"/>
  <c r="AT86" i="2"/>
  <c r="AS86" i="2"/>
  <c r="AR86" i="2"/>
  <c r="BO86" i="2" s="1"/>
  <c r="AQ86" i="2"/>
  <c r="AO86" i="2"/>
  <c r="AN86" i="2"/>
  <c r="AM86" i="2"/>
  <c r="AB86" i="2"/>
  <c r="AA86" i="2"/>
  <c r="Y86" i="2"/>
  <c r="V86" i="2"/>
  <c r="U86" i="2"/>
  <c r="S86" i="2"/>
  <c r="R86" i="2"/>
  <c r="Q86" i="2"/>
  <c r="O86" i="2"/>
  <c r="N86" i="2"/>
  <c r="M86" i="2"/>
  <c r="L86" i="2"/>
  <c r="K86" i="2"/>
  <c r="J86" i="2"/>
  <c r="D86" i="2"/>
  <c r="C86" i="2"/>
  <c r="CH85" i="2"/>
  <c r="CG85" i="2"/>
  <c r="CC85" i="2"/>
  <c r="BT85" i="2"/>
  <c r="BL85" i="2"/>
  <c r="BK85" i="2"/>
  <c r="BI85" i="2"/>
  <c r="BG85" i="2"/>
  <c r="BE85" i="2"/>
  <c r="AU85" i="2"/>
  <c r="AT85" i="2"/>
  <c r="AS85" i="2"/>
  <c r="AR85" i="2"/>
  <c r="BP85" i="2" s="1"/>
  <c r="AQ85" i="2"/>
  <c r="AO85" i="2"/>
  <c r="AN85" i="2"/>
  <c r="AM85" i="2"/>
  <c r="AB85" i="2"/>
  <c r="AA85" i="2"/>
  <c r="Y85" i="2"/>
  <c r="V85" i="2"/>
  <c r="U85" i="2"/>
  <c r="S85" i="2"/>
  <c r="R85" i="2"/>
  <c r="Q85" i="2"/>
  <c r="O85" i="2"/>
  <c r="N85" i="2"/>
  <c r="M85" i="2"/>
  <c r="L85" i="2"/>
  <c r="K85" i="2"/>
  <c r="J85" i="2"/>
  <c r="D85" i="2"/>
  <c r="C85" i="2"/>
  <c r="CH84" i="2"/>
  <c r="CG84" i="2"/>
  <c r="CC84" i="2"/>
  <c r="BT84" i="2"/>
  <c r="BL84" i="2"/>
  <c r="BK84" i="2"/>
  <c r="BI84" i="2"/>
  <c r="BG84" i="2"/>
  <c r="BE84" i="2"/>
  <c r="AU84" i="2"/>
  <c r="AT84" i="2"/>
  <c r="AS84" i="2"/>
  <c r="AR84" i="2"/>
  <c r="AQ84" i="2"/>
  <c r="AO84" i="2"/>
  <c r="AN84" i="2"/>
  <c r="AM84" i="2"/>
  <c r="AB84" i="2"/>
  <c r="AA84" i="2"/>
  <c r="Y84" i="2"/>
  <c r="V84" i="2"/>
  <c r="U84" i="2"/>
  <c r="S84" i="2"/>
  <c r="R84" i="2"/>
  <c r="Q84" i="2"/>
  <c r="O84" i="2"/>
  <c r="N84" i="2"/>
  <c r="M84" i="2"/>
  <c r="L84" i="2"/>
  <c r="K84" i="2"/>
  <c r="J84" i="2"/>
  <c r="D84" i="2"/>
  <c r="C84" i="2"/>
  <c r="CH83" i="2"/>
  <c r="CG83" i="2"/>
  <c r="CC83" i="2"/>
  <c r="BT83" i="2"/>
  <c r="BL83" i="2"/>
  <c r="BK83" i="2"/>
  <c r="BI83" i="2"/>
  <c r="BG83" i="2"/>
  <c r="BE83" i="2"/>
  <c r="AU83" i="2"/>
  <c r="AT83" i="2"/>
  <c r="AS83" i="2"/>
  <c r="BV83" i="2" s="1"/>
  <c r="AR83" i="2"/>
  <c r="BO83" i="2" s="1"/>
  <c r="AQ83" i="2"/>
  <c r="AO83" i="2"/>
  <c r="AN83" i="2"/>
  <c r="AM83" i="2"/>
  <c r="AB83" i="2"/>
  <c r="AA83" i="2"/>
  <c r="Y83" i="2"/>
  <c r="V83" i="2"/>
  <c r="U83" i="2"/>
  <c r="S83" i="2"/>
  <c r="R83" i="2"/>
  <c r="Q83" i="2"/>
  <c r="O83" i="2"/>
  <c r="N83" i="2"/>
  <c r="M83" i="2"/>
  <c r="L83" i="2"/>
  <c r="K83" i="2"/>
  <c r="J83" i="2"/>
  <c r="D83" i="2"/>
  <c r="AH83" i="2" s="1"/>
  <c r="C83" i="2"/>
  <c r="CH82" i="2"/>
  <c r="CG82" i="2"/>
  <c r="CC82" i="2"/>
  <c r="BT82" i="2"/>
  <c r="BL82" i="2"/>
  <c r="BK82" i="2"/>
  <c r="BI82" i="2"/>
  <c r="BG82" i="2"/>
  <c r="BE82" i="2"/>
  <c r="AU82" i="2"/>
  <c r="AT82" i="2"/>
  <c r="AS82" i="2"/>
  <c r="AR82" i="2"/>
  <c r="BP82" i="2" s="1"/>
  <c r="AQ82" i="2"/>
  <c r="AO82" i="2"/>
  <c r="AN82" i="2"/>
  <c r="AM82" i="2"/>
  <c r="AB82" i="2"/>
  <c r="AA82" i="2"/>
  <c r="Y82" i="2"/>
  <c r="V82" i="2"/>
  <c r="U82" i="2"/>
  <c r="S82" i="2"/>
  <c r="R82" i="2"/>
  <c r="Q82" i="2"/>
  <c r="O82" i="2"/>
  <c r="N82" i="2"/>
  <c r="M82" i="2"/>
  <c r="L82" i="2"/>
  <c r="K82" i="2"/>
  <c r="J82" i="2"/>
  <c r="D82" i="2"/>
  <c r="C82" i="2"/>
  <c r="CH81" i="2"/>
  <c r="CG81" i="2"/>
  <c r="CC81" i="2"/>
  <c r="BT81" i="2"/>
  <c r="BL81" i="2"/>
  <c r="BK81" i="2"/>
  <c r="BI81" i="2"/>
  <c r="BG81" i="2"/>
  <c r="BE81" i="2"/>
  <c r="AU81" i="2"/>
  <c r="AT81" i="2"/>
  <c r="AS81" i="2"/>
  <c r="BV81" i="2" s="1"/>
  <c r="AR81" i="2"/>
  <c r="BO81" i="2" s="1"/>
  <c r="AQ81" i="2"/>
  <c r="AO81" i="2"/>
  <c r="AN81" i="2"/>
  <c r="AM81" i="2"/>
  <c r="AB81" i="2"/>
  <c r="AA81" i="2"/>
  <c r="Y81" i="2"/>
  <c r="V81" i="2"/>
  <c r="U81" i="2"/>
  <c r="S81" i="2"/>
  <c r="R81" i="2"/>
  <c r="Q81" i="2"/>
  <c r="O81" i="2"/>
  <c r="N81" i="2"/>
  <c r="M81" i="2"/>
  <c r="L81" i="2"/>
  <c r="K81" i="2"/>
  <c r="J81" i="2"/>
  <c r="D81" i="2"/>
  <c r="C81" i="2"/>
  <c r="CH80" i="2"/>
  <c r="CG80" i="2"/>
  <c r="CC80" i="2"/>
  <c r="BT80" i="2"/>
  <c r="BL80" i="2"/>
  <c r="BK80" i="2"/>
  <c r="BI80" i="2"/>
  <c r="BG80" i="2"/>
  <c r="BE80" i="2"/>
  <c r="AU80" i="2"/>
  <c r="AT80" i="2"/>
  <c r="AS80" i="2"/>
  <c r="BV80" i="2" s="1"/>
  <c r="AR80" i="2"/>
  <c r="AQ80" i="2"/>
  <c r="AO80" i="2"/>
  <c r="AN80" i="2"/>
  <c r="AM80" i="2"/>
  <c r="AB80" i="2"/>
  <c r="AA80" i="2"/>
  <c r="Y80" i="2"/>
  <c r="V80" i="2"/>
  <c r="U80" i="2"/>
  <c r="S80" i="2"/>
  <c r="R80" i="2"/>
  <c r="Q80" i="2"/>
  <c r="O80" i="2"/>
  <c r="N80" i="2"/>
  <c r="M80" i="2"/>
  <c r="L80" i="2"/>
  <c r="K80" i="2"/>
  <c r="J80" i="2"/>
  <c r="D80" i="2"/>
  <c r="C80" i="2"/>
  <c r="CH79" i="2"/>
  <c r="CG79" i="2"/>
  <c r="CC79" i="2"/>
  <c r="BT79" i="2"/>
  <c r="BL79" i="2"/>
  <c r="BK79" i="2"/>
  <c r="BI79" i="2"/>
  <c r="BG79" i="2"/>
  <c r="BE79" i="2"/>
  <c r="AU79" i="2"/>
  <c r="AT79" i="2"/>
  <c r="AS79" i="2"/>
  <c r="AR79" i="2"/>
  <c r="AQ79" i="2"/>
  <c r="AO79" i="2"/>
  <c r="AN79" i="2"/>
  <c r="AM79" i="2"/>
  <c r="AB79" i="2"/>
  <c r="AA79" i="2"/>
  <c r="Y79" i="2"/>
  <c r="V79" i="2"/>
  <c r="U79" i="2"/>
  <c r="S79" i="2"/>
  <c r="R79" i="2"/>
  <c r="Q79" i="2"/>
  <c r="O79" i="2"/>
  <c r="N79" i="2"/>
  <c r="M79" i="2"/>
  <c r="L79" i="2"/>
  <c r="K79" i="2"/>
  <c r="J79" i="2"/>
  <c r="D79" i="2"/>
  <c r="C79" i="2"/>
  <c r="CH78" i="2"/>
  <c r="CG78" i="2"/>
  <c r="CC78" i="2"/>
  <c r="BT78" i="2"/>
  <c r="BL78" i="2"/>
  <c r="BK78" i="2"/>
  <c r="BI78" i="2"/>
  <c r="BG78" i="2"/>
  <c r="BE78" i="2"/>
  <c r="AU78" i="2"/>
  <c r="AT78" i="2"/>
  <c r="AS78" i="2"/>
  <c r="BV78" i="2" s="1"/>
  <c r="AR78" i="2"/>
  <c r="BO78" i="2" s="1"/>
  <c r="AQ78" i="2"/>
  <c r="AO78" i="2"/>
  <c r="AN78" i="2"/>
  <c r="AM78" i="2"/>
  <c r="AB78" i="2"/>
  <c r="AA78" i="2"/>
  <c r="Y78" i="2"/>
  <c r="V78" i="2"/>
  <c r="U78" i="2"/>
  <c r="S78" i="2"/>
  <c r="R78" i="2"/>
  <c r="Q78" i="2"/>
  <c r="O78" i="2"/>
  <c r="N78" i="2"/>
  <c r="M78" i="2"/>
  <c r="L78" i="2"/>
  <c r="K78" i="2"/>
  <c r="J78" i="2"/>
  <c r="D78" i="2"/>
  <c r="C78" i="2"/>
  <c r="CH77" i="2"/>
  <c r="CG77" i="2"/>
  <c r="CC77" i="2"/>
  <c r="BT77" i="2"/>
  <c r="BL77" i="2"/>
  <c r="BK77" i="2"/>
  <c r="BI77" i="2"/>
  <c r="BG77" i="2"/>
  <c r="BE77" i="2"/>
  <c r="AU77" i="2"/>
  <c r="AT77" i="2"/>
  <c r="AS77" i="2"/>
  <c r="BV77" i="2" s="1"/>
  <c r="AR77" i="2"/>
  <c r="BO77" i="2" s="1"/>
  <c r="AQ77" i="2"/>
  <c r="AO77" i="2"/>
  <c r="AN77" i="2"/>
  <c r="AM77" i="2"/>
  <c r="AB77" i="2"/>
  <c r="AA77" i="2"/>
  <c r="Y77" i="2"/>
  <c r="V77" i="2"/>
  <c r="U77" i="2"/>
  <c r="S77" i="2"/>
  <c r="R77" i="2"/>
  <c r="Q77" i="2"/>
  <c r="O77" i="2"/>
  <c r="N77" i="2"/>
  <c r="M77" i="2"/>
  <c r="L77" i="2"/>
  <c r="K77" i="2"/>
  <c r="J77" i="2"/>
  <c r="D77" i="2"/>
  <c r="C77" i="2"/>
  <c r="CH76" i="2"/>
  <c r="CG76" i="2"/>
  <c r="CC76" i="2"/>
  <c r="BT76" i="2"/>
  <c r="BL76" i="2"/>
  <c r="BK76" i="2"/>
  <c r="BI76" i="2"/>
  <c r="BG76" i="2"/>
  <c r="BE76" i="2"/>
  <c r="AU76" i="2"/>
  <c r="AT76" i="2"/>
  <c r="AS76" i="2"/>
  <c r="BV76" i="2" s="1"/>
  <c r="AR76" i="2"/>
  <c r="BO76" i="2" s="1"/>
  <c r="AQ76" i="2"/>
  <c r="AO76" i="2"/>
  <c r="AN76" i="2"/>
  <c r="AM76" i="2"/>
  <c r="AB76" i="2"/>
  <c r="AA76" i="2"/>
  <c r="Y76" i="2"/>
  <c r="V76" i="2"/>
  <c r="U76" i="2"/>
  <c r="S76" i="2"/>
  <c r="R76" i="2"/>
  <c r="Q76" i="2"/>
  <c r="O76" i="2"/>
  <c r="N76" i="2"/>
  <c r="M76" i="2"/>
  <c r="L76" i="2"/>
  <c r="K76" i="2"/>
  <c r="J76" i="2"/>
  <c r="H76" i="2"/>
  <c r="G76" i="2"/>
  <c r="F76" i="2"/>
  <c r="D76" i="2"/>
  <c r="C76" i="2"/>
  <c r="CH75" i="2"/>
  <c r="CG75" i="2"/>
  <c r="CC75" i="2"/>
  <c r="BT75" i="2"/>
  <c r="BL75" i="2"/>
  <c r="BK75" i="2"/>
  <c r="BI75" i="2"/>
  <c r="BG75" i="2"/>
  <c r="BE75" i="2"/>
  <c r="AU75" i="2"/>
  <c r="AT75" i="2"/>
  <c r="AS75" i="2"/>
  <c r="AR75" i="2"/>
  <c r="AQ75" i="2"/>
  <c r="AO75" i="2"/>
  <c r="AN75" i="2"/>
  <c r="AM75" i="2"/>
  <c r="AB75" i="2"/>
  <c r="AA75" i="2"/>
  <c r="Y75" i="2"/>
  <c r="V75" i="2"/>
  <c r="U75" i="2"/>
  <c r="S75" i="2"/>
  <c r="R75" i="2"/>
  <c r="Q75" i="2"/>
  <c r="O75" i="2"/>
  <c r="N75" i="2"/>
  <c r="M75" i="2"/>
  <c r="L75" i="2"/>
  <c r="K75" i="2"/>
  <c r="J75" i="2"/>
  <c r="D75" i="2"/>
  <c r="C75" i="2"/>
  <c r="CH74" i="2"/>
  <c r="CG74" i="2"/>
  <c r="CC74" i="2"/>
  <c r="BT74" i="2"/>
  <c r="BL74" i="2"/>
  <c r="BK74" i="2"/>
  <c r="BI74" i="2"/>
  <c r="BG74" i="2"/>
  <c r="BE74" i="2"/>
  <c r="AU74" i="2"/>
  <c r="AT74" i="2"/>
  <c r="AS74" i="2"/>
  <c r="BV74" i="2" s="1"/>
  <c r="AR74" i="2"/>
  <c r="BO74" i="2" s="1"/>
  <c r="AQ74" i="2"/>
  <c r="AO74" i="2"/>
  <c r="AN74" i="2"/>
  <c r="AM74" i="2"/>
  <c r="AB74" i="2"/>
  <c r="AA74" i="2"/>
  <c r="Y74" i="2"/>
  <c r="V74" i="2"/>
  <c r="U74" i="2"/>
  <c r="S74" i="2"/>
  <c r="R74" i="2"/>
  <c r="Q74" i="2"/>
  <c r="O74" i="2"/>
  <c r="N74" i="2"/>
  <c r="M74" i="2"/>
  <c r="L74" i="2"/>
  <c r="K74" i="2"/>
  <c r="J74" i="2"/>
  <c r="D74" i="2"/>
  <c r="C74" i="2"/>
  <c r="CH73" i="2"/>
  <c r="CG73" i="2"/>
  <c r="CC73" i="2"/>
  <c r="BT73" i="2"/>
  <c r="BL73" i="2"/>
  <c r="BK73" i="2"/>
  <c r="BI73" i="2"/>
  <c r="BG73" i="2"/>
  <c r="BE73" i="2"/>
  <c r="AU73" i="2"/>
  <c r="AT73" i="2"/>
  <c r="AS73" i="2"/>
  <c r="AR73" i="2"/>
  <c r="AQ73" i="2"/>
  <c r="AO73" i="2"/>
  <c r="AN73" i="2"/>
  <c r="AM73" i="2"/>
  <c r="AB73" i="2"/>
  <c r="AA73" i="2"/>
  <c r="Y73" i="2"/>
  <c r="V73" i="2"/>
  <c r="U73" i="2"/>
  <c r="S73" i="2"/>
  <c r="R73" i="2"/>
  <c r="Q73" i="2"/>
  <c r="O73" i="2"/>
  <c r="N73" i="2"/>
  <c r="M73" i="2"/>
  <c r="L73" i="2"/>
  <c r="K73" i="2"/>
  <c r="J73" i="2"/>
  <c r="D73" i="2"/>
  <c r="C73" i="2"/>
  <c r="CH72" i="2"/>
  <c r="CG72" i="2"/>
  <c r="CC72" i="2"/>
  <c r="BT72" i="2"/>
  <c r="BL72" i="2"/>
  <c r="BK72" i="2"/>
  <c r="BI72" i="2"/>
  <c r="BG72" i="2"/>
  <c r="BE72" i="2"/>
  <c r="AU72" i="2"/>
  <c r="AT72" i="2"/>
  <c r="AS72" i="2"/>
  <c r="AR72" i="2"/>
  <c r="BP72" i="2" s="1"/>
  <c r="AQ72" i="2"/>
  <c r="AO72" i="2"/>
  <c r="AN72" i="2"/>
  <c r="AM72" i="2"/>
  <c r="AB72" i="2"/>
  <c r="AA72" i="2"/>
  <c r="Y72" i="2"/>
  <c r="V72" i="2"/>
  <c r="U72" i="2"/>
  <c r="S72" i="2"/>
  <c r="R72" i="2"/>
  <c r="Q72" i="2"/>
  <c r="O72" i="2"/>
  <c r="N72" i="2"/>
  <c r="M72" i="2"/>
  <c r="L72" i="2"/>
  <c r="K72" i="2"/>
  <c r="J72" i="2"/>
  <c r="D72" i="2"/>
  <c r="C72" i="2"/>
  <c r="CH71" i="2"/>
  <c r="CG71" i="2"/>
  <c r="CC71" i="2"/>
  <c r="BT71" i="2"/>
  <c r="BL71" i="2"/>
  <c r="BK71" i="2"/>
  <c r="BI71" i="2"/>
  <c r="BG71" i="2"/>
  <c r="BE71" i="2"/>
  <c r="AU71" i="2"/>
  <c r="AT71" i="2"/>
  <c r="AS71" i="2"/>
  <c r="BV71" i="2" s="1"/>
  <c r="AR71" i="2"/>
  <c r="BP71" i="2" s="1"/>
  <c r="AQ71" i="2"/>
  <c r="AO71" i="2"/>
  <c r="AN71" i="2"/>
  <c r="AM71" i="2"/>
  <c r="AB71" i="2"/>
  <c r="AA71" i="2"/>
  <c r="Y71" i="2"/>
  <c r="V71" i="2"/>
  <c r="U71" i="2"/>
  <c r="S71" i="2"/>
  <c r="R71" i="2"/>
  <c r="Q71" i="2"/>
  <c r="O71" i="2"/>
  <c r="N71" i="2"/>
  <c r="M71" i="2"/>
  <c r="L71" i="2"/>
  <c r="K71" i="2"/>
  <c r="J71" i="2"/>
  <c r="D71" i="2"/>
  <c r="C71" i="2"/>
  <c r="CH70" i="2"/>
  <c r="CG70" i="2"/>
  <c r="CC70" i="2"/>
  <c r="BT70" i="2"/>
  <c r="BL70" i="2"/>
  <c r="BK70" i="2"/>
  <c r="BI70" i="2"/>
  <c r="BG70" i="2"/>
  <c r="BE70" i="2"/>
  <c r="AU70" i="2"/>
  <c r="AT70" i="2"/>
  <c r="AS70" i="2"/>
  <c r="BV70" i="2" s="1"/>
  <c r="AR70" i="2"/>
  <c r="BO70" i="2" s="1"/>
  <c r="AQ70" i="2"/>
  <c r="AO70" i="2"/>
  <c r="AN70" i="2"/>
  <c r="AM70" i="2"/>
  <c r="AB70" i="2"/>
  <c r="AA70" i="2"/>
  <c r="Y70" i="2"/>
  <c r="V70" i="2"/>
  <c r="U70" i="2"/>
  <c r="S70" i="2"/>
  <c r="R70" i="2"/>
  <c r="Q70" i="2"/>
  <c r="O70" i="2"/>
  <c r="N70" i="2"/>
  <c r="M70" i="2"/>
  <c r="L70" i="2"/>
  <c r="K70" i="2"/>
  <c r="J70" i="2"/>
  <c r="D70" i="2"/>
  <c r="C70" i="2"/>
  <c r="CH69" i="2"/>
  <c r="CG69" i="2"/>
  <c r="CC69" i="2"/>
  <c r="BT69" i="2"/>
  <c r="BL69" i="2"/>
  <c r="BK69" i="2"/>
  <c r="BI69" i="2"/>
  <c r="BG69" i="2"/>
  <c r="BE69" i="2"/>
  <c r="AU69" i="2"/>
  <c r="AT69" i="2"/>
  <c r="AS69" i="2"/>
  <c r="BV69" i="2" s="1"/>
  <c r="AR69" i="2"/>
  <c r="BO69" i="2" s="1"/>
  <c r="AQ69" i="2"/>
  <c r="AO69" i="2"/>
  <c r="AN69" i="2"/>
  <c r="AM69" i="2"/>
  <c r="AB69" i="2"/>
  <c r="AA69" i="2"/>
  <c r="Y69" i="2"/>
  <c r="V69" i="2"/>
  <c r="U69" i="2"/>
  <c r="S69" i="2"/>
  <c r="R69" i="2"/>
  <c r="Q69" i="2"/>
  <c r="O69" i="2"/>
  <c r="N69" i="2"/>
  <c r="M69" i="2"/>
  <c r="L69" i="2"/>
  <c r="K69" i="2"/>
  <c r="J69" i="2"/>
  <c r="D69" i="2"/>
  <c r="C69" i="2"/>
  <c r="CH68" i="2"/>
  <c r="CG68" i="2"/>
  <c r="CC68" i="2"/>
  <c r="BT68" i="2"/>
  <c r="BL68" i="2"/>
  <c r="BK68" i="2"/>
  <c r="BI68" i="2"/>
  <c r="BG68" i="2"/>
  <c r="BE68" i="2"/>
  <c r="AU68" i="2"/>
  <c r="AT68" i="2"/>
  <c r="AS68" i="2"/>
  <c r="BV68" i="2" s="1"/>
  <c r="AR68" i="2"/>
  <c r="BP68" i="2" s="1"/>
  <c r="AQ68" i="2"/>
  <c r="AO68" i="2"/>
  <c r="AN68" i="2"/>
  <c r="AM68" i="2"/>
  <c r="AB68" i="2"/>
  <c r="AA68" i="2"/>
  <c r="Y68" i="2"/>
  <c r="V68" i="2"/>
  <c r="U68" i="2"/>
  <c r="S68" i="2"/>
  <c r="R68" i="2"/>
  <c r="Q68" i="2"/>
  <c r="O68" i="2"/>
  <c r="N68" i="2"/>
  <c r="M68" i="2"/>
  <c r="L68" i="2"/>
  <c r="K68" i="2"/>
  <c r="J68" i="2"/>
  <c r="D68" i="2"/>
  <c r="C68" i="2"/>
  <c r="CH67" i="2"/>
  <c r="CG67" i="2"/>
  <c r="CC67" i="2"/>
  <c r="BT67" i="2"/>
  <c r="BL67" i="2"/>
  <c r="BK67" i="2"/>
  <c r="BI67" i="2"/>
  <c r="BG67" i="2"/>
  <c r="BE67" i="2"/>
  <c r="AU67" i="2"/>
  <c r="AT67" i="2"/>
  <c r="AS67" i="2"/>
  <c r="AR67" i="2"/>
  <c r="AQ67" i="2"/>
  <c r="AO67" i="2"/>
  <c r="AN67" i="2"/>
  <c r="AM67" i="2"/>
  <c r="AB67" i="2"/>
  <c r="AA67" i="2"/>
  <c r="Y67" i="2"/>
  <c r="V67" i="2"/>
  <c r="U67" i="2"/>
  <c r="S67" i="2"/>
  <c r="R67" i="2"/>
  <c r="Q67" i="2"/>
  <c r="O67" i="2"/>
  <c r="N67" i="2"/>
  <c r="M67" i="2"/>
  <c r="L67" i="2"/>
  <c r="K67" i="2"/>
  <c r="J67" i="2"/>
  <c r="D67" i="2"/>
  <c r="C67" i="2"/>
  <c r="CH66" i="2"/>
  <c r="CG66" i="2"/>
  <c r="CC66" i="2"/>
  <c r="BT66" i="2"/>
  <c r="BL66" i="2"/>
  <c r="BK66" i="2"/>
  <c r="BI66" i="2"/>
  <c r="BG66" i="2"/>
  <c r="BE66" i="2"/>
  <c r="AU66" i="2"/>
  <c r="AT66" i="2"/>
  <c r="AS66" i="2"/>
  <c r="BV66" i="2" s="1"/>
  <c r="AR66" i="2"/>
  <c r="BP66" i="2" s="1"/>
  <c r="AQ66" i="2"/>
  <c r="AO66" i="2"/>
  <c r="AN66" i="2"/>
  <c r="AM66" i="2"/>
  <c r="AB66" i="2"/>
  <c r="AA66" i="2"/>
  <c r="Y66" i="2"/>
  <c r="V66" i="2"/>
  <c r="U66" i="2"/>
  <c r="S66" i="2"/>
  <c r="R66" i="2"/>
  <c r="Q66" i="2"/>
  <c r="O66" i="2"/>
  <c r="N66" i="2"/>
  <c r="M66" i="2"/>
  <c r="L66" i="2"/>
  <c r="K66" i="2"/>
  <c r="J66" i="2"/>
  <c r="D66" i="2"/>
  <c r="C66" i="2"/>
  <c r="CH65" i="2"/>
  <c r="CG65" i="2"/>
  <c r="CC65" i="2"/>
  <c r="BT65" i="2"/>
  <c r="BL65" i="2"/>
  <c r="BK65" i="2"/>
  <c r="BI65" i="2"/>
  <c r="BG65" i="2"/>
  <c r="BE65" i="2"/>
  <c r="AU65" i="2"/>
  <c r="AT65" i="2"/>
  <c r="AS65" i="2"/>
  <c r="BV65" i="2" s="1"/>
  <c r="AR65" i="2"/>
  <c r="AQ65" i="2"/>
  <c r="AO65" i="2"/>
  <c r="AN65" i="2"/>
  <c r="AM65" i="2"/>
  <c r="AB65" i="2"/>
  <c r="AA65" i="2"/>
  <c r="Y65" i="2"/>
  <c r="V65" i="2"/>
  <c r="U65" i="2"/>
  <c r="S65" i="2"/>
  <c r="R65" i="2"/>
  <c r="Q65" i="2"/>
  <c r="O65" i="2"/>
  <c r="N65" i="2"/>
  <c r="M65" i="2"/>
  <c r="L65" i="2"/>
  <c r="K65" i="2"/>
  <c r="J65" i="2"/>
  <c r="D65" i="2"/>
  <c r="C65" i="2"/>
  <c r="CH64" i="2"/>
  <c r="CG64" i="2"/>
  <c r="CC64" i="2"/>
  <c r="BT64" i="2"/>
  <c r="BL64" i="2"/>
  <c r="BK64" i="2"/>
  <c r="BI64" i="2"/>
  <c r="BG64" i="2"/>
  <c r="BE64" i="2"/>
  <c r="AU64" i="2"/>
  <c r="AT64" i="2"/>
  <c r="AS64" i="2"/>
  <c r="BV64" i="2" s="1"/>
  <c r="AR64" i="2"/>
  <c r="BP64" i="2" s="1"/>
  <c r="AQ64" i="2"/>
  <c r="AO64" i="2"/>
  <c r="AN64" i="2"/>
  <c r="AM64" i="2"/>
  <c r="AB64" i="2"/>
  <c r="AA64" i="2"/>
  <c r="Y64" i="2"/>
  <c r="V64" i="2"/>
  <c r="U64" i="2"/>
  <c r="S64" i="2"/>
  <c r="R64" i="2"/>
  <c r="Q64" i="2"/>
  <c r="O64" i="2"/>
  <c r="N64" i="2"/>
  <c r="M64" i="2"/>
  <c r="L64" i="2"/>
  <c r="K64" i="2"/>
  <c r="J64" i="2"/>
  <c r="D64" i="2"/>
  <c r="C64" i="2"/>
  <c r="CH63" i="2"/>
  <c r="CG63" i="2"/>
  <c r="CC63" i="2"/>
  <c r="BT63" i="2"/>
  <c r="BL63" i="2"/>
  <c r="BK63" i="2"/>
  <c r="BI63" i="2"/>
  <c r="BG63" i="2"/>
  <c r="BE63" i="2"/>
  <c r="AU63" i="2"/>
  <c r="AT63" i="2"/>
  <c r="AS63" i="2"/>
  <c r="BV63" i="2" s="1"/>
  <c r="AR63" i="2"/>
  <c r="AQ63" i="2"/>
  <c r="AO63" i="2"/>
  <c r="AN63" i="2"/>
  <c r="AM63" i="2"/>
  <c r="AB63" i="2"/>
  <c r="AA63" i="2"/>
  <c r="Y63" i="2"/>
  <c r="V63" i="2"/>
  <c r="U63" i="2"/>
  <c r="S63" i="2"/>
  <c r="R63" i="2"/>
  <c r="Q63" i="2"/>
  <c r="O63" i="2"/>
  <c r="N63" i="2"/>
  <c r="M63" i="2"/>
  <c r="L63" i="2"/>
  <c r="K63" i="2"/>
  <c r="J63" i="2"/>
  <c r="D63" i="2"/>
  <c r="C63" i="2"/>
  <c r="CH62" i="2"/>
  <c r="CG62" i="2"/>
  <c r="CC62" i="2"/>
  <c r="BT62" i="2"/>
  <c r="BL62" i="2"/>
  <c r="BK62" i="2"/>
  <c r="BI62" i="2"/>
  <c r="BG62" i="2"/>
  <c r="BE62" i="2"/>
  <c r="AU62" i="2"/>
  <c r="AT62" i="2"/>
  <c r="AS62" i="2"/>
  <c r="BV62" i="2" s="1"/>
  <c r="AR62" i="2"/>
  <c r="BO62" i="2" s="1"/>
  <c r="AQ62" i="2"/>
  <c r="AO62" i="2"/>
  <c r="AN62" i="2"/>
  <c r="AM62" i="2"/>
  <c r="AB62" i="2"/>
  <c r="AA62" i="2"/>
  <c r="Y62" i="2"/>
  <c r="V62" i="2"/>
  <c r="U62" i="2"/>
  <c r="S62" i="2"/>
  <c r="R62" i="2"/>
  <c r="Q62" i="2"/>
  <c r="O62" i="2"/>
  <c r="N62" i="2"/>
  <c r="M62" i="2"/>
  <c r="L62" i="2"/>
  <c r="K62" i="2"/>
  <c r="J62" i="2"/>
  <c r="D62" i="2"/>
  <c r="C62" i="2"/>
  <c r="CH61" i="2"/>
  <c r="CG61" i="2"/>
  <c r="CC61" i="2"/>
  <c r="BT61" i="2"/>
  <c r="BL61" i="2"/>
  <c r="BK61" i="2"/>
  <c r="BI61" i="2"/>
  <c r="BG61" i="2"/>
  <c r="BE61" i="2"/>
  <c r="AU61" i="2"/>
  <c r="AT61" i="2"/>
  <c r="AS61" i="2"/>
  <c r="AR61" i="2"/>
  <c r="AQ61" i="2"/>
  <c r="AO61" i="2"/>
  <c r="AN61" i="2"/>
  <c r="AM61" i="2"/>
  <c r="AB61" i="2"/>
  <c r="AA61" i="2"/>
  <c r="Y61" i="2"/>
  <c r="V61" i="2"/>
  <c r="U61" i="2"/>
  <c r="S61" i="2"/>
  <c r="R61" i="2"/>
  <c r="Q61" i="2"/>
  <c r="O61" i="2"/>
  <c r="N61" i="2"/>
  <c r="M61" i="2"/>
  <c r="L61" i="2"/>
  <c r="K61" i="2"/>
  <c r="J61" i="2"/>
  <c r="D61" i="2"/>
  <c r="C61" i="2"/>
  <c r="CH60" i="2"/>
  <c r="CG60" i="2"/>
  <c r="CC60" i="2"/>
  <c r="BT60" i="2"/>
  <c r="BL60" i="2"/>
  <c r="BK60" i="2"/>
  <c r="BI60" i="2"/>
  <c r="BG60" i="2"/>
  <c r="BE60" i="2"/>
  <c r="AU60" i="2"/>
  <c r="AT60" i="2"/>
  <c r="AS60" i="2"/>
  <c r="BV60" i="2" s="1"/>
  <c r="AR60" i="2"/>
  <c r="BO60" i="2" s="1"/>
  <c r="AQ60" i="2"/>
  <c r="AO60" i="2"/>
  <c r="AN60" i="2"/>
  <c r="AM60" i="2"/>
  <c r="AB60" i="2"/>
  <c r="AA60" i="2"/>
  <c r="Y60" i="2"/>
  <c r="V60" i="2"/>
  <c r="U60" i="2"/>
  <c r="S60" i="2"/>
  <c r="R60" i="2"/>
  <c r="Q60" i="2"/>
  <c r="O60" i="2"/>
  <c r="N60" i="2"/>
  <c r="M60" i="2"/>
  <c r="L60" i="2"/>
  <c r="K60" i="2"/>
  <c r="J60" i="2"/>
  <c r="D60" i="2"/>
  <c r="C60" i="2"/>
  <c r="CH59" i="2"/>
  <c r="CG59" i="2"/>
  <c r="CC59" i="2"/>
  <c r="BT59" i="2"/>
  <c r="BL59" i="2"/>
  <c r="BK59" i="2"/>
  <c r="BI59" i="2"/>
  <c r="BG59" i="2"/>
  <c r="BE59" i="2"/>
  <c r="AU59" i="2"/>
  <c r="AT59" i="2"/>
  <c r="AS59" i="2"/>
  <c r="AR59" i="2"/>
  <c r="BP59" i="2" s="1"/>
  <c r="AQ59" i="2"/>
  <c r="AO59" i="2"/>
  <c r="AN59" i="2"/>
  <c r="AM59" i="2"/>
  <c r="AB59" i="2"/>
  <c r="AA59" i="2"/>
  <c r="Y59" i="2"/>
  <c r="V59" i="2"/>
  <c r="U59" i="2"/>
  <c r="S59" i="2"/>
  <c r="R59" i="2"/>
  <c r="Q59" i="2"/>
  <c r="O59" i="2"/>
  <c r="N59" i="2"/>
  <c r="M59" i="2"/>
  <c r="L59" i="2"/>
  <c r="K59" i="2"/>
  <c r="J59" i="2"/>
  <c r="D59" i="2"/>
  <c r="C59" i="2"/>
  <c r="CH58" i="2"/>
  <c r="CG58" i="2"/>
  <c r="CC58" i="2"/>
  <c r="BT58" i="2"/>
  <c r="BL58" i="2"/>
  <c r="BK58" i="2"/>
  <c r="BI58" i="2"/>
  <c r="BG58" i="2"/>
  <c r="BE58" i="2"/>
  <c r="AU58" i="2"/>
  <c r="AT58" i="2"/>
  <c r="AS58" i="2"/>
  <c r="BV58" i="2" s="1"/>
  <c r="AR58" i="2"/>
  <c r="BP58" i="2" s="1"/>
  <c r="AQ58" i="2"/>
  <c r="AO58" i="2"/>
  <c r="AN58" i="2"/>
  <c r="AM58" i="2"/>
  <c r="AB58" i="2"/>
  <c r="AA58" i="2"/>
  <c r="Y58" i="2"/>
  <c r="V58" i="2"/>
  <c r="U58" i="2"/>
  <c r="S58" i="2"/>
  <c r="R58" i="2"/>
  <c r="Q58" i="2"/>
  <c r="O58" i="2"/>
  <c r="N58" i="2"/>
  <c r="M58" i="2"/>
  <c r="L58" i="2"/>
  <c r="K58" i="2"/>
  <c r="J58" i="2"/>
  <c r="D58" i="2"/>
  <c r="C58" i="2"/>
  <c r="CH57" i="2"/>
  <c r="CG57" i="2"/>
  <c r="CC57" i="2"/>
  <c r="BT57" i="2"/>
  <c r="BL57" i="2"/>
  <c r="BK57" i="2"/>
  <c r="BI57" i="2"/>
  <c r="BG57" i="2"/>
  <c r="BE57" i="2"/>
  <c r="AU57" i="2"/>
  <c r="AT57" i="2"/>
  <c r="AS57" i="2"/>
  <c r="BV57" i="2" s="1"/>
  <c r="AR57" i="2"/>
  <c r="AQ57" i="2"/>
  <c r="AO57" i="2"/>
  <c r="AN57" i="2"/>
  <c r="AM57" i="2"/>
  <c r="AB57" i="2"/>
  <c r="AA57" i="2"/>
  <c r="Y57" i="2"/>
  <c r="V57" i="2"/>
  <c r="U57" i="2"/>
  <c r="S57" i="2"/>
  <c r="R57" i="2"/>
  <c r="Q57" i="2"/>
  <c r="O57" i="2"/>
  <c r="N57" i="2"/>
  <c r="M57" i="2"/>
  <c r="L57" i="2"/>
  <c r="K57" i="2"/>
  <c r="J57" i="2"/>
  <c r="D57" i="2"/>
  <c r="C57" i="2"/>
  <c r="CH56" i="2"/>
  <c r="CG56" i="2"/>
  <c r="CC56" i="2"/>
  <c r="BT56" i="2"/>
  <c r="BL56" i="2"/>
  <c r="BK56" i="2"/>
  <c r="BI56" i="2"/>
  <c r="BG56" i="2"/>
  <c r="BE56" i="2"/>
  <c r="AU56" i="2"/>
  <c r="AT56" i="2"/>
  <c r="AS56" i="2"/>
  <c r="BV56" i="2" s="1"/>
  <c r="AR56" i="2"/>
  <c r="BP56" i="2" s="1"/>
  <c r="AQ56" i="2"/>
  <c r="AO56" i="2"/>
  <c r="AN56" i="2"/>
  <c r="AM56" i="2"/>
  <c r="AB56" i="2"/>
  <c r="AA56" i="2"/>
  <c r="Y56" i="2"/>
  <c r="V56" i="2"/>
  <c r="U56" i="2"/>
  <c r="S56" i="2"/>
  <c r="R56" i="2"/>
  <c r="Q56" i="2"/>
  <c r="O56" i="2"/>
  <c r="N56" i="2"/>
  <c r="M56" i="2"/>
  <c r="L56" i="2"/>
  <c r="K56" i="2"/>
  <c r="J56" i="2"/>
  <c r="D56" i="2"/>
  <c r="C56" i="2"/>
  <c r="CH55" i="2"/>
  <c r="CG55" i="2"/>
  <c r="CC55" i="2"/>
  <c r="BT55" i="2"/>
  <c r="BL55" i="2"/>
  <c r="BK55" i="2"/>
  <c r="BI55" i="2"/>
  <c r="BG55" i="2"/>
  <c r="BE55" i="2"/>
  <c r="AU55" i="2"/>
  <c r="AT55" i="2"/>
  <c r="AS55" i="2"/>
  <c r="AR55" i="2"/>
  <c r="AQ55" i="2"/>
  <c r="AO55" i="2"/>
  <c r="AN55" i="2"/>
  <c r="AM55" i="2"/>
  <c r="AB55" i="2"/>
  <c r="AA55" i="2"/>
  <c r="Y55" i="2"/>
  <c r="V55" i="2"/>
  <c r="U55" i="2"/>
  <c r="S55" i="2"/>
  <c r="R55" i="2"/>
  <c r="Q55" i="2"/>
  <c r="O55" i="2"/>
  <c r="N55" i="2"/>
  <c r="M55" i="2"/>
  <c r="L55" i="2"/>
  <c r="K55" i="2"/>
  <c r="J55" i="2"/>
  <c r="D55" i="2"/>
  <c r="C55" i="2"/>
  <c r="CH54" i="2"/>
  <c r="CG54" i="2"/>
  <c r="CC54" i="2"/>
  <c r="BT54" i="2"/>
  <c r="BL54" i="2"/>
  <c r="BK54" i="2"/>
  <c r="BI54" i="2"/>
  <c r="BG54" i="2"/>
  <c r="BE54" i="2"/>
  <c r="AU54" i="2"/>
  <c r="AT54" i="2"/>
  <c r="AS54" i="2"/>
  <c r="BV54" i="2" s="1"/>
  <c r="AR54" i="2"/>
  <c r="BO54" i="2" s="1"/>
  <c r="AQ54" i="2"/>
  <c r="AO54" i="2"/>
  <c r="AN54" i="2"/>
  <c r="AM54" i="2"/>
  <c r="AB54" i="2"/>
  <c r="AA54" i="2"/>
  <c r="Y54" i="2"/>
  <c r="V54" i="2"/>
  <c r="U54" i="2"/>
  <c r="S54" i="2"/>
  <c r="R54" i="2"/>
  <c r="Q54" i="2"/>
  <c r="O54" i="2"/>
  <c r="N54" i="2"/>
  <c r="M54" i="2"/>
  <c r="L54" i="2"/>
  <c r="K54" i="2"/>
  <c r="J54" i="2"/>
  <c r="D54" i="2"/>
  <c r="AH54" i="2" s="1"/>
  <c r="C54" i="2"/>
  <c r="CH53" i="2"/>
  <c r="CG53" i="2"/>
  <c r="CC53" i="2"/>
  <c r="BV53" i="2"/>
  <c r="BT53" i="2"/>
  <c r="BL53" i="2"/>
  <c r="BK53" i="2"/>
  <c r="BI53" i="2"/>
  <c r="BG53" i="2"/>
  <c r="BE53" i="2"/>
  <c r="AU53" i="2"/>
  <c r="AT53" i="2"/>
  <c r="BW53" i="2" s="1"/>
  <c r="AR53" i="2"/>
  <c r="AQ53" i="2"/>
  <c r="AO53" i="2"/>
  <c r="AN53" i="2"/>
  <c r="AM53" i="2"/>
  <c r="AB53" i="2"/>
  <c r="AA53" i="2"/>
  <c r="Y53" i="2"/>
  <c r="V53" i="2"/>
  <c r="U53" i="2"/>
  <c r="S53" i="2"/>
  <c r="R53" i="2"/>
  <c r="Q53" i="2"/>
  <c r="O53" i="2"/>
  <c r="N53" i="2"/>
  <c r="M53" i="2"/>
  <c r="L53" i="2"/>
  <c r="K53" i="2"/>
  <c r="J53" i="2"/>
  <c r="D53" i="2"/>
  <c r="AH53" i="2" s="1"/>
  <c r="C53" i="2"/>
  <c r="CH52" i="2"/>
  <c r="CG52" i="2"/>
  <c r="CC52" i="2"/>
  <c r="BT52" i="2"/>
  <c r="BL52" i="2"/>
  <c r="BK52" i="2"/>
  <c r="BI52" i="2"/>
  <c r="BG52" i="2"/>
  <c r="BE52" i="2"/>
  <c r="AU52" i="2"/>
  <c r="AT52" i="2"/>
  <c r="AS52" i="2"/>
  <c r="BV52" i="2" s="1"/>
  <c r="AR52" i="2"/>
  <c r="BO52" i="2" s="1"/>
  <c r="AQ52" i="2"/>
  <c r="AO52" i="2"/>
  <c r="AN52" i="2"/>
  <c r="AM52" i="2"/>
  <c r="AB52" i="2"/>
  <c r="AA52" i="2"/>
  <c r="Y52" i="2"/>
  <c r="V52" i="2"/>
  <c r="U52" i="2"/>
  <c r="S52" i="2"/>
  <c r="R52" i="2"/>
  <c r="Q52" i="2"/>
  <c r="O52" i="2"/>
  <c r="N52" i="2"/>
  <c r="M52" i="2"/>
  <c r="L52" i="2"/>
  <c r="K52" i="2"/>
  <c r="J52" i="2"/>
  <c r="D52" i="2"/>
  <c r="C52" i="2"/>
  <c r="CH51" i="2"/>
  <c r="CG51" i="2"/>
  <c r="CC51" i="2"/>
  <c r="BT51" i="2"/>
  <c r="BL51" i="2"/>
  <c r="BK51" i="2"/>
  <c r="BI51" i="2"/>
  <c r="BG51" i="2"/>
  <c r="BE51" i="2"/>
  <c r="AU51" i="2"/>
  <c r="AT51" i="2"/>
  <c r="AS51" i="2"/>
  <c r="BV51" i="2" s="1"/>
  <c r="AR51" i="2"/>
  <c r="BO51" i="2" s="1"/>
  <c r="AQ51" i="2"/>
  <c r="AO51" i="2"/>
  <c r="AN51" i="2"/>
  <c r="AM51" i="2"/>
  <c r="AB51" i="2"/>
  <c r="AA51" i="2"/>
  <c r="Y51" i="2"/>
  <c r="V51" i="2"/>
  <c r="U51" i="2"/>
  <c r="S51" i="2"/>
  <c r="R51" i="2"/>
  <c r="Q51" i="2"/>
  <c r="O51" i="2"/>
  <c r="N51" i="2"/>
  <c r="M51" i="2"/>
  <c r="L51" i="2"/>
  <c r="K51" i="2"/>
  <c r="J51" i="2"/>
  <c r="D51" i="2"/>
  <c r="C51" i="2"/>
  <c r="CH50" i="2"/>
  <c r="CG50" i="2"/>
  <c r="CC50" i="2"/>
  <c r="BT50" i="2"/>
  <c r="BL50" i="2"/>
  <c r="BK50" i="2"/>
  <c r="BI50" i="2"/>
  <c r="BG50" i="2"/>
  <c r="BE50" i="2"/>
  <c r="AU50" i="2"/>
  <c r="AT50" i="2"/>
  <c r="AS50" i="2"/>
  <c r="BV50" i="2" s="1"/>
  <c r="AR50" i="2"/>
  <c r="AQ50" i="2"/>
  <c r="AO50" i="2"/>
  <c r="AN50" i="2"/>
  <c r="AM50" i="2"/>
  <c r="AB50" i="2"/>
  <c r="AA50" i="2"/>
  <c r="Y50" i="2"/>
  <c r="V50" i="2"/>
  <c r="U50" i="2"/>
  <c r="S50" i="2"/>
  <c r="R50" i="2"/>
  <c r="Q50" i="2"/>
  <c r="O50" i="2"/>
  <c r="N50" i="2"/>
  <c r="M50" i="2"/>
  <c r="L50" i="2"/>
  <c r="K50" i="2"/>
  <c r="J50" i="2"/>
  <c r="D50" i="2"/>
  <c r="C50" i="2"/>
  <c r="CH49" i="2"/>
  <c r="CG49" i="2"/>
  <c r="CC49" i="2"/>
  <c r="BT49" i="2"/>
  <c r="BL49" i="2"/>
  <c r="BK49" i="2"/>
  <c r="BI49" i="2"/>
  <c r="BG49" i="2"/>
  <c r="BE49" i="2"/>
  <c r="AU49" i="2"/>
  <c r="AT49" i="2"/>
  <c r="AS49" i="2"/>
  <c r="AR49" i="2"/>
  <c r="AQ49" i="2"/>
  <c r="AO49" i="2"/>
  <c r="AN49" i="2"/>
  <c r="AM49" i="2"/>
  <c r="AB49" i="2"/>
  <c r="AA49" i="2"/>
  <c r="Y49" i="2"/>
  <c r="V49" i="2"/>
  <c r="U49" i="2"/>
  <c r="S49" i="2"/>
  <c r="R49" i="2"/>
  <c r="Q49" i="2"/>
  <c r="O49" i="2"/>
  <c r="N49" i="2"/>
  <c r="M49" i="2"/>
  <c r="L49" i="2"/>
  <c r="K49" i="2"/>
  <c r="J49" i="2"/>
  <c r="D49" i="2"/>
  <c r="C49" i="2"/>
  <c r="CH48" i="2"/>
  <c r="CG48" i="2"/>
  <c r="CC48" i="2"/>
  <c r="BT48" i="2"/>
  <c r="BL48" i="2"/>
  <c r="BK48" i="2"/>
  <c r="BI48" i="2"/>
  <c r="BG48" i="2"/>
  <c r="BE48" i="2"/>
  <c r="AU48" i="2"/>
  <c r="AT48" i="2"/>
  <c r="AS48" i="2"/>
  <c r="AR48" i="2"/>
  <c r="BP48" i="2" s="1"/>
  <c r="AQ48" i="2"/>
  <c r="AO48" i="2"/>
  <c r="AN48" i="2"/>
  <c r="AM48" i="2"/>
  <c r="AB48" i="2"/>
  <c r="AA48" i="2"/>
  <c r="Y48" i="2"/>
  <c r="V48" i="2"/>
  <c r="U48" i="2"/>
  <c r="S48" i="2"/>
  <c r="R48" i="2"/>
  <c r="Q48" i="2"/>
  <c r="O48" i="2"/>
  <c r="N48" i="2"/>
  <c r="M48" i="2"/>
  <c r="L48" i="2"/>
  <c r="K48" i="2"/>
  <c r="J48" i="2"/>
  <c r="D48" i="2"/>
  <c r="C48" i="2"/>
  <c r="CH47" i="2"/>
  <c r="CG47" i="2"/>
  <c r="CC47" i="2"/>
  <c r="BT47" i="2"/>
  <c r="BL47" i="2"/>
  <c r="BK47" i="2"/>
  <c r="BI47" i="2"/>
  <c r="BG47" i="2"/>
  <c r="BE47" i="2"/>
  <c r="AU47" i="2"/>
  <c r="AT47" i="2"/>
  <c r="AS47" i="2"/>
  <c r="BV47" i="2" s="1"/>
  <c r="AR47" i="2"/>
  <c r="AQ47" i="2"/>
  <c r="AO47" i="2"/>
  <c r="AN47" i="2"/>
  <c r="AM47" i="2"/>
  <c r="AB47" i="2"/>
  <c r="AA47" i="2"/>
  <c r="Y47" i="2"/>
  <c r="V47" i="2"/>
  <c r="U47" i="2"/>
  <c r="S47" i="2"/>
  <c r="R47" i="2"/>
  <c r="Q47" i="2"/>
  <c r="O47" i="2"/>
  <c r="N47" i="2"/>
  <c r="M47" i="2"/>
  <c r="L47" i="2"/>
  <c r="K47" i="2"/>
  <c r="J47" i="2"/>
  <c r="D47" i="2"/>
  <c r="C47" i="2"/>
  <c r="CH46" i="2"/>
  <c r="CG46" i="2"/>
  <c r="CC46" i="2"/>
  <c r="BT46" i="2"/>
  <c r="BL46" i="2"/>
  <c r="BK46" i="2"/>
  <c r="BI46" i="2"/>
  <c r="BG46" i="2"/>
  <c r="BE46" i="2"/>
  <c r="AU46" i="2"/>
  <c r="AT46" i="2"/>
  <c r="AS46" i="2"/>
  <c r="BV46" i="2" s="1"/>
  <c r="AR46" i="2"/>
  <c r="AQ46" i="2"/>
  <c r="AO46" i="2"/>
  <c r="AN46" i="2"/>
  <c r="AM46" i="2"/>
  <c r="AB46" i="2"/>
  <c r="AA46" i="2"/>
  <c r="Y46" i="2"/>
  <c r="V46" i="2"/>
  <c r="U46" i="2"/>
  <c r="S46" i="2"/>
  <c r="R46" i="2"/>
  <c r="Q46" i="2"/>
  <c r="O46" i="2"/>
  <c r="N46" i="2"/>
  <c r="M46" i="2"/>
  <c r="L46" i="2"/>
  <c r="K46" i="2"/>
  <c r="J46" i="2"/>
  <c r="D46" i="2"/>
  <c r="C46" i="2"/>
  <c r="CH45" i="2"/>
  <c r="CG45" i="2"/>
  <c r="CC45" i="2"/>
  <c r="BV45" i="2"/>
  <c r="BT45" i="2"/>
  <c r="BL45" i="2"/>
  <c r="BK45" i="2"/>
  <c r="BI45" i="2"/>
  <c r="BG45" i="2"/>
  <c r="BE45" i="2"/>
  <c r="AU45" i="2"/>
  <c r="AT45" i="2"/>
  <c r="BW45" i="2" s="1"/>
  <c r="AR45" i="2"/>
  <c r="BO45" i="2" s="1"/>
  <c r="AQ45" i="2"/>
  <c r="AO45" i="2"/>
  <c r="AN45" i="2"/>
  <c r="AM45" i="2"/>
  <c r="AB45" i="2"/>
  <c r="AA45" i="2"/>
  <c r="Y45" i="2"/>
  <c r="V45" i="2"/>
  <c r="U45" i="2"/>
  <c r="S45" i="2"/>
  <c r="R45" i="2"/>
  <c r="Q45" i="2"/>
  <c r="O45" i="2"/>
  <c r="N45" i="2"/>
  <c r="M45" i="2"/>
  <c r="L45" i="2"/>
  <c r="K45" i="2"/>
  <c r="J45" i="2"/>
  <c r="D45" i="2"/>
  <c r="C45" i="2"/>
  <c r="CH44" i="2"/>
  <c r="CG44" i="2"/>
  <c r="CC44" i="2"/>
  <c r="BT44" i="2"/>
  <c r="BL44" i="2"/>
  <c r="BK44" i="2"/>
  <c r="BI44" i="2"/>
  <c r="BG44" i="2"/>
  <c r="BE44" i="2"/>
  <c r="AU44" i="2"/>
  <c r="AT44" i="2"/>
  <c r="AS44" i="2"/>
  <c r="BV44" i="2" s="1"/>
  <c r="AR44" i="2"/>
  <c r="BP44" i="2" s="1"/>
  <c r="AQ44" i="2"/>
  <c r="AO44" i="2"/>
  <c r="AN44" i="2"/>
  <c r="AM44" i="2"/>
  <c r="AB44" i="2"/>
  <c r="AA44" i="2"/>
  <c r="Y44" i="2"/>
  <c r="V44" i="2"/>
  <c r="U44" i="2"/>
  <c r="S44" i="2"/>
  <c r="R44" i="2"/>
  <c r="Q44" i="2"/>
  <c r="O44" i="2"/>
  <c r="N44" i="2"/>
  <c r="M44" i="2"/>
  <c r="L44" i="2"/>
  <c r="K44" i="2"/>
  <c r="J44" i="2"/>
  <c r="D44" i="2"/>
  <c r="C44" i="2"/>
  <c r="CH43" i="2"/>
  <c r="CG43" i="2"/>
  <c r="CC43" i="2"/>
  <c r="BT43" i="2"/>
  <c r="BL43" i="2"/>
  <c r="BK43" i="2"/>
  <c r="BI43" i="2"/>
  <c r="BG43" i="2"/>
  <c r="BE43" i="2"/>
  <c r="AU43" i="2"/>
  <c r="AT43" i="2"/>
  <c r="AS43" i="2"/>
  <c r="AR43" i="2"/>
  <c r="BO43" i="2" s="1"/>
  <c r="AQ43" i="2"/>
  <c r="AO43" i="2"/>
  <c r="AN43" i="2"/>
  <c r="AM43" i="2"/>
  <c r="AB43" i="2"/>
  <c r="AA43" i="2"/>
  <c r="Y43" i="2"/>
  <c r="V43" i="2"/>
  <c r="U43" i="2"/>
  <c r="S43" i="2"/>
  <c r="R43" i="2"/>
  <c r="Q43" i="2"/>
  <c r="O43" i="2"/>
  <c r="N43" i="2"/>
  <c r="M43" i="2"/>
  <c r="L43" i="2"/>
  <c r="K43" i="2"/>
  <c r="J43" i="2"/>
  <c r="D43" i="2"/>
  <c r="C43" i="2"/>
  <c r="CH42" i="2"/>
  <c r="CG42" i="2"/>
  <c r="CC42" i="2"/>
  <c r="BT42" i="2"/>
  <c r="BL42" i="2"/>
  <c r="BK42" i="2"/>
  <c r="BI42" i="2"/>
  <c r="BG42" i="2"/>
  <c r="BE42" i="2"/>
  <c r="AU42" i="2"/>
  <c r="AT42" i="2"/>
  <c r="AS42" i="2"/>
  <c r="AR42" i="2"/>
  <c r="AQ42" i="2"/>
  <c r="AO42" i="2"/>
  <c r="AN42" i="2"/>
  <c r="AM42" i="2"/>
  <c r="AB42" i="2"/>
  <c r="AA42" i="2"/>
  <c r="Y42" i="2"/>
  <c r="V42" i="2"/>
  <c r="U42" i="2"/>
  <c r="S42" i="2"/>
  <c r="R42" i="2"/>
  <c r="Q42" i="2"/>
  <c r="O42" i="2"/>
  <c r="N42" i="2"/>
  <c r="M42" i="2"/>
  <c r="L42" i="2"/>
  <c r="K42" i="2"/>
  <c r="J42" i="2"/>
  <c r="D42" i="2"/>
  <c r="C42" i="2"/>
  <c r="CH41" i="2"/>
  <c r="CG41" i="2"/>
  <c r="CC41" i="2"/>
  <c r="BT41" i="2"/>
  <c r="BL41" i="2"/>
  <c r="BK41" i="2"/>
  <c r="BI41" i="2"/>
  <c r="BG41" i="2"/>
  <c r="BE41" i="2"/>
  <c r="AU41" i="2"/>
  <c r="AT41" i="2"/>
  <c r="AS41" i="2"/>
  <c r="BV41" i="2" s="1"/>
  <c r="AR41" i="2"/>
  <c r="BO41" i="2" s="1"/>
  <c r="AQ41" i="2"/>
  <c r="AO41" i="2"/>
  <c r="AN41" i="2"/>
  <c r="AM41" i="2"/>
  <c r="AB41" i="2"/>
  <c r="AA41" i="2"/>
  <c r="Y41" i="2"/>
  <c r="V41" i="2"/>
  <c r="U41" i="2"/>
  <c r="S41" i="2"/>
  <c r="R41" i="2"/>
  <c r="Q41" i="2"/>
  <c r="O41" i="2"/>
  <c r="N41" i="2"/>
  <c r="M41" i="2"/>
  <c r="L41" i="2"/>
  <c r="K41" i="2"/>
  <c r="J41" i="2"/>
  <c r="D41" i="2"/>
  <c r="C41" i="2"/>
  <c r="CH40" i="2"/>
  <c r="CG40" i="2"/>
  <c r="CC40" i="2"/>
  <c r="BT40" i="2"/>
  <c r="BL40" i="2"/>
  <c r="BK40" i="2"/>
  <c r="BI40" i="2"/>
  <c r="BG40" i="2"/>
  <c r="BE40" i="2"/>
  <c r="AU40" i="2"/>
  <c r="AT40" i="2"/>
  <c r="AS40" i="2"/>
  <c r="AR40" i="2"/>
  <c r="AQ40" i="2"/>
  <c r="AO40" i="2"/>
  <c r="AN40" i="2"/>
  <c r="AM40" i="2"/>
  <c r="AB40" i="2"/>
  <c r="AA40" i="2"/>
  <c r="Y40" i="2"/>
  <c r="V40" i="2"/>
  <c r="U40" i="2"/>
  <c r="S40" i="2"/>
  <c r="R40" i="2"/>
  <c r="Q40" i="2"/>
  <c r="O40" i="2"/>
  <c r="N40" i="2"/>
  <c r="M40" i="2"/>
  <c r="L40" i="2"/>
  <c r="K40" i="2"/>
  <c r="J40" i="2"/>
  <c r="D40" i="2"/>
  <c r="C40" i="2"/>
  <c r="CH39" i="2"/>
  <c r="CG39" i="2"/>
  <c r="CC39" i="2"/>
  <c r="BT39" i="2"/>
  <c r="BL39" i="2"/>
  <c r="BK39" i="2"/>
  <c r="BI39" i="2"/>
  <c r="BG39" i="2"/>
  <c r="BE39" i="2"/>
  <c r="AU39" i="2"/>
  <c r="AT39" i="2"/>
  <c r="AS39" i="2"/>
  <c r="AR39" i="2"/>
  <c r="AQ39" i="2"/>
  <c r="AO39" i="2"/>
  <c r="AN39" i="2"/>
  <c r="AM39" i="2"/>
  <c r="AB39" i="2"/>
  <c r="AA39" i="2"/>
  <c r="Y39" i="2"/>
  <c r="V39" i="2"/>
  <c r="U39" i="2"/>
  <c r="S39" i="2"/>
  <c r="R39" i="2"/>
  <c r="Q39" i="2"/>
  <c r="O39" i="2"/>
  <c r="N39" i="2"/>
  <c r="M39" i="2"/>
  <c r="L39" i="2"/>
  <c r="K39" i="2"/>
  <c r="J39" i="2"/>
  <c r="D39" i="2"/>
  <c r="C39" i="2"/>
  <c r="CH38" i="2"/>
  <c r="CG38" i="2"/>
  <c r="CC38" i="2"/>
  <c r="BT38" i="2"/>
  <c r="BL38" i="2"/>
  <c r="BK38" i="2"/>
  <c r="BI38" i="2"/>
  <c r="BG38" i="2"/>
  <c r="BE38" i="2"/>
  <c r="AU38" i="2"/>
  <c r="AT38" i="2"/>
  <c r="AS38" i="2"/>
  <c r="AR38" i="2"/>
  <c r="BP38" i="2" s="1"/>
  <c r="AQ38" i="2"/>
  <c r="AO38" i="2"/>
  <c r="AN38" i="2"/>
  <c r="AM38" i="2"/>
  <c r="AB38" i="2"/>
  <c r="AA38" i="2"/>
  <c r="Y38" i="2"/>
  <c r="V38" i="2"/>
  <c r="U38" i="2"/>
  <c r="S38" i="2"/>
  <c r="R38" i="2"/>
  <c r="Q38" i="2"/>
  <c r="O38" i="2"/>
  <c r="N38" i="2"/>
  <c r="M38" i="2"/>
  <c r="L38" i="2"/>
  <c r="K38" i="2"/>
  <c r="J38" i="2"/>
  <c r="D38" i="2"/>
  <c r="C38" i="2"/>
  <c r="CH37" i="2"/>
  <c r="CG37" i="2"/>
  <c r="CC37" i="2"/>
  <c r="BT37" i="2"/>
  <c r="BL37" i="2"/>
  <c r="BK37" i="2"/>
  <c r="BI37" i="2"/>
  <c r="BG37" i="2"/>
  <c r="BE37" i="2"/>
  <c r="AU37" i="2"/>
  <c r="AT37" i="2"/>
  <c r="AS37" i="2"/>
  <c r="AR37" i="2"/>
  <c r="BO37" i="2" s="1"/>
  <c r="AQ37" i="2"/>
  <c r="AO37" i="2"/>
  <c r="AN37" i="2"/>
  <c r="AM37" i="2"/>
  <c r="AB37" i="2"/>
  <c r="AA37" i="2"/>
  <c r="Y37" i="2"/>
  <c r="V37" i="2"/>
  <c r="U37" i="2"/>
  <c r="S37" i="2"/>
  <c r="R37" i="2"/>
  <c r="Q37" i="2"/>
  <c r="O37" i="2"/>
  <c r="N37" i="2"/>
  <c r="M37" i="2"/>
  <c r="L37" i="2"/>
  <c r="K37" i="2"/>
  <c r="J37" i="2"/>
  <c r="D37" i="2"/>
  <c r="C37" i="2"/>
  <c r="CH36" i="2"/>
  <c r="CG36" i="2"/>
  <c r="CC36" i="2"/>
  <c r="BT36" i="2"/>
  <c r="BL36" i="2"/>
  <c r="BK36" i="2"/>
  <c r="BI36" i="2"/>
  <c r="BG36" i="2"/>
  <c r="BE36" i="2"/>
  <c r="AU36" i="2"/>
  <c r="AT36" i="2"/>
  <c r="AS36" i="2"/>
  <c r="BV36" i="2" s="1"/>
  <c r="AR36" i="2"/>
  <c r="AQ36" i="2"/>
  <c r="AO36" i="2"/>
  <c r="AN36" i="2"/>
  <c r="AM36" i="2"/>
  <c r="AB36" i="2"/>
  <c r="AA36" i="2"/>
  <c r="Y36" i="2"/>
  <c r="V36" i="2"/>
  <c r="U36" i="2"/>
  <c r="S36" i="2"/>
  <c r="R36" i="2"/>
  <c r="Q36" i="2"/>
  <c r="O36" i="2"/>
  <c r="N36" i="2"/>
  <c r="M36" i="2"/>
  <c r="L36" i="2"/>
  <c r="K36" i="2"/>
  <c r="J36" i="2"/>
  <c r="D36" i="2"/>
  <c r="C36" i="2"/>
  <c r="CH35" i="2"/>
  <c r="CG35" i="2"/>
  <c r="CC35" i="2"/>
  <c r="BT35" i="2"/>
  <c r="BL35" i="2"/>
  <c r="BK35" i="2"/>
  <c r="BI35" i="2"/>
  <c r="BG35" i="2"/>
  <c r="BE35" i="2"/>
  <c r="AU35" i="2"/>
  <c r="AT35" i="2"/>
  <c r="AS35" i="2"/>
  <c r="BV35" i="2" s="1"/>
  <c r="AR35" i="2"/>
  <c r="BO35" i="2" s="1"/>
  <c r="AQ35" i="2"/>
  <c r="AO35" i="2"/>
  <c r="AN35" i="2"/>
  <c r="AM35" i="2"/>
  <c r="AB35" i="2"/>
  <c r="AA35" i="2"/>
  <c r="Y35" i="2"/>
  <c r="V35" i="2"/>
  <c r="U35" i="2"/>
  <c r="S35" i="2"/>
  <c r="R35" i="2"/>
  <c r="Q35" i="2"/>
  <c r="O35" i="2"/>
  <c r="N35" i="2"/>
  <c r="M35" i="2"/>
  <c r="L35" i="2"/>
  <c r="K35" i="2"/>
  <c r="J35" i="2"/>
  <c r="D35" i="2"/>
  <c r="C35" i="2"/>
  <c r="CH34" i="2"/>
  <c r="CG34" i="2"/>
  <c r="CC34" i="2"/>
  <c r="BT34" i="2"/>
  <c r="BL34" i="2"/>
  <c r="BK34" i="2"/>
  <c r="BI34" i="2"/>
  <c r="BG34" i="2"/>
  <c r="BE34" i="2"/>
  <c r="AU34" i="2"/>
  <c r="AT34" i="2"/>
  <c r="AS34" i="2"/>
  <c r="BV34" i="2" s="1"/>
  <c r="AR34" i="2"/>
  <c r="BO34" i="2" s="1"/>
  <c r="AQ34" i="2"/>
  <c r="AO34" i="2"/>
  <c r="AN34" i="2"/>
  <c r="AM34" i="2"/>
  <c r="AB34" i="2"/>
  <c r="AA34" i="2"/>
  <c r="Y34" i="2"/>
  <c r="V34" i="2"/>
  <c r="U34" i="2"/>
  <c r="S34" i="2"/>
  <c r="R34" i="2"/>
  <c r="Q34" i="2"/>
  <c r="O34" i="2"/>
  <c r="N34" i="2"/>
  <c r="M34" i="2"/>
  <c r="L34" i="2"/>
  <c r="K34" i="2"/>
  <c r="J34" i="2"/>
  <c r="E34" i="2"/>
  <c r="D34" i="2"/>
  <c r="C34" i="2"/>
  <c r="CH33" i="2"/>
  <c r="CG33" i="2"/>
  <c r="CC33" i="2"/>
  <c r="BT33" i="2"/>
  <c r="BL33" i="2"/>
  <c r="BK33" i="2"/>
  <c r="BI33" i="2"/>
  <c r="BG33" i="2"/>
  <c r="BE33" i="2"/>
  <c r="AU33" i="2"/>
  <c r="AT33" i="2"/>
  <c r="AS33" i="2"/>
  <c r="BV33" i="2" s="1"/>
  <c r="AR33" i="2"/>
  <c r="BO33" i="2" s="1"/>
  <c r="AQ33" i="2"/>
  <c r="AO33" i="2"/>
  <c r="AN33" i="2"/>
  <c r="AM33" i="2"/>
  <c r="AB33" i="2"/>
  <c r="AA33" i="2"/>
  <c r="Y33" i="2"/>
  <c r="V33" i="2"/>
  <c r="U33" i="2"/>
  <c r="S33" i="2"/>
  <c r="R33" i="2"/>
  <c r="Q33" i="2"/>
  <c r="O33" i="2"/>
  <c r="N33" i="2"/>
  <c r="M33" i="2"/>
  <c r="L33" i="2"/>
  <c r="K33" i="2"/>
  <c r="J33" i="2"/>
  <c r="D33" i="2"/>
  <c r="C33" i="2"/>
  <c r="CH32" i="2"/>
  <c r="CG32" i="2"/>
  <c r="CC32" i="2"/>
  <c r="BT32" i="2"/>
  <c r="BL32" i="2"/>
  <c r="BK32" i="2"/>
  <c r="BI32" i="2"/>
  <c r="BG32" i="2"/>
  <c r="BE32" i="2"/>
  <c r="AU32" i="2"/>
  <c r="AT32" i="2"/>
  <c r="AS32" i="2"/>
  <c r="BV32" i="2" s="1"/>
  <c r="AR32" i="2"/>
  <c r="BO32" i="2" s="1"/>
  <c r="AQ32" i="2"/>
  <c r="AO32" i="2"/>
  <c r="AN32" i="2"/>
  <c r="AM32" i="2"/>
  <c r="AB32" i="2"/>
  <c r="AA32" i="2"/>
  <c r="Y32" i="2"/>
  <c r="V32" i="2"/>
  <c r="U32" i="2"/>
  <c r="S32" i="2"/>
  <c r="R32" i="2"/>
  <c r="Q32" i="2"/>
  <c r="O32" i="2"/>
  <c r="N32" i="2"/>
  <c r="M32" i="2"/>
  <c r="L32" i="2"/>
  <c r="K32" i="2"/>
  <c r="J32" i="2"/>
  <c r="D32" i="2"/>
  <c r="C32" i="2"/>
  <c r="CH31" i="2"/>
  <c r="CG31" i="2"/>
  <c r="CC31" i="2"/>
  <c r="BT31" i="2"/>
  <c r="BL31" i="2"/>
  <c r="BK31" i="2"/>
  <c r="BI31" i="2"/>
  <c r="BG31" i="2"/>
  <c r="BE31" i="2"/>
  <c r="AU31" i="2"/>
  <c r="AT31" i="2"/>
  <c r="AS31" i="2"/>
  <c r="BV31" i="2" s="1"/>
  <c r="AR31" i="2"/>
  <c r="BP31" i="2" s="1"/>
  <c r="AQ31" i="2"/>
  <c r="AO31" i="2"/>
  <c r="AN31" i="2"/>
  <c r="AM31" i="2"/>
  <c r="AB31" i="2"/>
  <c r="AA31" i="2"/>
  <c r="Y31" i="2"/>
  <c r="V31" i="2"/>
  <c r="U31" i="2"/>
  <c r="S31" i="2"/>
  <c r="R31" i="2"/>
  <c r="Q31" i="2"/>
  <c r="O31" i="2"/>
  <c r="N31" i="2"/>
  <c r="M31" i="2"/>
  <c r="L31" i="2"/>
  <c r="K31" i="2"/>
  <c r="J31" i="2"/>
  <c r="D31" i="2"/>
  <c r="C31" i="2"/>
  <c r="CH30" i="2"/>
  <c r="CG30" i="2"/>
  <c r="CC30" i="2"/>
  <c r="BT30" i="2"/>
  <c r="BL30" i="2"/>
  <c r="BK30" i="2"/>
  <c r="BI30" i="2"/>
  <c r="BG30" i="2"/>
  <c r="BE30" i="2"/>
  <c r="AU30" i="2"/>
  <c r="AT30" i="2"/>
  <c r="AS30" i="2"/>
  <c r="BV30" i="2" s="1"/>
  <c r="AR30" i="2"/>
  <c r="BO30" i="2" s="1"/>
  <c r="AQ30" i="2"/>
  <c r="AO30" i="2"/>
  <c r="AN30" i="2"/>
  <c r="AM30" i="2"/>
  <c r="AB30" i="2"/>
  <c r="AA30" i="2"/>
  <c r="Y30" i="2"/>
  <c r="V30" i="2"/>
  <c r="U30" i="2"/>
  <c r="S30" i="2"/>
  <c r="R30" i="2"/>
  <c r="Q30" i="2"/>
  <c r="O30" i="2"/>
  <c r="N30" i="2"/>
  <c r="M30" i="2"/>
  <c r="L30" i="2"/>
  <c r="K30" i="2"/>
  <c r="J30" i="2"/>
  <c r="D30" i="2"/>
  <c r="C30" i="2"/>
  <c r="CH29" i="2"/>
  <c r="CG29" i="2"/>
  <c r="CC29" i="2"/>
  <c r="BT29" i="2"/>
  <c r="BL29" i="2"/>
  <c r="BK29" i="2"/>
  <c r="BI29" i="2"/>
  <c r="BG29" i="2"/>
  <c r="BE29" i="2"/>
  <c r="AU29" i="2"/>
  <c r="AT29" i="2"/>
  <c r="AS29" i="2"/>
  <c r="BV29" i="2" s="1"/>
  <c r="AR29" i="2"/>
  <c r="BO29" i="2" s="1"/>
  <c r="AQ29" i="2"/>
  <c r="AO29" i="2"/>
  <c r="AN29" i="2"/>
  <c r="AM29" i="2"/>
  <c r="AB29" i="2"/>
  <c r="AA29" i="2"/>
  <c r="Y29" i="2"/>
  <c r="V29" i="2"/>
  <c r="U29" i="2"/>
  <c r="S29" i="2"/>
  <c r="R29" i="2"/>
  <c r="Q29" i="2"/>
  <c r="O29" i="2"/>
  <c r="N29" i="2"/>
  <c r="M29" i="2"/>
  <c r="L29" i="2"/>
  <c r="K29" i="2"/>
  <c r="J29" i="2"/>
  <c r="D29" i="2"/>
  <c r="C29" i="2"/>
  <c r="CH28" i="2"/>
  <c r="CG28" i="2"/>
  <c r="CC28" i="2"/>
  <c r="BT28" i="2"/>
  <c r="BL28" i="2"/>
  <c r="BK28" i="2"/>
  <c r="BI28" i="2"/>
  <c r="BG28" i="2"/>
  <c r="BE28" i="2"/>
  <c r="AU28" i="2"/>
  <c r="AT28" i="2"/>
  <c r="AS28" i="2"/>
  <c r="BV28" i="2" s="1"/>
  <c r="AR28" i="2"/>
  <c r="BO28" i="2" s="1"/>
  <c r="AQ28" i="2"/>
  <c r="AO28" i="2"/>
  <c r="AN28" i="2"/>
  <c r="AM28" i="2"/>
  <c r="AB28" i="2"/>
  <c r="AA28" i="2"/>
  <c r="Y28" i="2"/>
  <c r="V28" i="2"/>
  <c r="U28" i="2"/>
  <c r="S28" i="2"/>
  <c r="R28" i="2"/>
  <c r="Q28" i="2"/>
  <c r="O28" i="2"/>
  <c r="N28" i="2"/>
  <c r="M28" i="2"/>
  <c r="L28" i="2"/>
  <c r="K28" i="2"/>
  <c r="J28" i="2"/>
  <c r="D28" i="2"/>
  <c r="C28" i="2"/>
  <c r="CH27" i="2"/>
  <c r="CG27" i="2"/>
  <c r="CC27" i="2"/>
  <c r="BT27" i="2"/>
  <c r="BL27" i="2"/>
  <c r="BK27" i="2"/>
  <c r="BI27" i="2"/>
  <c r="BG27" i="2"/>
  <c r="BE27" i="2"/>
  <c r="AU27" i="2"/>
  <c r="AT27" i="2"/>
  <c r="AS27" i="2"/>
  <c r="BV27" i="2" s="1"/>
  <c r="AR27" i="2"/>
  <c r="BP27" i="2" s="1"/>
  <c r="AQ27" i="2"/>
  <c r="AO27" i="2"/>
  <c r="AN27" i="2"/>
  <c r="AM27" i="2"/>
  <c r="AB27" i="2"/>
  <c r="AA27" i="2"/>
  <c r="Y27" i="2"/>
  <c r="V27" i="2"/>
  <c r="U27" i="2"/>
  <c r="S27" i="2"/>
  <c r="R27" i="2"/>
  <c r="Q27" i="2"/>
  <c r="O27" i="2"/>
  <c r="N27" i="2"/>
  <c r="M27" i="2"/>
  <c r="L27" i="2"/>
  <c r="K27" i="2"/>
  <c r="J27" i="2"/>
  <c r="D27" i="2"/>
  <c r="C27" i="2"/>
  <c r="CH26" i="2"/>
  <c r="CG26" i="2"/>
  <c r="CC26" i="2"/>
  <c r="BT26" i="2"/>
  <c r="BL26" i="2"/>
  <c r="BK26" i="2"/>
  <c r="BI26" i="2"/>
  <c r="BG26" i="2"/>
  <c r="BE26" i="2"/>
  <c r="AU26" i="2"/>
  <c r="AT26" i="2"/>
  <c r="AS26" i="2"/>
  <c r="BV26" i="2" s="1"/>
  <c r="AR26" i="2"/>
  <c r="AQ26" i="2"/>
  <c r="AO26" i="2"/>
  <c r="AN26" i="2"/>
  <c r="AM26" i="2"/>
  <c r="AB26" i="2"/>
  <c r="AA26" i="2"/>
  <c r="Y26" i="2"/>
  <c r="V26" i="2"/>
  <c r="U26" i="2"/>
  <c r="S26" i="2"/>
  <c r="R26" i="2"/>
  <c r="Q26" i="2"/>
  <c r="O26" i="2"/>
  <c r="N26" i="2"/>
  <c r="M26" i="2"/>
  <c r="L26" i="2"/>
  <c r="K26" i="2"/>
  <c r="J26" i="2"/>
  <c r="D26" i="2"/>
  <c r="C26" i="2"/>
  <c r="CH25" i="2"/>
  <c r="CG25" i="2"/>
  <c r="CC25" i="2"/>
  <c r="BT25" i="2"/>
  <c r="BL25" i="2"/>
  <c r="BK25" i="2"/>
  <c r="BI25" i="2"/>
  <c r="BG25" i="2"/>
  <c r="BE25" i="2"/>
  <c r="AU25" i="2"/>
  <c r="AT25" i="2"/>
  <c r="AS25" i="2"/>
  <c r="BV25" i="2" s="1"/>
  <c r="AR25" i="2"/>
  <c r="BO25" i="2" s="1"/>
  <c r="AQ25" i="2"/>
  <c r="AO25" i="2"/>
  <c r="AN25" i="2"/>
  <c r="AM25" i="2"/>
  <c r="AB25" i="2"/>
  <c r="AA25" i="2"/>
  <c r="Y25" i="2"/>
  <c r="V25" i="2"/>
  <c r="U25" i="2"/>
  <c r="S25" i="2"/>
  <c r="R25" i="2"/>
  <c r="Q25" i="2"/>
  <c r="O25" i="2"/>
  <c r="N25" i="2"/>
  <c r="M25" i="2"/>
  <c r="L25" i="2"/>
  <c r="K25" i="2"/>
  <c r="J25" i="2"/>
  <c r="D25" i="2"/>
  <c r="C25" i="2"/>
  <c r="CH24" i="2"/>
  <c r="CG24" i="2"/>
  <c r="CC24" i="2"/>
  <c r="BT24" i="2"/>
  <c r="BL24" i="2"/>
  <c r="BK24" i="2"/>
  <c r="BI24" i="2"/>
  <c r="BG24" i="2"/>
  <c r="BE24" i="2"/>
  <c r="AU24" i="2"/>
  <c r="AT24" i="2"/>
  <c r="AS24" i="2"/>
  <c r="BV24" i="2" s="1"/>
  <c r="AR24" i="2"/>
  <c r="AQ24" i="2"/>
  <c r="AO24" i="2"/>
  <c r="AN24" i="2"/>
  <c r="AM24" i="2"/>
  <c r="AB24" i="2"/>
  <c r="AA24" i="2"/>
  <c r="Y24" i="2"/>
  <c r="V24" i="2"/>
  <c r="U24" i="2"/>
  <c r="S24" i="2"/>
  <c r="R24" i="2"/>
  <c r="Q24" i="2"/>
  <c r="O24" i="2"/>
  <c r="N24" i="2"/>
  <c r="M24" i="2"/>
  <c r="L24" i="2"/>
  <c r="K24" i="2"/>
  <c r="J24" i="2"/>
  <c r="D24" i="2"/>
  <c r="C24" i="2"/>
  <c r="CH23" i="2"/>
  <c r="CG23" i="2"/>
  <c r="CC23" i="2"/>
  <c r="BT23" i="2"/>
  <c r="BL23" i="2"/>
  <c r="BK23" i="2"/>
  <c r="BI23" i="2"/>
  <c r="BG23" i="2"/>
  <c r="BE23" i="2"/>
  <c r="AU23" i="2"/>
  <c r="AT23" i="2"/>
  <c r="AS23" i="2"/>
  <c r="AR23" i="2"/>
  <c r="BP23" i="2" s="1"/>
  <c r="AQ23" i="2"/>
  <c r="AO23" i="2"/>
  <c r="AN23" i="2"/>
  <c r="AM23" i="2"/>
  <c r="AB23" i="2"/>
  <c r="AA23" i="2"/>
  <c r="Y23" i="2"/>
  <c r="V23" i="2"/>
  <c r="U23" i="2"/>
  <c r="S23" i="2"/>
  <c r="R23" i="2"/>
  <c r="Q23" i="2"/>
  <c r="O23" i="2"/>
  <c r="N23" i="2"/>
  <c r="M23" i="2"/>
  <c r="L23" i="2"/>
  <c r="K23" i="2"/>
  <c r="J23" i="2"/>
  <c r="D23" i="2"/>
  <c r="C23" i="2"/>
  <c r="CH22" i="2"/>
  <c r="CG22" i="2"/>
  <c r="CC22" i="2"/>
  <c r="BT22" i="2"/>
  <c r="BL22" i="2"/>
  <c r="BK22" i="2"/>
  <c r="BI22" i="2"/>
  <c r="BG22" i="2"/>
  <c r="BE22" i="2"/>
  <c r="AU22" i="2"/>
  <c r="AT22" i="2"/>
  <c r="AS22" i="2"/>
  <c r="BV22" i="2" s="1"/>
  <c r="AR22" i="2"/>
  <c r="BP22" i="2" s="1"/>
  <c r="AQ22" i="2"/>
  <c r="AO22" i="2"/>
  <c r="AN22" i="2"/>
  <c r="AM22" i="2"/>
  <c r="AB22" i="2"/>
  <c r="AA22" i="2"/>
  <c r="Y22" i="2"/>
  <c r="V22" i="2"/>
  <c r="U22" i="2"/>
  <c r="S22" i="2"/>
  <c r="R22" i="2"/>
  <c r="Q22" i="2"/>
  <c r="O22" i="2"/>
  <c r="N22" i="2"/>
  <c r="M22" i="2"/>
  <c r="L22" i="2"/>
  <c r="K22" i="2"/>
  <c r="J22" i="2"/>
  <c r="D22" i="2"/>
  <c r="C22" i="2"/>
  <c r="CH21" i="2"/>
  <c r="CG21" i="2"/>
  <c r="CC21" i="2"/>
  <c r="BT21" i="2"/>
  <c r="BL21" i="2"/>
  <c r="BK21" i="2"/>
  <c r="BI21" i="2"/>
  <c r="BG21" i="2"/>
  <c r="BE21" i="2"/>
  <c r="AU21" i="2"/>
  <c r="AT21" i="2"/>
  <c r="AS21" i="2"/>
  <c r="AR21" i="2"/>
  <c r="AQ21" i="2"/>
  <c r="AO21" i="2"/>
  <c r="AN21" i="2"/>
  <c r="AM21" i="2"/>
  <c r="AB21" i="2"/>
  <c r="AA21" i="2"/>
  <c r="Y21" i="2"/>
  <c r="V21" i="2"/>
  <c r="U21" i="2"/>
  <c r="S21" i="2"/>
  <c r="R21" i="2"/>
  <c r="Q21" i="2"/>
  <c r="O21" i="2"/>
  <c r="N21" i="2"/>
  <c r="M21" i="2"/>
  <c r="L21" i="2"/>
  <c r="K21" i="2"/>
  <c r="J21" i="2"/>
  <c r="D21" i="2"/>
  <c r="C21" i="2"/>
  <c r="CH20" i="2"/>
  <c r="CC20" i="2"/>
  <c r="BT20" i="2"/>
  <c r="BL20" i="2"/>
  <c r="BK20" i="2"/>
  <c r="BI20" i="2"/>
  <c r="BG20" i="2"/>
  <c r="BE20" i="2"/>
  <c r="AU20" i="2"/>
  <c r="AT20" i="2"/>
  <c r="AS20" i="2"/>
  <c r="BV20" i="2" s="1"/>
  <c r="AR20" i="2"/>
  <c r="AQ20" i="2"/>
  <c r="AO20" i="2"/>
  <c r="AN20" i="2"/>
  <c r="AM20" i="2"/>
  <c r="AB20" i="2"/>
  <c r="AA20" i="2"/>
  <c r="Y20" i="2"/>
  <c r="V20" i="2"/>
  <c r="U20" i="2"/>
  <c r="S20" i="2"/>
  <c r="R20" i="2"/>
  <c r="Q20" i="2"/>
  <c r="O20" i="2"/>
  <c r="N20" i="2"/>
  <c r="M20" i="2"/>
  <c r="L20" i="2"/>
  <c r="K20" i="2"/>
  <c r="J20" i="2"/>
  <c r="D20" i="2"/>
  <c r="C20" i="2"/>
  <c r="CH19" i="2"/>
  <c r="CG19" i="2"/>
  <c r="CC19" i="2"/>
  <c r="BT19" i="2"/>
  <c r="BL19" i="2"/>
  <c r="BK19" i="2"/>
  <c r="BI19" i="2"/>
  <c r="BG19" i="2"/>
  <c r="BE19" i="2"/>
  <c r="AU19" i="2"/>
  <c r="AT19" i="2"/>
  <c r="AS19" i="2"/>
  <c r="AR19" i="2"/>
  <c r="BP19" i="2" s="1"/>
  <c r="AQ19" i="2"/>
  <c r="AO19" i="2"/>
  <c r="AN19" i="2"/>
  <c r="AM19" i="2"/>
  <c r="AB19" i="2"/>
  <c r="AA19" i="2"/>
  <c r="Y19" i="2"/>
  <c r="V19" i="2"/>
  <c r="U19" i="2"/>
  <c r="S19" i="2"/>
  <c r="R19" i="2"/>
  <c r="Q19" i="2"/>
  <c r="O19" i="2"/>
  <c r="N19" i="2"/>
  <c r="M19" i="2"/>
  <c r="L19" i="2"/>
  <c r="K19" i="2"/>
  <c r="J19" i="2"/>
  <c r="D19" i="2"/>
  <c r="C19" i="2"/>
  <c r="T71" i="1"/>
  <c r="S71" i="1"/>
  <c r="R71" i="1"/>
  <c r="Q71" i="1"/>
  <c r="P71" i="1"/>
  <c r="O71" i="1"/>
  <c r="N71" i="1"/>
  <c r="M71" i="1"/>
  <c r="L71" i="1"/>
  <c r="K71" i="1"/>
  <c r="J71" i="1"/>
  <c r="I71" i="1"/>
  <c r="H71" i="1"/>
  <c r="G71" i="1"/>
  <c r="F71" i="1"/>
  <c r="E71" i="1"/>
  <c r="D71" i="1"/>
  <c r="T70" i="1"/>
  <c r="S70" i="1"/>
  <c r="R70" i="1"/>
  <c r="Q70" i="1"/>
  <c r="P70" i="1"/>
  <c r="O70" i="1"/>
  <c r="N70" i="1"/>
  <c r="M70" i="1"/>
  <c r="L70" i="1"/>
  <c r="K70" i="1"/>
  <c r="J70" i="1"/>
  <c r="I70" i="1"/>
  <c r="H70" i="1"/>
  <c r="G70" i="1"/>
  <c r="F70" i="1"/>
  <c r="E70" i="1"/>
  <c r="D70" i="1"/>
  <c r="T69" i="1"/>
  <c r="S69" i="1"/>
  <c r="R69" i="1"/>
  <c r="Q69" i="1"/>
  <c r="P69" i="1"/>
  <c r="O69" i="1"/>
  <c r="N69" i="1"/>
  <c r="M69" i="1"/>
  <c r="L69" i="1"/>
  <c r="K69" i="1"/>
  <c r="J69" i="1"/>
  <c r="I69" i="1"/>
  <c r="H69" i="1"/>
  <c r="G69" i="1"/>
  <c r="F69" i="1"/>
  <c r="E69" i="1"/>
  <c r="D69" i="1"/>
  <c r="T68" i="1"/>
  <c r="S68" i="1"/>
  <c r="R68" i="1"/>
  <c r="Q68" i="1"/>
  <c r="P68" i="1"/>
  <c r="O68" i="1"/>
  <c r="N68" i="1"/>
  <c r="M68" i="1"/>
  <c r="L68" i="1"/>
  <c r="K68" i="1"/>
  <c r="J68" i="1"/>
  <c r="I68" i="1"/>
  <c r="H68" i="1"/>
  <c r="G68" i="1"/>
  <c r="F68" i="1"/>
  <c r="E68" i="1"/>
  <c r="D68" i="1"/>
  <c r="T63" i="1"/>
  <c r="S63" i="1"/>
  <c r="R63" i="1"/>
  <c r="Q63" i="1"/>
  <c r="P63" i="1"/>
  <c r="O63" i="1"/>
  <c r="N63" i="1"/>
  <c r="M63" i="1"/>
  <c r="L63" i="1"/>
  <c r="K63" i="1"/>
  <c r="J63" i="1"/>
  <c r="I63" i="1"/>
  <c r="H63" i="1"/>
  <c r="G63" i="1"/>
  <c r="F63" i="1"/>
  <c r="E63" i="1"/>
  <c r="D63" i="1"/>
  <c r="T62" i="1"/>
  <c r="S62" i="1"/>
  <c r="R62" i="1"/>
  <c r="Q62" i="1"/>
  <c r="P62" i="1"/>
  <c r="O62" i="1"/>
  <c r="N62" i="1"/>
  <c r="M62" i="1"/>
  <c r="L62" i="1"/>
  <c r="K62" i="1"/>
  <c r="J62" i="1"/>
  <c r="I62" i="1"/>
  <c r="H62" i="1"/>
  <c r="G62" i="1"/>
  <c r="F62" i="1"/>
  <c r="E62" i="1"/>
  <c r="D62" i="1"/>
  <c r="T61" i="1"/>
  <c r="S61" i="1"/>
  <c r="R61" i="1"/>
  <c r="Q61" i="1"/>
  <c r="P61" i="1"/>
  <c r="O61" i="1"/>
  <c r="N61" i="1"/>
  <c r="M61" i="1"/>
  <c r="L61" i="1"/>
  <c r="K61" i="1"/>
  <c r="J61" i="1"/>
  <c r="I61" i="1"/>
  <c r="H61" i="1"/>
  <c r="G61" i="1"/>
  <c r="F61" i="1"/>
  <c r="E61" i="1"/>
  <c r="D61" i="1"/>
  <c r="T60" i="1"/>
  <c r="S60" i="1"/>
  <c r="R60" i="1"/>
  <c r="Q60" i="1"/>
  <c r="P60" i="1"/>
  <c r="O60" i="1"/>
  <c r="N60" i="1"/>
  <c r="M60" i="1"/>
  <c r="L60" i="1"/>
  <c r="K60" i="1"/>
  <c r="J60" i="1"/>
  <c r="I60" i="1"/>
  <c r="H60" i="1"/>
  <c r="G60" i="1"/>
  <c r="F60" i="1"/>
  <c r="E60" i="1"/>
  <c r="D60" i="1"/>
  <c r="T59" i="1"/>
  <c r="S59" i="1"/>
  <c r="R59" i="1"/>
  <c r="Q59" i="1"/>
  <c r="P59" i="1"/>
  <c r="O59" i="1"/>
  <c r="N59" i="1"/>
  <c r="M59" i="1"/>
  <c r="L59" i="1"/>
  <c r="K59" i="1"/>
  <c r="J59" i="1"/>
  <c r="I59" i="1"/>
  <c r="H59" i="1"/>
  <c r="G59" i="1"/>
  <c r="F59" i="1"/>
  <c r="E59" i="1"/>
  <c r="D59" i="1"/>
  <c r="T58" i="1"/>
  <c r="S58" i="1"/>
  <c r="R58" i="1"/>
  <c r="Q58" i="1"/>
  <c r="P58" i="1"/>
  <c r="O58" i="1"/>
  <c r="N58" i="1"/>
  <c r="M58" i="1"/>
  <c r="L58" i="1"/>
  <c r="K58" i="1"/>
  <c r="J58" i="1"/>
  <c r="I58" i="1"/>
  <c r="H58" i="1"/>
  <c r="G58" i="1"/>
  <c r="F58" i="1"/>
  <c r="E58" i="1"/>
  <c r="D58" i="1"/>
  <c r="T53" i="1"/>
  <c r="S53" i="1"/>
  <c r="R53" i="1"/>
  <c r="Q53" i="1"/>
  <c r="P53" i="1"/>
  <c r="O53" i="1"/>
  <c r="N53" i="1"/>
  <c r="M53" i="1"/>
  <c r="L53" i="1"/>
  <c r="K53" i="1"/>
  <c r="J53" i="1"/>
  <c r="I53" i="1"/>
  <c r="H53" i="1"/>
  <c r="G53" i="1"/>
  <c r="F53" i="1"/>
  <c r="E53" i="1"/>
  <c r="D53" i="1"/>
  <c r="T52" i="1"/>
  <c r="S52" i="1"/>
  <c r="R52" i="1"/>
  <c r="Q52" i="1"/>
  <c r="P52" i="1"/>
  <c r="O52" i="1"/>
  <c r="N52" i="1"/>
  <c r="M52" i="1"/>
  <c r="L52" i="1"/>
  <c r="K52" i="1"/>
  <c r="J52" i="1"/>
  <c r="I52" i="1"/>
  <c r="H52" i="1"/>
  <c r="G52" i="1"/>
  <c r="F52" i="1"/>
  <c r="E52" i="1"/>
  <c r="D52" i="1"/>
  <c r="T51" i="1"/>
  <c r="S51" i="1"/>
  <c r="R51" i="1"/>
  <c r="Q51" i="1"/>
  <c r="P51" i="1"/>
  <c r="O51" i="1"/>
  <c r="N51" i="1"/>
  <c r="M51" i="1"/>
  <c r="L51" i="1"/>
  <c r="K51" i="1"/>
  <c r="J51" i="1"/>
  <c r="I51" i="1"/>
  <c r="H51" i="1"/>
  <c r="G51" i="1"/>
  <c r="F51" i="1"/>
  <c r="E51" i="1"/>
  <c r="D51" i="1"/>
  <c r="T50" i="1"/>
  <c r="S50" i="1"/>
  <c r="R50" i="1"/>
  <c r="Q50" i="1"/>
  <c r="P50" i="1"/>
  <c r="O50" i="1"/>
  <c r="N50" i="1"/>
  <c r="M50" i="1"/>
  <c r="L50" i="1"/>
  <c r="K50" i="1"/>
  <c r="J50" i="1"/>
  <c r="I50" i="1"/>
  <c r="H50" i="1"/>
  <c r="G50" i="1"/>
  <c r="F50" i="1"/>
  <c r="E50" i="1"/>
  <c r="D50" i="1"/>
  <c r="T49" i="1"/>
  <c r="S49" i="1"/>
  <c r="R49" i="1"/>
  <c r="Q49" i="1"/>
  <c r="P49" i="1"/>
  <c r="O49" i="1"/>
  <c r="N49" i="1"/>
  <c r="M49" i="1"/>
  <c r="L49" i="1"/>
  <c r="K49" i="1"/>
  <c r="J49" i="1"/>
  <c r="I49" i="1"/>
  <c r="H49" i="1"/>
  <c r="G49" i="1"/>
  <c r="F49" i="1"/>
  <c r="E49" i="1"/>
  <c r="D49" i="1"/>
  <c r="T44" i="1"/>
  <c r="S44" i="1"/>
  <c r="R44" i="1"/>
  <c r="Q44" i="1"/>
  <c r="P44" i="1"/>
  <c r="O44" i="1"/>
  <c r="N44" i="1"/>
  <c r="M44" i="1"/>
  <c r="L44" i="1"/>
  <c r="K44" i="1"/>
  <c r="J44" i="1"/>
  <c r="I44" i="1"/>
  <c r="H44" i="1"/>
  <c r="G44" i="1"/>
  <c r="F44" i="1"/>
  <c r="E44" i="1"/>
  <c r="D44" i="1"/>
  <c r="T43" i="1"/>
  <c r="S43" i="1"/>
  <c r="R43" i="1"/>
  <c r="Q43" i="1"/>
  <c r="P43" i="1"/>
  <c r="O43" i="1"/>
  <c r="N43" i="1"/>
  <c r="M43" i="1"/>
  <c r="L43" i="1"/>
  <c r="K43" i="1"/>
  <c r="J43" i="1"/>
  <c r="I43" i="1"/>
  <c r="H43" i="1"/>
  <c r="G43" i="1"/>
  <c r="F43" i="1"/>
  <c r="E43" i="1"/>
  <c r="D43" i="1"/>
  <c r="T42" i="1"/>
  <c r="S42" i="1"/>
  <c r="R42" i="1"/>
  <c r="Q42" i="1"/>
  <c r="P42" i="1"/>
  <c r="O42" i="1"/>
  <c r="N42" i="1"/>
  <c r="M42" i="1"/>
  <c r="L42" i="1"/>
  <c r="K42" i="1"/>
  <c r="J42" i="1"/>
  <c r="I42" i="1"/>
  <c r="H42" i="1"/>
  <c r="G42" i="1"/>
  <c r="F42" i="1"/>
  <c r="E42" i="1"/>
  <c r="D42" i="1"/>
  <c r="T41" i="1"/>
  <c r="S41" i="1"/>
  <c r="R41" i="1"/>
  <c r="Q41" i="1"/>
  <c r="P41" i="1"/>
  <c r="O41" i="1"/>
  <c r="N41" i="1"/>
  <c r="M41" i="1"/>
  <c r="L41" i="1"/>
  <c r="K41" i="1"/>
  <c r="J41" i="1"/>
  <c r="I41" i="1"/>
  <c r="H41" i="1"/>
  <c r="G41" i="1"/>
  <c r="F41" i="1"/>
  <c r="E41" i="1"/>
  <c r="D41" i="1"/>
  <c r="T40" i="1"/>
  <c r="S40" i="1"/>
  <c r="R40" i="1"/>
  <c r="Q40" i="1"/>
  <c r="P40" i="1"/>
  <c r="O40" i="1"/>
  <c r="N40" i="1"/>
  <c r="M40" i="1"/>
  <c r="L40" i="1"/>
  <c r="K40" i="1"/>
  <c r="J40" i="1"/>
  <c r="I40" i="1"/>
  <c r="H40" i="1"/>
  <c r="G40" i="1"/>
  <c r="F40" i="1"/>
  <c r="E40" i="1"/>
  <c r="D40" i="1"/>
  <c r="T35" i="1"/>
  <c r="S35" i="1"/>
  <c r="R35" i="1"/>
  <c r="Q35" i="1"/>
  <c r="P35" i="1"/>
  <c r="O35" i="1"/>
  <c r="N35" i="1"/>
  <c r="M35" i="1"/>
  <c r="L35" i="1"/>
  <c r="K35" i="1"/>
  <c r="J35" i="1"/>
  <c r="I35" i="1"/>
  <c r="H35" i="1"/>
  <c r="G35" i="1"/>
  <c r="F35" i="1"/>
  <c r="E35" i="1"/>
  <c r="D35" i="1"/>
  <c r="T34" i="1"/>
  <c r="S34" i="1"/>
  <c r="R34" i="1"/>
  <c r="Q34" i="1"/>
  <c r="P34" i="1"/>
  <c r="O34" i="1"/>
  <c r="N34" i="1"/>
  <c r="M34" i="1"/>
  <c r="L34" i="1"/>
  <c r="K34" i="1"/>
  <c r="J34" i="1"/>
  <c r="I34" i="1"/>
  <c r="H34" i="1"/>
  <c r="G34" i="1"/>
  <c r="F34" i="1"/>
  <c r="E34" i="1"/>
  <c r="D34" i="1"/>
  <c r="T33" i="1"/>
  <c r="S33" i="1"/>
  <c r="R33" i="1"/>
  <c r="Q33" i="1"/>
  <c r="P33" i="1"/>
  <c r="O33" i="1"/>
  <c r="N33" i="1"/>
  <c r="M33" i="1"/>
  <c r="L33" i="1"/>
  <c r="K33" i="1"/>
  <c r="J33" i="1"/>
  <c r="I33" i="1"/>
  <c r="H33" i="1"/>
  <c r="G33" i="1"/>
  <c r="F33" i="1"/>
  <c r="E33" i="1"/>
  <c r="D33" i="1"/>
  <c r="T32" i="1"/>
  <c r="S32" i="1"/>
  <c r="R32" i="1"/>
  <c r="Q32" i="1"/>
  <c r="P32" i="1"/>
  <c r="O32" i="1"/>
  <c r="N32" i="1"/>
  <c r="M32" i="1"/>
  <c r="L32" i="1"/>
  <c r="K32" i="1"/>
  <c r="J32" i="1"/>
  <c r="I32" i="1"/>
  <c r="H32" i="1"/>
  <c r="G32" i="1"/>
  <c r="F32" i="1"/>
  <c r="E32" i="1"/>
  <c r="D32" i="1"/>
  <c r="T31" i="1"/>
  <c r="S31" i="1"/>
  <c r="R31" i="1"/>
  <c r="Q31" i="1"/>
  <c r="P31" i="1"/>
  <c r="O31" i="1"/>
  <c r="N31" i="1"/>
  <c r="M31" i="1"/>
  <c r="L31" i="1"/>
  <c r="K31" i="1"/>
  <c r="J31" i="1"/>
  <c r="I31" i="1"/>
  <c r="H31" i="1"/>
  <c r="G31" i="1"/>
  <c r="F31" i="1"/>
  <c r="E31" i="1"/>
  <c r="D31" i="1"/>
  <c r="T30" i="1"/>
  <c r="S30" i="1"/>
  <c r="R30" i="1"/>
  <c r="Q30" i="1"/>
  <c r="P30" i="1"/>
  <c r="O30" i="1"/>
  <c r="N30" i="1"/>
  <c r="M30" i="1"/>
  <c r="L30" i="1"/>
  <c r="K30" i="1"/>
  <c r="J30" i="1"/>
  <c r="I30" i="1"/>
  <c r="H30" i="1"/>
  <c r="G30" i="1"/>
  <c r="F30" i="1"/>
  <c r="E30" i="1"/>
  <c r="D30" i="1"/>
  <c r="T25" i="1"/>
  <c r="S25" i="1"/>
  <c r="R25" i="1"/>
  <c r="Q25" i="1"/>
  <c r="P25" i="1"/>
  <c r="O25" i="1"/>
  <c r="N25" i="1"/>
  <c r="M25" i="1"/>
  <c r="L25" i="1"/>
  <c r="K25" i="1"/>
  <c r="J25" i="1"/>
  <c r="I25" i="1"/>
  <c r="H25" i="1"/>
  <c r="G25" i="1"/>
  <c r="F25" i="1"/>
  <c r="E25" i="1"/>
  <c r="D25" i="1"/>
  <c r="T24" i="1"/>
  <c r="S24" i="1"/>
  <c r="R24" i="1"/>
  <c r="Q24" i="1"/>
  <c r="P24" i="1"/>
  <c r="O24" i="1"/>
  <c r="N24" i="1"/>
  <c r="M24" i="1"/>
  <c r="L24" i="1"/>
  <c r="K24" i="1"/>
  <c r="J24" i="1"/>
  <c r="I24" i="1"/>
  <c r="H24" i="1"/>
  <c r="G24" i="1"/>
  <c r="F24" i="1"/>
  <c r="E24" i="1"/>
  <c r="D24" i="1"/>
  <c r="T23" i="1"/>
  <c r="S23" i="1"/>
  <c r="R23" i="1"/>
  <c r="Q23" i="1"/>
  <c r="P23" i="1"/>
  <c r="O23" i="1"/>
  <c r="N23" i="1"/>
  <c r="M23" i="1"/>
  <c r="L23" i="1"/>
  <c r="K23" i="1"/>
  <c r="J23" i="1"/>
  <c r="I23" i="1"/>
  <c r="H23" i="1"/>
  <c r="G23" i="1"/>
  <c r="F23" i="1"/>
  <c r="E23" i="1"/>
  <c r="D23" i="1"/>
  <c r="T22" i="1"/>
  <c r="S22" i="1"/>
  <c r="R22" i="1"/>
  <c r="Q22" i="1"/>
  <c r="P22" i="1"/>
  <c r="O22" i="1"/>
  <c r="N22" i="1"/>
  <c r="M22" i="1"/>
  <c r="L22" i="1"/>
  <c r="K22" i="1"/>
  <c r="J22" i="1"/>
  <c r="I22" i="1"/>
  <c r="H22" i="1"/>
  <c r="G22" i="1"/>
  <c r="F22" i="1"/>
  <c r="E22" i="1"/>
  <c r="D22" i="1"/>
  <c r="T21" i="1"/>
  <c r="S21" i="1"/>
  <c r="R21" i="1"/>
  <c r="Q21" i="1"/>
  <c r="P21" i="1"/>
  <c r="O21" i="1"/>
  <c r="N21" i="1"/>
  <c r="M21" i="1"/>
  <c r="L21" i="1"/>
  <c r="K21" i="1"/>
  <c r="J21" i="1"/>
  <c r="I21" i="1"/>
  <c r="H21" i="1"/>
  <c r="G21" i="1"/>
  <c r="F21" i="1"/>
  <c r="E21" i="1"/>
  <c r="D21" i="1"/>
  <c r="T20" i="1"/>
  <c r="S20" i="1"/>
  <c r="R20" i="1"/>
  <c r="Q20" i="1"/>
  <c r="P20" i="1"/>
  <c r="O20" i="1"/>
  <c r="N20" i="1"/>
  <c r="M20" i="1"/>
  <c r="L20" i="1"/>
  <c r="K20" i="1"/>
  <c r="J20" i="1"/>
  <c r="I20" i="1"/>
  <c r="H20" i="1"/>
  <c r="G20" i="1"/>
  <c r="F20" i="1"/>
  <c r="E20" i="1"/>
  <c r="D20" i="1"/>
  <c r="T19" i="1"/>
  <c r="S19" i="1"/>
  <c r="R19" i="1"/>
  <c r="Q19" i="1"/>
  <c r="P19" i="1"/>
  <c r="O19" i="1"/>
  <c r="N19" i="1"/>
  <c r="M19" i="1"/>
  <c r="L19" i="1"/>
  <c r="K19" i="1"/>
  <c r="J19" i="1"/>
  <c r="I19" i="1"/>
  <c r="H19" i="1"/>
  <c r="G19" i="1"/>
  <c r="F19" i="1"/>
  <c r="E19" i="1"/>
  <c r="D19" i="1"/>
  <c r="T18" i="1"/>
  <c r="S18" i="1"/>
  <c r="R18" i="1"/>
  <c r="Q18" i="1"/>
  <c r="P18" i="1"/>
  <c r="O18" i="1"/>
  <c r="N18" i="1"/>
  <c r="M18" i="1"/>
  <c r="L18" i="1"/>
  <c r="K18" i="1"/>
  <c r="J18" i="1"/>
  <c r="I18" i="1"/>
  <c r="H18" i="1"/>
  <c r="G18" i="1"/>
  <c r="F18" i="1"/>
  <c r="E18" i="1"/>
  <c r="D18" i="1"/>
  <c r="T17" i="1"/>
  <c r="S17" i="1"/>
  <c r="R17" i="1"/>
  <c r="Q17" i="1"/>
  <c r="P17" i="1"/>
  <c r="O17" i="1"/>
  <c r="N17" i="1"/>
  <c r="M17" i="1"/>
  <c r="L17" i="1"/>
  <c r="K17" i="1"/>
  <c r="J17" i="1"/>
  <c r="I17" i="1"/>
  <c r="H17" i="1"/>
  <c r="G17" i="1"/>
  <c r="F17" i="1"/>
  <c r="E17" i="1"/>
  <c r="D17" i="1"/>
  <c r="T12" i="1"/>
  <c r="S12" i="1"/>
  <c r="R12" i="1"/>
  <c r="Q12" i="1"/>
  <c r="P12" i="1"/>
  <c r="O12" i="1"/>
  <c r="N12" i="1"/>
  <c r="M12" i="1"/>
  <c r="L12" i="1"/>
  <c r="K12" i="1"/>
  <c r="J12" i="1"/>
  <c r="I12" i="1"/>
  <c r="H12" i="1"/>
  <c r="G12" i="1"/>
  <c r="F12" i="1"/>
  <c r="E12" i="1"/>
  <c r="D12" i="1"/>
  <c r="T11" i="1"/>
  <c r="S11" i="1"/>
  <c r="R11" i="1"/>
  <c r="Q11" i="1"/>
  <c r="P11" i="1"/>
  <c r="O11" i="1"/>
  <c r="N11" i="1"/>
  <c r="M11" i="1"/>
  <c r="L11" i="1"/>
  <c r="K11" i="1"/>
  <c r="J11" i="1"/>
  <c r="I11" i="1"/>
  <c r="H11" i="1"/>
  <c r="G11" i="1"/>
  <c r="F11" i="1"/>
  <c r="E11" i="1"/>
  <c r="D11" i="1"/>
  <c r="T10" i="1"/>
  <c r="S10" i="1"/>
  <c r="R10" i="1"/>
  <c r="Q10" i="1"/>
  <c r="P10" i="1"/>
  <c r="O10" i="1"/>
  <c r="N10" i="1"/>
  <c r="M10" i="1"/>
  <c r="L10" i="1"/>
  <c r="K10" i="1"/>
  <c r="J10" i="1"/>
  <c r="I10" i="1"/>
  <c r="H10" i="1"/>
  <c r="G10" i="1"/>
  <c r="F10" i="1"/>
  <c r="E10" i="1"/>
  <c r="D10" i="1"/>
  <c r="T9" i="1"/>
  <c r="S9" i="1"/>
  <c r="R9" i="1"/>
  <c r="Q9" i="1"/>
  <c r="P9" i="1"/>
  <c r="O9" i="1"/>
  <c r="N9" i="1"/>
  <c r="M9" i="1"/>
  <c r="L9" i="1"/>
  <c r="K9" i="1"/>
  <c r="J9" i="1"/>
  <c r="I9" i="1"/>
  <c r="H9" i="1"/>
  <c r="G9" i="1"/>
  <c r="F9" i="1"/>
  <c r="E9" i="1"/>
  <c r="D9" i="1"/>
  <c r="T4" i="1"/>
  <c r="S4" i="1"/>
  <c r="R4" i="1"/>
  <c r="Q4" i="1"/>
  <c r="P4" i="1"/>
  <c r="O4" i="1"/>
  <c r="N4" i="1"/>
  <c r="M4" i="1"/>
  <c r="L4" i="1"/>
  <c r="K4" i="1"/>
  <c r="J4" i="1"/>
  <c r="I4" i="1"/>
  <c r="H4" i="1"/>
  <c r="G4" i="1"/>
  <c r="F4" i="1"/>
  <c r="E4" i="1"/>
  <c r="D4" i="1"/>
  <c r="T3" i="1"/>
  <c r="S3" i="1"/>
  <c r="R3" i="1"/>
  <c r="Q3" i="1"/>
  <c r="P3" i="1"/>
  <c r="O3" i="1"/>
  <c r="N3" i="1"/>
  <c r="M3" i="1"/>
  <c r="L3" i="1"/>
  <c r="K3" i="1"/>
  <c r="J3" i="1"/>
  <c r="I3" i="1"/>
  <c r="H3" i="1"/>
  <c r="G3" i="1"/>
  <c r="F3" i="1"/>
  <c r="E3" i="1"/>
  <c r="D3" i="1"/>
  <c r="A84" i="3" l="1"/>
  <c r="BT88" i="2" s="1"/>
  <c r="CC87" i="2"/>
  <c r="BT87" i="2"/>
  <c r="BL87" i="2"/>
  <c r="BK87" i="2"/>
  <c r="BI87" i="2"/>
  <c r="BG87" i="2"/>
  <c r="BE87" i="2"/>
  <c r="BC87" i="2"/>
  <c r="AU87" i="2"/>
  <c r="AT87" i="2"/>
  <c r="AS87" i="2"/>
  <c r="BV87" i="2" s="1"/>
  <c r="AR87" i="2"/>
  <c r="AQ87" i="2"/>
  <c r="AO87" i="2"/>
  <c r="AN87" i="2"/>
  <c r="AM87" i="2"/>
  <c r="AB87" i="2"/>
  <c r="AA87" i="2"/>
  <c r="Y87" i="2"/>
  <c r="V87" i="2"/>
  <c r="U87" i="2"/>
  <c r="S87" i="2"/>
  <c r="R87" i="2"/>
  <c r="Q87" i="2"/>
  <c r="O87" i="2"/>
  <c r="N87" i="2"/>
  <c r="M87" i="2"/>
  <c r="L87" i="2"/>
  <c r="K87" i="2"/>
  <c r="J87" i="2"/>
  <c r="G87" i="2"/>
  <c r="D87" i="2"/>
  <c r="C87" i="2"/>
  <c r="AY87" i="2" s="1"/>
  <c r="CH87" i="2"/>
  <c r="CG87" i="2"/>
  <c r="BG82" i="3"/>
  <c r="BD86" i="2" s="1"/>
  <c r="BC86" i="2"/>
  <c r="BG81" i="3"/>
  <c r="BD85" i="2" s="1"/>
  <c r="BC85" i="2"/>
  <c r="BG80" i="3"/>
  <c r="BD84" i="2" s="1"/>
  <c r="BC84" i="2"/>
  <c r="BG79" i="3"/>
  <c r="BD83" i="2" s="1"/>
  <c r="BC83" i="2"/>
  <c r="AY83" i="2" s="1"/>
  <c r="BG78" i="3"/>
  <c r="BD82" i="2" s="1"/>
  <c r="BC82" i="2"/>
  <c r="BG77" i="3"/>
  <c r="BD81" i="2" s="1"/>
  <c r="BC81" i="2"/>
  <c r="BG76" i="3"/>
  <c r="BD80" i="2" s="1"/>
  <c r="BC80" i="2"/>
  <c r="BG75" i="3"/>
  <c r="BD79" i="2" s="1"/>
  <c r="BC79" i="2"/>
  <c r="BG74" i="3"/>
  <c r="BD78" i="2" s="1"/>
  <c r="BC78" i="2"/>
  <c r="BG73" i="3"/>
  <c r="BD77" i="2" s="1"/>
  <c r="BC77" i="2"/>
  <c r="BG72" i="3"/>
  <c r="BD76" i="2" s="1"/>
  <c r="BC76" i="2"/>
  <c r="BG71" i="3"/>
  <c r="BD75" i="2" s="1"/>
  <c r="BC75" i="2"/>
  <c r="BG70" i="3"/>
  <c r="BD74" i="2" s="1"/>
  <c r="BC74" i="2"/>
  <c r="BG69" i="3"/>
  <c r="BD73" i="2" s="1"/>
  <c r="BC73" i="2"/>
  <c r="BG68" i="3"/>
  <c r="BD72" i="2" s="1"/>
  <c r="BC72" i="2"/>
  <c r="BG67" i="3"/>
  <c r="BD71" i="2" s="1"/>
  <c r="BC71" i="2"/>
  <c r="BG66" i="3"/>
  <c r="BD70" i="2" s="1"/>
  <c r="BC70" i="2"/>
  <c r="AY70" i="2" s="1"/>
  <c r="BG65" i="3"/>
  <c r="BD69" i="2" s="1"/>
  <c r="BC69" i="2"/>
  <c r="BG64" i="3"/>
  <c r="BD68" i="2" s="1"/>
  <c r="BC68" i="2"/>
  <c r="BG63" i="3"/>
  <c r="BD67" i="2" s="1"/>
  <c r="BC67" i="2"/>
  <c r="BG61" i="3"/>
  <c r="BD65" i="2" s="1"/>
  <c r="BC65" i="2"/>
  <c r="BG60" i="3"/>
  <c r="BD64" i="2" s="1"/>
  <c r="BC64" i="2"/>
  <c r="BG59" i="3"/>
  <c r="BD63" i="2" s="1"/>
  <c r="BC63" i="2"/>
  <c r="BG58" i="3"/>
  <c r="BD62" i="2" s="1"/>
  <c r="BC62" i="2"/>
  <c r="BG57" i="3"/>
  <c r="BD61" i="2" s="1"/>
  <c r="BC61" i="2"/>
  <c r="BG56" i="3"/>
  <c r="BD60" i="2" s="1"/>
  <c r="BC60" i="2"/>
  <c r="BG55" i="3"/>
  <c r="BD59" i="2" s="1"/>
  <c r="BC59" i="2"/>
  <c r="BG54" i="3"/>
  <c r="BD58" i="2" s="1"/>
  <c r="BC58" i="2"/>
  <c r="BG53" i="3"/>
  <c r="BD57" i="2" s="1"/>
  <c r="BC57" i="2"/>
  <c r="BG51" i="3"/>
  <c r="BD55" i="2" s="1"/>
  <c r="BC55" i="2"/>
  <c r="BG50" i="3"/>
  <c r="BD54" i="2" s="1"/>
  <c r="BC54" i="2"/>
  <c r="BG48" i="3"/>
  <c r="BD52" i="2" s="1"/>
  <c r="BC52" i="2"/>
  <c r="BG47" i="3"/>
  <c r="BD51" i="2" s="1"/>
  <c r="BC51" i="2"/>
  <c r="BG46" i="3"/>
  <c r="BD50" i="2" s="1"/>
  <c r="BC50" i="2"/>
  <c r="BG45" i="3"/>
  <c r="BD49" i="2" s="1"/>
  <c r="BC49" i="2"/>
  <c r="BG44" i="3"/>
  <c r="BD48" i="2" s="1"/>
  <c r="BC48" i="2"/>
  <c r="BG42" i="3"/>
  <c r="BD46" i="2" s="1"/>
  <c r="BC46" i="2"/>
  <c r="BG39" i="3"/>
  <c r="BD43" i="2" s="1"/>
  <c r="BC43" i="2"/>
  <c r="BG38" i="3"/>
  <c r="BD42" i="2" s="1"/>
  <c r="BC42" i="2"/>
  <c r="BG37" i="3"/>
  <c r="BD41" i="2" s="1"/>
  <c r="BC41" i="2"/>
  <c r="BG31" i="3"/>
  <c r="BD35" i="2" s="1"/>
  <c r="BC35" i="2"/>
  <c r="BG30" i="3"/>
  <c r="BD34" i="2" s="1"/>
  <c r="BC34" i="2"/>
  <c r="BG26" i="3"/>
  <c r="BD30" i="2" s="1"/>
  <c r="BC30" i="2"/>
  <c r="AP67" i="2"/>
  <c r="BC53" i="2"/>
  <c r="I65" i="2"/>
  <c r="W34" i="2"/>
  <c r="AP44" i="2"/>
  <c r="AP57" i="2"/>
  <c r="W68" i="2"/>
  <c r="W83" i="2"/>
  <c r="AP38" i="2"/>
  <c r="BP46" i="2"/>
  <c r="CD84" i="2"/>
  <c r="W47" i="2"/>
  <c r="I64" i="2"/>
  <c r="CB64" i="2" s="1"/>
  <c r="BC25" i="2"/>
  <c r="I40" i="2"/>
  <c r="BC56" i="2"/>
  <c r="BC66" i="2"/>
  <c r="W36" i="2"/>
  <c r="BC24" i="2"/>
  <c r="BC29" i="2"/>
  <c r="I77" i="2"/>
  <c r="BW80" i="2"/>
  <c r="BW63" i="2"/>
  <c r="R5" i="1"/>
  <c r="J5" i="1"/>
  <c r="F5" i="1"/>
  <c r="L54" i="1"/>
  <c r="BC27" i="2"/>
  <c r="AH51" i="2"/>
  <c r="AP77" i="2"/>
  <c r="AP85" i="2"/>
  <c r="BC22" i="2"/>
  <c r="AY37" i="2"/>
  <c r="AY76" i="2"/>
  <c r="F87" i="2"/>
  <c r="W20" i="2"/>
  <c r="W52" i="2"/>
  <c r="I70" i="2"/>
  <c r="AV70" i="2" s="1"/>
  <c r="AY81" i="2"/>
  <c r="AP48" i="2"/>
  <c r="AY65" i="2"/>
  <c r="AP72" i="2"/>
  <c r="W19" i="2"/>
  <c r="AP27" i="2"/>
  <c r="AH77" i="2"/>
  <c r="CD78" i="2"/>
  <c r="AP80" i="2"/>
  <c r="BC40" i="2"/>
  <c r="I42" i="2"/>
  <c r="AC42" i="2" s="1"/>
  <c r="AH42" i="2" s="1"/>
  <c r="AJ42" i="2" s="1"/>
  <c r="AK42" i="2" s="1"/>
  <c r="AY43" i="2"/>
  <c r="BC47" i="2"/>
  <c r="AN88" i="2"/>
  <c r="M88" i="2"/>
  <c r="AQ88" i="2"/>
  <c r="O88" i="2"/>
  <c r="BL88" i="2"/>
  <c r="AO88" i="2"/>
  <c r="N88" i="2"/>
  <c r="BI88" i="2"/>
  <c r="AM88" i="2"/>
  <c r="L88" i="2"/>
  <c r="BG88" i="2"/>
  <c r="AB88" i="2"/>
  <c r="K88" i="2"/>
  <c r="BF88" i="2"/>
  <c r="AA88" i="2"/>
  <c r="J88" i="2"/>
  <c r="BE88" i="2"/>
  <c r="Y88" i="2"/>
  <c r="H88" i="2"/>
  <c r="BC88" i="2"/>
  <c r="V88" i="2"/>
  <c r="G88" i="2"/>
  <c r="CH88" i="2"/>
  <c r="AU88" i="2"/>
  <c r="U88" i="2"/>
  <c r="F88" i="2"/>
  <c r="I38" i="2"/>
  <c r="AY40" i="2"/>
  <c r="AY41" i="2"/>
  <c r="AP74" i="2"/>
  <c r="E87" i="2"/>
  <c r="H5" i="1"/>
  <c r="W30" i="2"/>
  <c r="AY64" i="2"/>
  <c r="G5" i="1"/>
  <c r="AP71" i="2"/>
  <c r="BP26" i="2"/>
  <c r="W66" i="2"/>
  <c r="W79" i="2"/>
  <c r="M54" i="1"/>
  <c r="AP39" i="2"/>
  <c r="CD63" i="2"/>
  <c r="AH74" i="2"/>
  <c r="W74" i="2"/>
  <c r="H87" i="2"/>
  <c r="BD88" i="2"/>
  <c r="BD87" i="2"/>
  <c r="AP41" i="2"/>
  <c r="BF87" i="2"/>
  <c r="BH88" i="2"/>
  <c r="D13" i="1"/>
  <c r="W25" i="2"/>
  <c r="W45" i="2"/>
  <c r="AY46" i="2"/>
  <c r="AP56" i="2"/>
  <c r="AP61" i="2"/>
  <c r="AP68" i="2"/>
  <c r="BW86" i="2"/>
  <c r="BH87" i="2"/>
  <c r="E13" i="1"/>
  <c r="AY51" i="2"/>
  <c r="CF83" i="3"/>
  <c r="E5" i="1"/>
  <c r="S13" i="1"/>
  <c r="BW23" i="2"/>
  <c r="AY24" i="2"/>
  <c r="AY26" i="2"/>
  <c r="BW40" i="2"/>
  <c r="CD41" i="2"/>
  <c r="AY48" i="2"/>
  <c r="AP79" i="2"/>
  <c r="BW20" i="2"/>
  <c r="BG19" i="3"/>
  <c r="BD23" i="2" s="1"/>
  <c r="AP32" i="2"/>
  <c r="BW72" i="2"/>
  <c r="W21" i="2"/>
  <c r="W73" i="2"/>
  <c r="AY23" i="2"/>
  <c r="BW50" i="2"/>
  <c r="CD23" i="2"/>
  <c r="AP23" i="2"/>
  <c r="CD27" i="2"/>
  <c r="AY31" i="2"/>
  <c r="AP33" i="2"/>
  <c r="AY45" i="2"/>
  <c r="BW49" i="2"/>
  <c r="I54" i="2"/>
  <c r="AJ54" i="2" s="1"/>
  <c r="AP54" i="2"/>
  <c r="CD57" i="2"/>
  <c r="AY61" i="2"/>
  <c r="BP77" i="2"/>
  <c r="AP84" i="2"/>
  <c r="CD85" i="2"/>
  <c r="AY33" i="2"/>
  <c r="W35" i="2"/>
  <c r="CD38" i="2"/>
  <c r="I66" i="2"/>
  <c r="AY72" i="2"/>
  <c r="F72" i="1"/>
  <c r="N72" i="1"/>
  <c r="BC28" i="2"/>
  <c r="BC36" i="2"/>
  <c r="W38" i="2"/>
  <c r="I43" i="2"/>
  <c r="W43" i="2"/>
  <c r="W59" i="2"/>
  <c r="BP76" i="2"/>
  <c r="AY77" i="2"/>
  <c r="I79" i="2"/>
  <c r="AY82" i="2"/>
  <c r="W82" i="2"/>
  <c r="BP83" i="2"/>
  <c r="T5" i="1"/>
  <c r="F26" i="1"/>
  <c r="D36" i="1"/>
  <c r="O45" i="1"/>
  <c r="L45" i="1"/>
  <c r="Q54" i="1"/>
  <c r="G72" i="1"/>
  <c r="BC26" i="2"/>
  <c r="W29" i="2"/>
  <c r="CD31" i="2"/>
  <c r="CD37" i="2"/>
  <c r="CD50" i="2"/>
  <c r="AY58" i="2"/>
  <c r="AY59" i="2"/>
  <c r="BW59" i="2"/>
  <c r="BP65" i="2"/>
  <c r="W71" i="2"/>
  <c r="I72" i="2"/>
  <c r="AP73" i="2"/>
  <c r="AP75" i="2"/>
  <c r="I82" i="2"/>
  <c r="BW82" i="2"/>
  <c r="O64" i="1"/>
  <c r="Q72" i="1"/>
  <c r="I22" i="2"/>
  <c r="CB22" i="2" s="1"/>
  <c r="BW44" i="2"/>
  <c r="W46" i="2"/>
  <c r="CD49" i="2"/>
  <c r="BW57" i="2"/>
  <c r="AP62" i="2"/>
  <c r="BW65" i="2"/>
  <c r="BW68" i="2"/>
  <c r="W77" i="2"/>
  <c r="L5" i="1"/>
  <c r="CD19" i="2"/>
  <c r="W32" i="2"/>
  <c r="CD40" i="2"/>
  <c r="CD46" i="2"/>
  <c r="BP52" i="2"/>
  <c r="W63" i="2"/>
  <c r="O36" i="1"/>
  <c r="AP29" i="2"/>
  <c r="W42" i="2"/>
  <c r="AP64" i="2"/>
  <c r="BW70" i="2"/>
  <c r="BW73" i="2"/>
  <c r="M13" i="1"/>
  <c r="P36" i="1"/>
  <c r="J45" i="1"/>
  <c r="E54" i="1"/>
  <c r="I64" i="1"/>
  <c r="BG15" i="3"/>
  <c r="BD19" i="2" s="1"/>
  <c r="BG34" i="3"/>
  <c r="BD38" i="2" s="1"/>
  <c r="N5" i="1"/>
  <c r="L13" i="1"/>
  <c r="R26" i="1"/>
  <c r="I36" i="1"/>
  <c r="N54" i="1"/>
  <c r="J72" i="1"/>
  <c r="AY21" i="2"/>
  <c r="BW34" i="2"/>
  <c r="I36" i="2"/>
  <c r="CB36" i="2" s="1"/>
  <c r="BW36" i="2"/>
  <c r="I45" i="2"/>
  <c r="BW54" i="2"/>
  <c r="AY55" i="2"/>
  <c r="AH70" i="2"/>
  <c r="CD77" i="2"/>
  <c r="BP80" i="2"/>
  <c r="AP81" i="2"/>
  <c r="W86" i="2"/>
  <c r="AP86" i="2"/>
  <c r="I5" i="1"/>
  <c r="Q5" i="1"/>
  <c r="P5" i="1"/>
  <c r="G13" i="1"/>
  <c r="N13" i="1"/>
  <c r="S72" i="1"/>
  <c r="I19" i="2"/>
  <c r="I21" i="2"/>
  <c r="AC21" i="2" s="1"/>
  <c r="AH21" i="2" s="1"/>
  <c r="AJ21" i="2" s="1"/>
  <c r="AK21" i="2" s="1"/>
  <c r="BC21" i="2"/>
  <c r="AY25" i="2"/>
  <c r="AP26" i="2"/>
  <c r="BW32" i="2"/>
  <c r="BC33" i="2"/>
  <c r="BP33" i="2"/>
  <c r="BC37" i="2"/>
  <c r="CD39" i="2"/>
  <c r="BW42" i="2"/>
  <c r="I48" i="2"/>
  <c r="AK48" i="2" s="1"/>
  <c r="AP51" i="2"/>
  <c r="AP52" i="2"/>
  <c r="I58" i="2"/>
  <c r="AC58" i="2" s="1"/>
  <c r="AP58" i="2"/>
  <c r="I60" i="2"/>
  <c r="AJ60" i="2" s="1"/>
  <c r="W60" i="2"/>
  <c r="I76" i="2"/>
  <c r="AD76" i="2" s="1"/>
  <c r="AZ76" i="2" s="1"/>
  <c r="I78" i="2"/>
  <c r="AW78" i="2" s="1"/>
  <c r="W78" i="2"/>
  <c r="I80" i="2"/>
  <c r="CD20" i="2"/>
  <c r="BW22" i="2"/>
  <c r="AP45" i="2"/>
  <c r="AP46" i="2"/>
  <c r="BW48" i="2"/>
  <c r="BW58" i="2"/>
  <c r="BW69" i="2"/>
  <c r="P54" i="1"/>
  <c r="D72" i="1"/>
  <c r="L72" i="1"/>
  <c r="AY20" i="2"/>
  <c r="I25" i="2"/>
  <c r="AY29" i="2"/>
  <c r="AY42" i="2"/>
  <c r="I62" i="2"/>
  <c r="P13" i="1"/>
  <c r="S5" i="1"/>
  <c r="Q13" i="1"/>
  <c r="N45" i="1"/>
  <c r="E72" i="1"/>
  <c r="BC20" i="2"/>
  <c r="AY27" i="2"/>
  <c r="BW29" i="2"/>
  <c r="W33" i="2"/>
  <c r="AP34" i="2"/>
  <c r="AP35" i="2"/>
  <c r="I37" i="2"/>
  <c r="BP43" i="2"/>
  <c r="AY44" i="2"/>
  <c r="BW47" i="2"/>
  <c r="BP60" i="2"/>
  <c r="AY69" i="2"/>
  <c r="CD73" i="2"/>
  <c r="I81" i="2"/>
  <c r="CB81" i="2" s="1"/>
  <c r="BV82" i="2"/>
  <c r="D5" i="1"/>
  <c r="H13" i="1"/>
  <c r="T26" i="1"/>
  <c r="J36" i="1"/>
  <c r="CD61" i="2"/>
  <c r="BW76" i="2"/>
  <c r="P26" i="1"/>
  <c r="K36" i="1"/>
  <c r="K13" i="1"/>
  <c r="K26" i="1"/>
  <c r="M36" i="1"/>
  <c r="G45" i="1"/>
  <c r="M64" i="1"/>
  <c r="E64" i="1"/>
  <c r="Q64" i="1"/>
  <c r="R72" i="1"/>
  <c r="I27" i="2"/>
  <c r="CB27" i="2" s="1"/>
  <c r="BC32" i="2"/>
  <c r="AY35" i="2"/>
  <c r="W37" i="2"/>
  <c r="I39" i="2"/>
  <c r="AW39" i="2" s="1"/>
  <c r="BW51" i="2"/>
  <c r="CD55" i="2"/>
  <c r="W62" i="2"/>
  <c r="CD62" i="2"/>
  <c r="AP70" i="2"/>
  <c r="I71" i="2"/>
  <c r="Q36" i="1"/>
  <c r="I26" i="1"/>
  <c r="J13" i="1"/>
  <c r="L26" i="1"/>
  <c r="CD25" i="2"/>
  <c r="I45" i="1"/>
  <c r="D45" i="1"/>
  <c r="P45" i="1"/>
  <c r="G54" i="1"/>
  <c r="S54" i="1"/>
  <c r="L64" i="1"/>
  <c r="H72" i="1"/>
  <c r="T72" i="1"/>
  <c r="O72" i="1"/>
  <c r="AP20" i="2"/>
  <c r="BW33" i="2"/>
  <c r="I44" i="2"/>
  <c r="AD44" i="2" s="1"/>
  <c r="AZ44" i="2" s="1"/>
  <c r="AP50" i="2"/>
  <c r="W55" i="2"/>
  <c r="BO65" i="2"/>
  <c r="CD66" i="2"/>
  <c r="CD71" i="2"/>
  <c r="BW83" i="2"/>
  <c r="BG40" i="3"/>
  <c r="BD44" i="2" s="1"/>
  <c r="H26" i="1"/>
  <c r="I13" i="1"/>
  <c r="D26" i="1"/>
  <c r="W27" i="2"/>
  <c r="BP30" i="2"/>
  <c r="CD45" i="2"/>
  <c r="W61" i="2"/>
  <c r="BP81" i="2"/>
  <c r="W84" i="2"/>
  <c r="O5" i="1"/>
  <c r="N26" i="1"/>
  <c r="T54" i="1"/>
  <c r="P64" i="1"/>
  <c r="I72" i="1"/>
  <c r="CD26" i="2"/>
  <c r="W26" i="2"/>
  <c r="W28" i="2"/>
  <c r="AY38" i="2"/>
  <c r="BP42" i="2"/>
  <c r="W44" i="2"/>
  <c r="AY52" i="2"/>
  <c r="BP70" i="2"/>
  <c r="CD80" i="2"/>
  <c r="BW27" i="2"/>
  <c r="F36" i="1"/>
  <c r="J26" i="1"/>
  <c r="M5" i="1"/>
  <c r="H54" i="1"/>
  <c r="D64" i="1"/>
  <c r="O13" i="1"/>
  <c r="K45" i="1"/>
  <c r="I54" i="1"/>
  <c r="F54" i="1"/>
  <c r="R54" i="1"/>
  <c r="BW26" i="2"/>
  <c r="I29" i="2"/>
  <c r="AW29" i="2" s="1"/>
  <c r="W31" i="2"/>
  <c r="BW31" i="2"/>
  <c r="BP36" i="2"/>
  <c r="I41" i="2"/>
  <c r="CB41" i="2" s="1"/>
  <c r="AP43" i="2"/>
  <c r="CD44" i="2"/>
  <c r="W57" i="2"/>
  <c r="CD60" i="2"/>
  <c r="BW64" i="2"/>
  <c r="W65" i="2"/>
  <c r="AY66" i="2"/>
  <c r="BW75" i="2"/>
  <c r="AP76" i="2"/>
  <c r="F13" i="1"/>
  <c r="F64" i="1"/>
  <c r="R64" i="1"/>
  <c r="K72" i="1"/>
  <c r="I24" i="2"/>
  <c r="AV24" i="2" s="1"/>
  <c r="AX24" i="2" s="1"/>
  <c r="AY36" i="2"/>
  <c r="CD52" i="2"/>
  <c r="W54" i="2"/>
  <c r="BP54" i="2"/>
  <c r="W56" i="2"/>
  <c r="CD56" i="2"/>
  <c r="R13" i="1"/>
  <c r="G26" i="1"/>
  <c r="S26" i="1"/>
  <c r="K54" i="1"/>
  <c r="G64" i="1"/>
  <c r="S64" i="1"/>
  <c r="N64" i="1"/>
  <c r="CD24" i="2"/>
  <c r="BW24" i="2"/>
  <c r="BP29" i="2"/>
  <c r="AP30" i="2"/>
  <c r="BP40" i="2"/>
  <c r="CD48" i="2"/>
  <c r="W48" i="2"/>
  <c r="AP49" i="2"/>
  <c r="BW56" i="2"/>
  <c r="I63" i="2"/>
  <c r="AW63" i="2" s="1"/>
  <c r="AP66" i="2"/>
  <c r="I67" i="2"/>
  <c r="AV67" i="2" s="1"/>
  <c r="AY71" i="2"/>
  <c r="H36" i="1"/>
  <c r="T36" i="1"/>
  <c r="H64" i="1"/>
  <c r="T64" i="1"/>
  <c r="W22" i="2"/>
  <c r="AP47" i="2"/>
  <c r="AP53" i="2"/>
  <c r="AP55" i="2"/>
  <c r="W67" i="2"/>
  <c r="W72" i="2"/>
  <c r="AP78" i="2"/>
  <c r="BP86" i="2"/>
  <c r="Q45" i="1"/>
  <c r="S45" i="1"/>
  <c r="K64" i="1"/>
  <c r="P72" i="1"/>
  <c r="AP21" i="2"/>
  <c r="AP28" i="2"/>
  <c r="BP37" i="2"/>
  <c r="W40" i="2"/>
  <c r="BP53" i="2"/>
  <c r="AP60" i="2"/>
  <c r="CD72" i="2"/>
  <c r="BP74" i="2"/>
  <c r="AP83" i="2"/>
  <c r="BG27" i="3"/>
  <c r="BD31" i="2" s="1"/>
  <c r="BC31" i="2"/>
  <c r="T13" i="1"/>
  <c r="O26" i="1"/>
  <c r="E36" i="1"/>
  <c r="R36" i="1"/>
  <c r="E45" i="1"/>
  <c r="D54" i="1"/>
  <c r="BG41" i="3"/>
  <c r="BD45" i="2" s="1"/>
  <c r="BC45" i="2"/>
  <c r="L36" i="1"/>
  <c r="G36" i="1"/>
  <c r="S36" i="1"/>
  <c r="F45" i="1"/>
  <c r="R45" i="1"/>
  <c r="M45" i="1"/>
  <c r="O54" i="1"/>
  <c r="J54" i="1"/>
  <c r="J64" i="1"/>
  <c r="M72" i="1"/>
  <c r="CD21" i="2"/>
  <c r="AP25" i="2"/>
  <c r="CD35" i="2"/>
  <c r="AP37" i="2"/>
  <c r="BW38" i="2"/>
  <c r="BP41" i="2"/>
  <c r="I56" i="2"/>
  <c r="AD56" i="2" s="1"/>
  <c r="BW60" i="2"/>
  <c r="AP65" i="2"/>
  <c r="AP69" i="2"/>
  <c r="AY73" i="2"/>
  <c r="CD83" i="2"/>
  <c r="K5" i="1"/>
  <c r="M26" i="1"/>
  <c r="E26" i="1"/>
  <c r="Q26" i="1"/>
  <c r="N36" i="1"/>
  <c r="H45" i="1"/>
  <c r="T45" i="1"/>
  <c r="AY19" i="2"/>
  <c r="AP22" i="2"/>
  <c r="I23" i="2"/>
  <c r="AK23" i="2" s="1"/>
  <c r="AY32" i="2"/>
  <c r="BW35" i="2"/>
  <c r="BW39" i="2"/>
  <c r="I55" i="2"/>
  <c r="AC55" i="2" s="1"/>
  <c r="AH55" i="2" s="1"/>
  <c r="AJ55" i="2" s="1"/>
  <c r="AK55" i="2" s="1"/>
  <c r="AY75" i="2"/>
  <c r="I83" i="2"/>
  <c r="CB83" i="2" s="1"/>
  <c r="AP24" i="2"/>
  <c r="BW25" i="2"/>
  <c r="BP25" i="2"/>
  <c r="AP31" i="2"/>
  <c r="CD32" i="2"/>
  <c r="I33" i="2"/>
  <c r="AD33" i="2" s="1"/>
  <c r="AY39" i="2"/>
  <c r="BC39" i="2"/>
  <c r="AY53" i="2"/>
  <c r="I57" i="2"/>
  <c r="AD57" i="2" s="1"/>
  <c r="CD59" i="2"/>
  <c r="AP63" i="2"/>
  <c r="BW66" i="2"/>
  <c r="CD67" i="2"/>
  <c r="BW78" i="2"/>
  <c r="I85" i="2"/>
  <c r="AD85" i="2" s="1"/>
  <c r="AZ85" i="2" s="1"/>
  <c r="BW19" i="2"/>
  <c r="CD22" i="2"/>
  <c r="I28" i="2"/>
  <c r="BP28" i="2"/>
  <c r="BP32" i="2"/>
  <c r="BW41" i="2"/>
  <c r="AP42" i="2"/>
  <c r="BO42" i="2"/>
  <c r="BW46" i="2"/>
  <c r="BP49" i="2"/>
  <c r="I51" i="2"/>
  <c r="AJ51" i="2" s="1"/>
  <c r="CD53" i="2"/>
  <c r="W53" i="2"/>
  <c r="CD58" i="2"/>
  <c r="W58" i="2"/>
  <c r="AY62" i="2"/>
  <c r="AY68" i="2"/>
  <c r="I75" i="2"/>
  <c r="BP79" i="2"/>
  <c r="W39" i="2"/>
  <c r="BO40" i="2"/>
  <c r="AY50" i="2"/>
  <c r="W51" i="2"/>
  <c r="CD51" i="2"/>
  <c r="AY67" i="2"/>
  <c r="I68" i="2"/>
  <c r="CD75" i="2"/>
  <c r="W75" i="2"/>
  <c r="BV79" i="2"/>
  <c r="AP19" i="2"/>
  <c r="BP21" i="2"/>
  <c r="I32" i="2"/>
  <c r="BP35" i="2"/>
  <c r="AP40" i="2"/>
  <c r="BP45" i="2"/>
  <c r="BW52" i="2"/>
  <c r="BP61" i="2"/>
  <c r="AY63" i="2"/>
  <c r="BW79" i="2"/>
  <c r="CD29" i="2"/>
  <c r="BP67" i="2"/>
  <c r="I20" i="2"/>
  <c r="I26" i="2"/>
  <c r="BO26" i="2"/>
  <c r="I35" i="2"/>
  <c r="BV39" i="2"/>
  <c r="I49" i="2"/>
  <c r="I52" i="2"/>
  <c r="AJ52" i="2" s="1"/>
  <c r="BP55" i="2"/>
  <c r="BO55" i="2"/>
  <c r="AY56" i="2"/>
  <c r="AP59" i="2"/>
  <c r="BW61" i="2"/>
  <c r="BV61" i="2"/>
  <c r="I69" i="2"/>
  <c r="AJ69" i="2" s="1"/>
  <c r="AH69" i="2"/>
  <c r="BP73" i="2"/>
  <c r="BO73" i="2"/>
  <c r="CD76" i="2"/>
  <c r="W76" i="2"/>
  <c r="CD82" i="2"/>
  <c r="AY85" i="2"/>
  <c r="CD86" i="2"/>
  <c r="BP20" i="2"/>
  <c r="BW30" i="2"/>
  <c r="CD33" i="2"/>
  <c r="BV42" i="2"/>
  <c r="CD43" i="2"/>
  <c r="W49" i="2"/>
  <c r="BW55" i="2"/>
  <c r="CD69" i="2"/>
  <c r="W69" i="2"/>
  <c r="BV73" i="2"/>
  <c r="I86" i="2"/>
  <c r="AJ86" i="2" s="1"/>
  <c r="AH86" i="2"/>
  <c r="BV21" i="2"/>
  <c r="W24" i="2"/>
  <c r="BO24" i="2"/>
  <c r="I31" i="2"/>
  <c r="AY34" i="2"/>
  <c r="AP36" i="2"/>
  <c r="BO36" i="2"/>
  <c r="BO46" i="2"/>
  <c r="AY47" i="2"/>
  <c r="CD47" i="2"/>
  <c r="I50" i="2"/>
  <c r="W50" i="2"/>
  <c r="BO53" i="2"/>
  <c r="CD64" i="2"/>
  <c r="W64" i="2"/>
  <c r="BW67" i="2"/>
  <c r="CD70" i="2"/>
  <c r="W70" i="2"/>
  <c r="BW74" i="2"/>
  <c r="AY80" i="2"/>
  <c r="BP84" i="2"/>
  <c r="BO84" i="2"/>
  <c r="BW21" i="2"/>
  <c r="BP24" i="2"/>
  <c r="I34" i="2"/>
  <c r="BP34" i="2"/>
  <c r="AH37" i="2"/>
  <c r="W41" i="2"/>
  <c r="BP47" i="2"/>
  <c r="BP50" i="2"/>
  <c r="AY79" i="2"/>
  <c r="BW84" i="2"/>
  <c r="BV84" i="2"/>
  <c r="BV37" i="2"/>
  <c r="AY54" i="2"/>
  <c r="AY22" i="2"/>
  <c r="W23" i="2"/>
  <c r="I30" i="2"/>
  <c r="AY30" i="2"/>
  <c r="AH35" i="2"/>
  <c r="BO39" i="2"/>
  <c r="I47" i="2"/>
  <c r="CD54" i="2"/>
  <c r="I59" i="2"/>
  <c r="BW85" i="2"/>
  <c r="BP63" i="2"/>
  <c r="BO63" i="2"/>
  <c r="BW28" i="2"/>
  <c r="CD36" i="2"/>
  <c r="BW37" i="2"/>
  <c r="BV40" i="2"/>
  <c r="AY57" i="2"/>
  <c r="BW62" i="2"/>
  <c r="BP62" i="2"/>
  <c r="BV67" i="2"/>
  <c r="CD30" i="2"/>
  <c r="BV38" i="2"/>
  <c r="BP39" i="2"/>
  <c r="BV43" i="2"/>
  <c r="I46" i="2"/>
  <c r="AH52" i="2"/>
  <c r="BV55" i="2"/>
  <c r="BP57" i="2"/>
  <c r="AY74" i="2"/>
  <c r="AY28" i="2"/>
  <c r="CD28" i="2"/>
  <c r="CD42" i="2"/>
  <c r="BW43" i="2"/>
  <c r="AY49" i="2"/>
  <c r="I53" i="2"/>
  <c r="AJ53" i="2" s="1"/>
  <c r="I74" i="2"/>
  <c r="BP78" i="2"/>
  <c r="CD81" i="2"/>
  <c r="W81" i="2"/>
  <c r="AP82" i="2"/>
  <c r="BV85" i="2"/>
  <c r="BP51" i="2"/>
  <c r="BV59" i="2"/>
  <c r="AH65" i="2"/>
  <c r="CD68" i="2"/>
  <c r="BW71" i="2"/>
  <c r="CD74" i="2"/>
  <c r="BW77" i="2"/>
  <c r="AY84" i="2"/>
  <c r="W85" i="2"/>
  <c r="I73" i="2"/>
  <c r="AY78" i="2"/>
  <c r="BV86" i="2"/>
  <c r="AH58" i="2"/>
  <c r="AY60" i="2"/>
  <c r="I61" i="2"/>
  <c r="I84" i="2"/>
  <c r="BW81" i="2"/>
  <c r="AY86" i="2"/>
  <c r="AH60" i="2"/>
  <c r="BP69" i="2"/>
  <c r="BP75" i="2"/>
  <c r="W80" i="2"/>
  <c r="BO80" i="2"/>
  <c r="B94" i="2"/>
  <c r="AD62" i="2" l="1"/>
  <c r="AZ62" i="2" s="1"/>
  <c r="BN62" i="2" s="1"/>
  <c r="BQ62" i="2" s="1"/>
  <c r="BR62" i="2" s="1"/>
  <c r="AW62" i="2"/>
  <c r="AV62" i="2"/>
  <c r="AI62" i="2"/>
  <c r="AD37" i="2"/>
  <c r="AZ37" i="2" s="1"/>
  <c r="BN37" i="2" s="1"/>
  <c r="BQ37" i="2" s="1"/>
  <c r="BR37" i="2" s="1"/>
  <c r="AV37" i="2"/>
  <c r="AJ37" i="2"/>
  <c r="AW37" i="2"/>
  <c r="AC71" i="2"/>
  <c r="AH71" i="2" s="1"/>
  <c r="AJ71" i="2" s="1"/>
  <c r="AK71" i="2" s="1"/>
  <c r="CB71" i="2"/>
  <c r="BW87" i="2"/>
  <c r="AP87" i="2"/>
  <c r="CF84" i="3"/>
  <c r="CG88" i="2"/>
  <c r="AT88" i="2"/>
  <c r="S88" i="2"/>
  <c r="W88" i="2" s="1"/>
  <c r="E88" i="2"/>
  <c r="CC88" i="2"/>
  <c r="AS88" i="2"/>
  <c r="BV88" i="2" s="1"/>
  <c r="R88" i="2"/>
  <c r="D88" i="2"/>
  <c r="A85" i="3"/>
  <c r="AR88" i="2"/>
  <c r="Q88" i="2"/>
  <c r="C88" i="2"/>
  <c r="BK88" i="2"/>
  <c r="CB38" i="2"/>
  <c r="AW38" i="2"/>
  <c r="AV66" i="2"/>
  <c r="AW66" i="2"/>
  <c r="AX66" i="2" s="1"/>
  <c r="CB66" i="2"/>
  <c r="AK66" i="2"/>
  <c r="AV43" i="2"/>
  <c r="AD43" i="2"/>
  <c r="AD79" i="2"/>
  <c r="CB79" i="2"/>
  <c r="AW79" i="2"/>
  <c r="AC72" i="2"/>
  <c r="AH72" i="2" s="1"/>
  <c r="AV72" i="2"/>
  <c r="AJ72" i="2"/>
  <c r="AC82" i="2"/>
  <c r="AH82" i="2" s="1"/>
  <c r="AJ82" i="2" s="1"/>
  <c r="AK82" i="2" s="1"/>
  <c r="AD82" i="2"/>
  <c r="AW45" i="2"/>
  <c r="CB45" i="2"/>
  <c r="CB19" i="2"/>
  <c r="AW19" i="2"/>
  <c r="AJ19" i="2"/>
  <c r="AC19" i="2"/>
  <c r="AH19" i="2" s="1"/>
  <c r="AV80" i="2"/>
  <c r="CB80" i="2"/>
  <c r="AD80" i="2"/>
  <c r="AC80" i="2"/>
  <c r="AH80" i="2" s="1"/>
  <c r="AJ80" i="2" s="1"/>
  <c r="AK80" i="2" s="1"/>
  <c r="BP87" i="2"/>
  <c r="BO87" i="2"/>
  <c r="CD87" i="2"/>
  <c r="W87" i="2"/>
  <c r="I87" i="2"/>
  <c r="AH87" i="2"/>
  <c r="CB65" i="2"/>
  <c r="AD65" i="2"/>
  <c r="AZ65" i="2" s="1"/>
  <c r="AC65" i="2"/>
  <c r="AK65" i="2"/>
  <c r="AJ65" i="2"/>
  <c r="AW65" i="2"/>
  <c r="AI65" i="2"/>
  <c r="AW40" i="2"/>
  <c r="CB40" i="2"/>
  <c r="AD77" i="2"/>
  <c r="AZ77" i="2" s="1"/>
  <c r="AI77" i="2"/>
  <c r="AD25" i="2"/>
  <c r="AC25" i="2"/>
  <c r="AH25" i="2" s="1"/>
  <c r="AJ25" i="2" s="1"/>
  <c r="AK25" i="2" s="1"/>
  <c r="AV45" i="2"/>
  <c r="AX45" i="2" s="1"/>
  <c r="AW43" i="2"/>
  <c r="AX43" i="2" s="1"/>
  <c r="CB43" i="2"/>
  <c r="AV56" i="2"/>
  <c r="CB56" i="2"/>
  <c r="CB77" i="2"/>
  <c r="AD38" i="2"/>
  <c r="AV77" i="2"/>
  <c r="AJ77" i="2"/>
  <c r="AC38" i="2"/>
  <c r="AH38" i="2" s="1"/>
  <c r="AJ38" i="2" s="1"/>
  <c r="AK38" i="2" s="1"/>
  <c r="AW77" i="2"/>
  <c r="AK77" i="2"/>
  <c r="AC77" i="2"/>
  <c r="AV38" i="2"/>
  <c r="AC62" i="2"/>
  <c r="AH62" i="2" s="1"/>
  <c r="AJ62" i="2" s="1"/>
  <c r="AK62" i="2" s="1"/>
  <c r="BA62" i="2" s="1"/>
  <c r="BU62" i="2" s="1"/>
  <c r="BX62" i="2" s="1"/>
  <c r="BY62" i="2" s="1"/>
  <c r="AC56" i="2"/>
  <c r="AH56" i="2" s="1"/>
  <c r="AJ56" i="2" s="1"/>
  <c r="AK56" i="2" s="1"/>
  <c r="AC33" i="2"/>
  <c r="AH33" i="2" s="1"/>
  <c r="AJ33" i="2" s="1"/>
  <c r="AK33" i="2" s="1"/>
  <c r="AD72" i="2"/>
  <c r="AV33" i="2"/>
  <c r="AW33" i="2"/>
  <c r="CB37" i="2"/>
  <c r="CB62" i="2"/>
  <c r="AV23" i="2"/>
  <c r="AX23" i="2" s="1"/>
  <c r="AV79" i="2"/>
  <c r="AC66" i="2"/>
  <c r="AH66" i="2" s="1"/>
  <c r="AJ66" i="2"/>
  <c r="AV76" i="2"/>
  <c r="AC37" i="2"/>
  <c r="AD19" i="2"/>
  <c r="AZ19" i="2" s="1"/>
  <c r="AD66" i="2"/>
  <c r="AZ66" i="2" s="1"/>
  <c r="CA66" i="2" s="1"/>
  <c r="AK37" i="2"/>
  <c r="CB24" i="2"/>
  <c r="AV65" i="2"/>
  <c r="AI37" i="2"/>
  <c r="AC40" i="2"/>
  <c r="AH40" i="2" s="1"/>
  <c r="AJ40" i="2" s="1"/>
  <c r="AK40" i="2" s="1"/>
  <c r="AC43" i="2"/>
  <c r="AH43" i="2" s="1"/>
  <c r="AJ43" i="2" s="1"/>
  <c r="AK43" i="2" s="1"/>
  <c r="CB33" i="2"/>
  <c r="I88" i="2"/>
  <c r="AV40" i="2"/>
  <c r="AD40" i="2"/>
  <c r="AZ40" i="2" s="1"/>
  <c r="AW24" i="2"/>
  <c r="AC45" i="2"/>
  <c r="AH45" i="2" s="1"/>
  <c r="AJ45" i="2" s="1"/>
  <c r="AK45" i="2" s="1"/>
  <c r="CB76" i="2"/>
  <c r="AV63" i="2"/>
  <c r="AX63" i="2" s="1"/>
  <c r="AJ23" i="2"/>
  <c r="AW44" i="2"/>
  <c r="AC36" i="2"/>
  <c r="AH36" i="2" s="1"/>
  <c r="AJ36" i="2" s="1"/>
  <c r="AK36" i="2" s="1"/>
  <c r="AD36" i="2"/>
  <c r="AC79" i="2"/>
  <c r="AH79" i="2" s="1"/>
  <c r="AJ79" i="2" s="1"/>
  <c r="AK79" i="2" s="1"/>
  <c r="AW42" i="2"/>
  <c r="AV64" i="2"/>
  <c r="AW80" i="2"/>
  <c r="AX80" i="2" s="1"/>
  <c r="AC22" i="2"/>
  <c r="AH22" i="2" s="1"/>
  <c r="AJ22" i="2" s="1"/>
  <c r="AK22" i="2" s="1"/>
  <c r="AD22" i="2"/>
  <c r="AC64" i="2"/>
  <c r="AH64" i="2" s="1"/>
  <c r="AJ64" i="2" s="1"/>
  <c r="AK64" i="2" s="1"/>
  <c r="AK87" i="2"/>
  <c r="AC23" i="2"/>
  <c r="AH23" i="2" s="1"/>
  <c r="AW22" i="2"/>
  <c r="AW64" i="2"/>
  <c r="AC87" i="2"/>
  <c r="AV22" i="2"/>
  <c r="AX22" i="2" s="1"/>
  <c r="AD64" i="2"/>
  <c r="AZ64" i="2" s="1"/>
  <c r="CA64" i="2" s="1"/>
  <c r="AY88" i="2"/>
  <c r="BW88" i="2"/>
  <c r="AW88" i="2"/>
  <c r="AI70" i="2"/>
  <c r="AD42" i="2"/>
  <c r="AZ42" i="2" s="1"/>
  <c r="AX38" i="2"/>
  <c r="AW54" i="2"/>
  <c r="AC70" i="2"/>
  <c r="CB42" i="2"/>
  <c r="CB44" i="2"/>
  <c r="AC24" i="2"/>
  <c r="AH24" i="2" s="1"/>
  <c r="AJ24" i="2" s="1"/>
  <c r="AK24" i="2" s="1"/>
  <c r="AW70" i="2"/>
  <c r="AX70" i="2" s="1"/>
  <c r="AI58" i="2"/>
  <c r="AV42" i="2"/>
  <c r="AV71" i="2"/>
  <c r="AJ70" i="2"/>
  <c r="AV58" i="2"/>
  <c r="AD63" i="2"/>
  <c r="AK70" i="2"/>
  <c r="AD71" i="2"/>
  <c r="AZ71" i="2" s="1"/>
  <c r="CF85" i="3"/>
  <c r="AV21" i="2"/>
  <c r="AX21" i="2" s="1"/>
  <c r="CB63" i="2"/>
  <c r="CB70" i="2"/>
  <c r="AD70" i="2"/>
  <c r="AZ70" i="2" s="1"/>
  <c r="AW60" i="2"/>
  <c r="AD60" i="2"/>
  <c r="AZ60" i="2" s="1"/>
  <c r="AC48" i="2"/>
  <c r="AH48" i="2" s="1"/>
  <c r="AC83" i="2"/>
  <c r="BN76" i="2"/>
  <c r="BQ76" i="2" s="1"/>
  <c r="BR76" i="2" s="1"/>
  <c r="CB23" i="2"/>
  <c r="AV55" i="2"/>
  <c r="AD21" i="2"/>
  <c r="AZ21" i="2" s="1"/>
  <c r="CA21" i="2" s="1"/>
  <c r="AC57" i="2"/>
  <c r="AH57" i="2" s="1"/>
  <c r="AJ57" i="2" s="1"/>
  <c r="AK57" i="2" s="1"/>
  <c r="BN44" i="2"/>
  <c r="BO44" i="2" s="1"/>
  <c r="AP88" i="2"/>
  <c r="AV25" i="2"/>
  <c r="AX25" i="2" s="1"/>
  <c r="AC41" i="2"/>
  <c r="AH41" i="2" s="1"/>
  <c r="AJ41" i="2" s="1"/>
  <c r="AK41" i="2" s="1"/>
  <c r="AW58" i="2"/>
  <c r="AI85" i="2"/>
  <c r="AW85" i="2"/>
  <c r="AV39" i="2"/>
  <c r="AX39" i="2" s="1"/>
  <c r="AD41" i="2"/>
  <c r="AZ41" i="2" s="1"/>
  <c r="BM41" i="2" s="1"/>
  <c r="AD58" i="2"/>
  <c r="AZ58" i="2" s="1"/>
  <c r="BN58" i="2" s="1"/>
  <c r="BQ58" i="2" s="1"/>
  <c r="BR58" i="2" s="1"/>
  <c r="AD45" i="2"/>
  <c r="AZ45" i="2" s="1"/>
  <c r="BM45" i="2" s="1"/>
  <c r="CB85" i="2"/>
  <c r="AW72" i="2"/>
  <c r="AW76" i="2"/>
  <c r="CB39" i="2"/>
  <c r="CB21" i="2"/>
  <c r="AV41" i="2"/>
  <c r="AJ58" i="2"/>
  <c r="CB25" i="2"/>
  <c r="AC76" i="2"/>
  <c r="AH76" i="2" s="1"/>
  <c r="AJ76" i="2" s="1"/>
  <c r="AK76" i="2" s="1"/>
  <c r="AW25" i="2"/>
  <c r="AW41" i="2"/>
  <c r="AK58" i="2"/>
  <c r="AD55" i="2"/>
  <c r="AZ55" i="2" s="1"/>
  <c r="CA55" i="2" s="1"/>
  <c r="CB58" i="2"/>
  <c r="AK72" i="2"/>
  <c r="CB57" i="2"/>
  <c r="AW55" i="2"/>
  <c r="AV36" i="2"/>
  <c r="AV81" i="2"/>
  <c r="CB55" i="2"/>
  <c r="AW21" i="2"/>
  <c r="CB72" i="2"/>
  <c r="AC63" i="2"/>
  <c r="AH63" i="2" s="1"/>
  <c r="AJ63" i="2" s="1"/>
  <c r="AK63" i="2" s="1"/>
  <c r="AC27" i="2"/>
  <c r="AH27" i="2" s="1"/>
  <c r="AJ27" i="2" s="1"/>
  <c r="AK27" i="2" s="1"/>
  <c r="AW36" i="2"/>
  <c r="AD24" i="2"/>
  <c r="AZ24" i="2" s="1"/>
  <c r="BM24" i="2" s="1"/>
  <c r="CB78" i="2"/>
  <c r="CB54" i="2"/>
  <c r="AD48" i="2"/>
  <c r="AZ48" i="2" s="1"/>
  <c r="BM48" i="2" s="1"/>
  <c r="CB67" i="2"/>
  <c r="AC78" i="2"/>
  <c r="AH78" i="2" s="1"/>
  <c r="AJ78" i="2" s="1"/>
  <c r="AK78" i="2" s="1"/>
  <c r="AD54" i="2"/>
  <c r="AZ54" i="2" s="1"/>
  <c r="BM54" i="2" s="1"/>
  <c r="CB48" i="2"/>
  <c r="AC81" i="2"/>
  <c r="AH81" i="2" s="1"/>
  <c r="AJ81" i="2" s="1"/>
  <c r="AK81" i="2" s="1"/>
  <c r="AD78" i="2"/>
  <c r="AZ78" i="2" s="1"/>
  <c r="BM78" i="2" s="1"/>
  <c r="AI54" i="2"/>
  <c r="AV48" i="2"/>
  <c r="BM85" i="2"/>
  <c r="AW67" i="2"/>
  <c r="AX67" i="2" s="1"/>
  <c r="AD81" i="2"/>
  <c r="AZ81" i="2" s="1"/>
  <c r="BN81" i="2" s="1"/>
  <c r="BQ81" i="2" s="1"/>
  <c r="BR81" i="2" s="1"/>
  <c r="AJ48" i="2"/>
  <c r="AI44" i="2"/>
  <c r="AV78" i="2"/>
  <c r="AX78" i="2" s="1"/>
  <c r="AV54" i="2"/>
  <c r="AW23" i="2"/>
  <c r="AW48" i="2"/>
  <c r="AV82" i="2"/>
  <c r="CB82" i="2"/>
  <c r="AK54" i="2"/>
  <c r="AW82" i="2"/>
  <c r="AC54" i="2"/>
  <c r="AW81" i="2"/>
  <c r="AC85" i="2"/>
  <c r="AH85" i="2" s="1"/>
  <c r="AJ85" i="2" s="1"/>
  <c r="AK85" i="2" s="1"/>
  <c r="CB60" i="2"/>
  <c r="AD83" i="2"/>
  <c r="AZ83" i="2" s="1"/>
  <c r="BM83" i="2" s="1"/>
  <c r="BN85" i="2"/>
  <c r="BO85" i="2" s="1"/>
  <c r="AI76" i="2"/>
  <c r="AK19" i="2"/>
  <c r="AV19" i="2"/>
  <c r="AX19" i="2" s="1"/>
  <c r="AC60" i="2"/>
  <c r="AI83" i="2"/>
  <c r="AJ83" i="2"/>
  <c r="AV83" i="2"/>
  <c r="AC29" i="2"/>
  <c r="AH29" i="2" s="1"/>
  <c r="AJ29" i="2" s="1"/>
  <c r="AK29" i="2" s="1"/>
  <c r="AV85" i="2"/>
  <c r="AI60" i="2"/>
  <c r="AW83" i="2"/>
  <c r="AD29" i="2"/>
  <c r="AZ29" i="2" s="1"/>
  <c r="BM29" i="2" s="1"/>
  <c r="AV60" i="2"/>
  <c r="AK83" i="2"/>
  <c r="AD23" i="2"/>
  <c r="AZ23" i="2" s="1"/>
  <c r="AV29" i="2"/>
  <c r="AX29" i="2" s="1"/>
  <c r="AK60" i="2"/>
  <c r="CB29" i="2"/>
  <c r="CA85" i="2"/>
  <c r="AZ56" i="2"/>
  <c r="CA56" i="2" s="1"/>
  <c r="AI56" i="2"/>
  <c r="AZ33" i="2"/>
  <c r="AI33" i="2"/>
  <c r="AV44" i="2"/>
  <c r="AC44" i="2"/>
  <c r="AH44" i="2" s="1"/>
  <c r="AJ44" i="2" s="1"/>
  <c r="AK44" i="2" s="1"/>
  <c r="AD67" i="2"/>
  <c r="AC67" i="2"/>
  <c r="AH67" i="2" s="1"/>
  <c r="AJ67" i="2" s="1"/>
  <c r="AK67" i="2" s="1"/>
  <c r="AD39" i="2"/>
  <c r="AC39" i="2"/>
  <c r="AH39" i="2" s="1"/>
  <c r="AJ39" i="2" s="1"/>
  <c r="AK39" i="2" s="1"/>
  <c r="AV27" i="2"/>
  <c r="AX27" i="2" s="1"/>
  <c r="AW27" i="2"/>
  <c r="AW71" i="2"/>
  <c r="AW56" i="2"/>
  <c r="AD27" i="2"/>
  <c r="AZ27" i="2" s="1"/>
  <c r="BM27" i="2" s="1"/>
  <c r="AW57" i="2"/>
  <c r="AV57" i="2"/>
  <c r="AW61" i="2"/>
  <c r="AV61" i="2"/>
  <c r="AD61" i="2"/>
  <c r="AZ61" i="2" s="1"/>
  <c r="BM61" i="2" s="1"/>
  <c r="AC61" i="2"/>
  <c r="AH61" i="2" s="1"/>
  <c r="AJ61" i="2" s="1"/>
  <c r="AK61" i="2" s="1"/>
  <c r="CB61" i="2"/>
  <c r="AW73" i="2"/>
  <c r="AV73" i="2"/>
  <c r="CB73" i="2"/>
  <c r="AD73" i="2"/>
  <c r="AZ73" i="2" s="1"/>
  <c r="BM73" i="2" s="1"/>
  <c r="AC73" i="2"/>
  <c r="AH73" i="2" s="1"/>
  <c r="AJ73" i="2" s="1"/>
  <c r="AK73" i="2" s="1"/>
  <c r="AW34" i="2"/>
  <c r="CB34" i="2"/>
  <c r="AV34" i="2"/>
  <c r="AD34" i="2"/>
  <c r="AZ34" i="2" s="1"/>
  <c r="CA34" i="2" s="1"/>
  <c r="AC34" i="2"/>
  <c r="AH34" i="2" s="1"/>
  <c r="AJ34" i="2" s="1"/>
  <c r="AK34" i="2" s="1"/>
  <c r="AZ57" i="2"/>
  <c r="AI57" i="2"/>
  <c r="AW32" i="2"/>
  <c r="AC32" i="2"/>
  <c r="AH32" i="2" s="1"/>
  <c r="AJ32" i="2" s="1"/>
  <c r="AK32" i="2" s="1"/>
  <c r="AD32" i="2"/>
  <c r="AZ32" i="2" s="1"/>
  <c r="BM32" i="2" s="1"/>
  <c r="CB32" i="2"/>
  <c r="AV32" i="2"/>
  <c r="AW51" i="2"/>
  <c r="AC51" i="2"/>
  <c r="AK51" i="2"/>
  <c r="AI51" i="2"/>
  <c r="CB51" i="2"/>
  <c r="AV51" i="2"/>
  <c r="AD51" i="2"/>
  <c r="AZ51" i="2" s="1"/>
  <c r="BM51" i="2" s="1"/>
  <c r="AC53" i="2"/>
  <c r="AW53" i="2"/>
  <c r="AI53" i="2"/>
  <c r="AD53" i="2"/>
  <c r="AZ53" i="2" s="1"/>
  <c r="BM53" i="2" s="1"/>
  <c r="AK53" i="2"/>
  <c r="AV53" i="2"/>
  <c r="CB53" i="2"/>
  <c r="AD52" i="2"/>
  <c r="AZ52" i="2" s="1"/>
  <c r="BM52" i="2" s="1"/>
  <c r="AK52" i="2"/>
  <c r="AW52" i="2"/>
  <c r="AV52" i="2"/>
  <c r="AI52" i="2"/>
  <c r="AC52" i="2"/>
  <c r="CB52" i="2"/>
  <c r="AW49" i="2"/>
  <c r="AC49" i="2"/>
  <c r="AH49" i="2" s="1"/>
  <c r="AK49" i="2"/>
  <c r="AV49" i="2"/>
  <c r="AD49" i="2"/>
  <c r="AZ49" i="2" s="1"/>
  <c r="BM49" i="2" s="1"/>
  <c r="CB49" i="2"/>
  <c r="AW20" i="2"/>
  <c r="AV20" i="2"/>
  <c r="AX20" i="2" s="1"/>
  <c r="AD20" i="2"/>
  <c r="AZ20" i="2" s="1"/>
  <c r="BM20" i="2" s="1"/>
  <c r="AC20" i="2"/>
  <c r="AH20" i="2" s="1"/>
  <c r="AJ20" i="2" s="1"/>
  <c r="AK20" i="2" s="1"/>
  <c r="CB20" i="2"/>
  <c r="BM76" i="2"/>
  <c r="CA76" i="2"/>
  <c r="AW28" i="2"/>
  <c r="CB28" i="2"/>
  <c r="AV28" i="2"/>
  <c r="AD28" i="2"/>
  <c r="AZ28" i="2" s="1"/>
  <c r="BM28" i="2" s="1"/>
  <c r="AC28" i="2"/>
  <c r="AH28" i="2" s="1"/>
  <c r="AJ28" i="2" s="1"/>
  <c r="AK28" i="2" s="1"/>
  <c r="AC31" i="2"/>
  <c r="AH31" i="2" s="1"/>
  <c r="AJ31" i="2" s="1"/>
  <c r="AK31" i="2" s="1"/>
  <c r="CB31" i="2"/>
  <c r="AW31" i="2"/>
  <c r="AV31" i="2"/>
  <c r="AD31" i="2"/>
  <c r="AZ31" i="2" s="1"/>
  <c r="BM31" i="2" s="1"/>
  <c r="AW84" i="2"/>
  <c r="AV84" i="2"/>
  <c r="AD84" i="2"/>
  <c r="AZ84" i="2" s="1"/>
  <c r="BM84" i="2" s="1"/>
  <c r="CB84" i="2"/>
  <c r="AC84" i="2"/>
  <c r="AH84" i="2" s="1"/>
  <c r="AJ84" i="2" s="1"/>
  <c r="AK84" i="2" s="1"/>
  <c r="AV46" i="2"/>
  <c r="CB46" i="2"/>
  <c r="AD46" i="2"/>
  <c r="AZ46" i="2" s="1"/>
  <c r="BM46" i="2" s="1"/>
  <c r="AW46" i="2"/>
  <c r="AC46" i="2"/>
  <c r="AH46" i="2" s="1"/>
  <c r="AJ46" i="2" s="1"/>
  <c r="AK46" i="2" s="1"/>
  <c r="AJ49" i="2"/>
  <c r="CA44" i="2"/>
  <c r="BM44" i="2"/>
  <c r="B95" i="2"/>
  <c r="CB35" i="2"/>
  <c r="AW35" i="2"/>
  <c r="AV35" i="2"/>
  <c r="AI35" i="2"/>
  <c r="AD35" i="2"/>
  <c r="AZ35" i="2" s="1"/>
  <c r="AC35" i="2"/>
  <c r="AK35" i="2"/>
  <c r="CB75" i="2"/>
  <c r="AD75" i="2"/>
  <c r="AZ75" i="2" s="1"/>
  <c r="BM75" i="2" s="1"/>
  <c r="AC75" i="2"/>
  <c r="AH75" i="2" s="1"/>
  <c r="AV75" i="2"/>
  <c r="AK75" i="2"/>
  <c r="AW75" i="2"/>
  <c r="AJ35" i="2"/>
  <c r="AJ74" i="2"/>
  <c r="AJ75" i="2"/>
  <c r="AD59" i="2"/>
  <c r="AZ59" i="2" s="1"/>
  <c r="BM59" i="2" s="1"/>
  <c r="AC59" i="2"/>
  <c r="AH59" i="2" s="1"/>
  <c r="AJ59" i="2" s="1"/>
  <c r="AK59" i="2" s="1"/>
  <c r="AW59" i="2"/>
  <c r="AV59" i="2"/>
  <c r="CB59" i="2"/>
  <c r="AC47" i="2"/>
  <c r="AH47" i="2" s="1"/>
  <c r="AJ47" i="2" s="1"/>
  <c r="AK47" i="2" s="1"/>
  <c r="AW47" i="2"/>
  <c r="AV47" i="2"/>
  <c r="AD47" i="2"/>
  <c r="AZ47" i="2" s="1"/>
  <c r="BM47" i="2" s="1"/>
  <c r="CB47" i="2"/>
  <c r="CB86" i="2"/>
  <c r="AD86" i="2"/>
  <c r="AZ86" i="2" s="1"/>
  <c r="CA86" i="2" s="1"/>
  <c r="AC86" i="2"/>
  <c r="AW86" i="2"/>
  <c r="AI86" i="2"/>
  <c r="AV86" i="2"/>
  <c r="AK86" i="2"/>
  <c r="AX62" i="2"/>
  <c r="CB50" i="2"/>
  <c r="AC50" i="2"/>
  <c r="AH50" i="2" s="1"/>
  <c r="AJ50" i="2" s="1"/>
  <c r="AK50" i="2" s="1"/>
  <c r="AW50" i="2"/>
  <c r="AV50" i="2"/>
  <c r="AD50" i="2"/>
  <c r="AZ50" i="2" s="1"/>
  <c r="BM50" i="2" s="1"/>
  <c r="AW26" i="2"/>
  <c r="AV26" i="2"/>
  <c r="AX26" i="2" s="1"/>
  <c r="AD26" i="2"/>
  <c r="AZ26" i="2" s="1"/>
  <c r="BM26" i="2" s="1"/>
  <c r="AC26" i="2"/>
  <c r="AH26" i="2" s="1"/>
  <c r="AJ26" i="2" s="1"/>
  <c r="AK26" i="2" s="1"/>
  <c r="CB26" i="2"/>
  <c r="CB74" i="2"/>
  <c r="AK74" i="2"/>
  <c r="AW74" i="2"/>
  <c r="AC74" i="2"/>
  <c r="AV74" i="2"/>
  <c r="AD74" i="2"/>
  <c r="AZ74" i="2" s="1"/>
  <c r="BM74" i="2" s="1"/>
  <c r="AI74" i="2"/>
  <c r="AC30" i="2"/>
  <c r="AH30" i="2" s="1"/>
  <c r="AJ30" i="2" s="1"/>
  <c r="AK30" i="2" s="1"/>
  <c r="AV30" i="2"/>
  <c r="CB30" i="2"/>
  <c r="AW30" i="2"/>
  <c r="AD30" i="2"/>
  <c r="AZ30" i="2" s="1"/>
  <c r="CA30" i="2" s="1"/>
  <c r="CB69" i="2"/>
  <c r="AD69" i="2"/>
  <c r="AZ69" i="2" s="1"/>
  <c r="BM69" i="2" s="1"/>
  <c r="AC69" i="2"/>
  <c r="AW69" i="2"/>
  <c r="AI69" i="2"/>
  <c r="AV69" i="2"/>
  <c r="AK69" i="2"/>
  <c r="CB68" i="2"/>
  <c r="AW68" i="2"/>
  <c r="AC68" i="2"/>
  <c r="AH68" i="2" s="1"/>
  <c r="AJ68" i="2" s="1"/>
  <c r="AK68" i="2" s="1"/>
  <c r="AV68" i="2"/>
  <c r="AD68" i="2"/>
  <c r="AZ68" i="2" s="1"/>
  <c r="BM68" i="2" s="1"/>
  <c r="BA77" i="2" l="1"/>
  <c r="BU77" i="2" s="1"/>
  <c r="BX77" i="2" s="1"/>
  <c r="BY77" i="2" s="1"/>
  <c r="AX77" i="2"/>
  <c r="BA70" i="2"/>
  <c r="BM37" i="2"/>
  <c r="CA37" i="2"/>
  <c r="AX37" i="2"/>
  <c r="BM62" i="2"/>
  <c r="CA62" i="2"/>
  <c r="AS89" i="2"/>
  <c r="BL89" i="2"/>
  <c r="AX79" i="2"/>
  <c r="AX40" i="2"/>
  <c r="AT89" i="2"/>
  <c r="K89" i="2"/>
  <c r="BD89" i="2"/>
  <c r="BE89" i="2"/>
  <c r="M89" i="2"/>
  <c r="D89" i="2"/>
  <c r="F89" i="2"/>
  <c r="AN89" i="2"/>
  <c r="R89" i="2"/>
  <c r="AQ89" i="2"/>
  <c r="AZ79" i="2"/>
  <c r="BN79" i="2" s="1"/>
  <c r="AI79" i="2"/>
  <c r="BA79" i="2" s="1"/>
  <c r="BU79" i="2" s="1"/>
  <c r="BX79" i="2" s="1"/>
  <c r="BY79" i="2" s="1"/>
  <c r="AJ87" i="2"/>
  <c r="AI87" i="2"/>
  <c r="BA87" i="2" s="1"/>
  <c r="AV87" i="2"/>
  <c r="AW87" i="2"/>
  <c r="CB87" i="2"/>
  <c r="BM79" i="2"/>
  <c r="CA79" i="2"/>
  <c r="CD88" i="2"/>
  <c r="AX72" i="2"/>
  <c r="AX76" i="2"/>
  <c r="BA65" i="2"/>
  <c r="BU65" i="2" s="1"/>
  <c r="BX65" i="2" s="1"/>
  <c r="BY65" i="2" s="1"/>
  <c r="AX64" i="2"/>
  <c r="A86" i="3"/>
  <c r="BH90" i="2"/>
  <c r="BD90" i="2"/>
  <c r="L89" i="2"/>
  <c r="BK89" i="2"/>
  <c r="AM90" i="2"/>
  <c r="CC89" i="2"/>
  <c r="V89" i="2"/>
  <c r="AB89" i="2"/>
  <c r="J90" i="2"/>
  <c r="BK90" i="2"/>
  <c r="N90" i="2"/>
  <c r="BC89" i="2"/>
  <c r="CG90" i="2"/>
  <c r="C90" i="2"/>
  <c r="BC90" i="2"/>
  <c r="C89" i="2"/>
  <c r="AY89" i="2" s="1"/>
  <c r="BT89" i="2"/>
  <c r="AO90" i="2"/>
  <c r="BG89" i="2"/>
  <c r="AS90" i="2"/>
  <c r="BF90" i="2"/>
  <c r="Q89" i="2"/>
  <c r="M90" i="2"/>
  <c r="BT90" i="2"/>
  <c r="J89" i="2"/>
  <c r="I89" i="2" s="1"/>
  <c r="CB89" i="2" s="1"/>
  <c r="F90" i="2"/>
  <c r="CH90" i="2"/>
  <c r="AR89" i="2"/>
  <c r="AN90" i="2"/>
  <c r="AP90" i="2" s="1"/>
  <c r="AA89" i="2"/>
  <c r="U90" i="2"/>
  <c r="N89" i="2"/>
  <c r="O89" i="2"/>
  <c r="L90" i="2"/>
  <c r="BL90" i="2"/>
  <c r="G89" i="2"/>
  <c r="BF89" i="2"/>
  <c r="AU90" i="2"/>
  <c r="AO89" i="2"/>
  <c r="AP89" i="2" s="1"/>
  <c r="K90" i="2"/>
  <c r="U89" i="2"/>
  <c r="CH89" i="2"/>
  <c r="AT90" i="2"/>
  <c r="AM89" i="2"/>
  <c r="BI89" i="2"/>
  <c r="E89" i="2"/>
  <c r="AU89" i="2"/>
  <c r="H89" i="2"/>
  <c r="BH89" i="2"/>
  <c r="S89" i="2"/>
  <c r="CG89" i="2"/>
  <c r="Y89" i="2"/>
  <c r="BO88" i="2"/>
  <c r="BP88" i="2"/>
  <c r="AZ43" i="2"/>
  <c r="AI43" i="2"/>
  <c r="BA43" i="2" s="1"/>
  <c r="AZ82" i="2"/>
  <c r="BM82" i="2" s="1"/>
  <c r="AI82" i="2"/>
  <c r="BA82" i="2" s="1"/>
  <c r="BU82" i="2" s="1"/>
  <c r="BX82" i="2" s="1"/>
  <c r="BY82" i="2" s="1"/>
  <c r="AZ80" i="2"/>
  <c r="AI80" i="2"/>
  <c r="BA80" i="2" s="1"/>
  <c r="BU80" i="2" s="1"/>
  <c r="BX80" i="2" s="1"/>
  <c r="BY80" i="2" s="1"/>
  <c r="BM77" i="2"/>
  <c r="CA77" i="2"/>
  <c r="BN77" i="2"/>
  <c r="BQ77" i="2" s="1"/>
  <c r="BR77" i="2" s="1"/>
  <c r="AZ25" i="2"/>
  <c r="AI25" i="2"/>
  <c r="BA25" i="2" s="1"/>
  <c r="BU25" i="2" s="1"/>
  <c r="BX25" i="2" s="1"/>
  <c r="BY25" i="2" s="1"/>
  <c r="BM19" i="2"/>
  <c r="BN19" i="2"/>
  <c r="CA19" i="2"/>
  <c r="AX65" i="2"/>
  <c r="BA56" i="2"/>
  <c r="BU56" i="2" s="1"/>
  <c r="BX56" i="2" s="1"/>
  <c r="BY56" i="2" s="1"/>
  <c r="AX56" i="2"/>
  <c r="BA33" i="2"/>
  <c r="BU33" i="2" s="1"/>
  <c r="BX33" i="2" s="1"/>
  <c r="BY33" i="2" s="1"/>
  <c r="AD87" i="2"/>
  <c r="AZ87" i="2" s="1"/>
  <c r="CA87" i="2" s="1"/>
  <c r="BM65" i="2"/>
  <c r="BN65" i="2"/>
  <c r="BQ65" i="2" s="1"/>
  <c r="BR65" i="2" s="1"/>
  <c r="CA65" i="2"/>
  <c r="AZ38" i="2"/>
  <c r="BN38" i="2" s="1"/>
  <c r="AI38" i="2"/>
  <c r="BA38" i="2" s="1"/>
  <c r="BU38" i="2" s="1"/>
  <c r="BX38" i="2" s="1"/>
  <c r="BY38" i="2" s="1"/>
  <c r="AZ72" i="2"/>
  <c r="AI72" i="2"/>
  <c r="BA72" i="2" s="1"/>
  <c r="BM66" i="2"/>
  <c r="BN66" i="2"/>
  <c r="AC88" i="2"/>
  <c r="AH88" i="2" s="1"/>
  <c r="AJ88" i="2" s="1"/>
  <c r="AK88" i="2" s="1"/>
  <c r="AD88" i="2"/>
  <c r="CB88" i="2"/>
  <c r="AV88" i="2"/>
  <c r="AX88" i="2" s="1"/>
  <c r="BM40" i="2"/>
  <c r="CA40" i="2"/>
  <c r="AZ36" i="2"/>
  <c r="AI36" i="2"/>
  <c r="BA36" i="2" s="1"/>
  <c r="BU36" i="2" s="1"/>
  <c r="BX36" i="2" s="1"/>
  <c r="BY36" i="2" s="1"/>
  <c r="AZ22" i="2"/>
  <c r="AI22" i="2"/>
  <c r="BA22" i="2" s="1"/>
  <c r="BU22" i="2" s="1"/>
  <c r="BX22" i="2" s="1"/>
  <c r="BY22" i="2" s="1"/>
  <c r="BN42" i="2"/>
  <c r="BQ42" i="2" s="1"/>
  <c r="BR42" i="2" s="1"/>
  <c r="BM42" i="2"/>
  <c r="BM71" i="2"/>
  <c r="BN71" i="2"/>
  <c r="BM70" i="2"/>
  <c r="BN70" i="2"/>
  <c r="BQ70" i="2" s="1"/>
  <c r="BR70" i="2" s="1"/>
  <c r="BM60" i="2"/>
  <c r="CA60" i="2"/>
  <c r="BU70" i="2"/>
  <c r="BX70" i="2" s="1"/>
  <c r="BY70" i="2" s="1"/>
  <c r="BN24" i="2"/>
  <c r="BQ24" i="2" s="1"/>
  <c r="BR24" i="2" s="1"/>
  <c r="AI71" i="2"/>
  <c r="BA71" i="2" s="1"/>
  <c r="BU71" i="2" s="1"/>
  <c r="BX71" i="2" s="1"/>
  <c r="BY71" i="2" s="1"/>
  <c r="BA37" i="2"/>
  <c r="BU37" i="2" s="1"/>
  <c r="BX37" i="2" s="1"/>
  <c r="BY37" i="2" s="1"/>
  <c r="BN55" i="2"/>
  <c r="BQ55" i="2" s="1"/>
  <c r="BR55" i="2" s="1"/>
  <c r="BM55" i="2"/>
  <c r="AX33" i="2"/>
  <c r="CA42" i="2"/>
  <c r="BA60" i="2"/>
  <c r="BU60" i="2" s="1"/>
  <c r="BX60" i="2" s="1"/>
  <c r="BY60" i="2" s="1"/>
  <c r="AI40" i="2"/>
  <c r="BA40" i="2" s="1"/>
  <c r="BU40" i="2" s="1"/>
  <c r="BX40" i="2" s="1"/>
  <c r="BY40" i="2" s="1"/>
  <c r="AI19" i="2"/>
  <c r="BA19" i="2" s="1"/>
  <c r="BU19" i="2" s="1"/>
  <c r="BV19" i="2" s="1"/>
  <c r="AX42" i="2"/>
  <c r="BN40" i="2"/>
  <c r="BQ40" i="2" s="1"/>
  <c r="BR40" i="2" s="1"/>
  <c r="AI66" i="2"/>
  <c r="BA66" i="2" s="1"/>
  <c r="BU66" i="2" s="1"/>
  <c r="BX66" i="2" s="1"/>
  <c r="BY66" i="2" s="1"/>
  <c r="BN29" i="2"/>
  <c r="BQ29" i="2" s="1"/>
  <c r="BR29" i="2" s="1"/>
  <c r="AI42" i="2"/>
  <c r="BA42" i="2" s="1"/>
  <c r="BU42" i="2" s="1"/>
  <c r="BX42" i="2" s="1"/>
  <c r="BY42" i="2" s="1"/>
  <c r="AI78" i="2"/>
  <c r="BA78" i="2" s="1"/>
  <c r="BU78" i="2" s="1"/>
  <c r="BX78" i="2" s="1"/>
  <c r="BY78" i="2" s="1"/>
  <c r="AI45" i="2"/>
  <c r="BA45" i="2" s="1"/>
  <c r="BU45" i="2" s="1"/>
  <c r="BX45" i="2" s="1"/>
  <c r="BY45" i="2" s="1"/>
  <c r="AX44" i="2"/>
  <c r="BN45" i="2"/>
  <c r="BQ45" i="2" s="1"/>
  <c r="BR45" i="2" s="1"/>
  <c r="BA58" i="2"/>
  <c r="BU58" i="2" s="1"/>
  <c r="BX58" i="2" s="1"/>
  <c r="BY58" i="2" s="1"/>
  <c r="CA45" i="2"/>
  <c r="CA70" i="2"/>
  <c r="BA57" i="2"/>
  <c r="BU57" i="2" s="1"/>
  <c r="BX57" i="2" s="1"/>
  <c r="BY57" i="2" s="1"/>
  <c r="BA85" i="2"/>
  <c r="BU85" i="2" s="1"/>
  <c r="BX85" i="2" s="1"/>
  <c r="BY85" i="2" s="1"/>
  <c r="BM64" i="2"/>
  <c r="BN64" i="2"/>
  <c r="BQ64" i="2" s="1"/>
  <c r="BR64" i="2" s="1"/>
  <c r="AI64" i="2"/>
  <c r="BA64" i="2" s="1"/>
  <c r="BU64" i="2" s="1"/>
  <c r="BX64" i="2" s="1"/>
  <c r="BY64" i="2" s="1"/>
  <c r="CA48" i="2"/>
  <c r="BM81" i="2"/>
  <c r="AI29" i="2"/>
  <c r="BA29" i="2" s="1"/>
  <c r="BU29" i="2" s="1"/>
  <c r="BX29" i="2" s="1"/>
  <c r="BY29" i="2" s="1"/>
  <c r="BN60" i="2"/>
  <c r="BQ60" i="2" s="1"/>
  <c r="BR60" i="2" s="1"/>
  <c r="AX58" i="2"/>
  <c r="BM58" i="2"/>
  <c r="CA58" i="2"/>
  <c r="BA54" i="2"/>
  <c r="BU54" i="2" s="1"/>
  <c r="BX54" i="2" s="1"/>
  <c r="BY54" i="2" s="1"/>
  <c r="AX54" i="2"/>
  <c r="AX36" i="2"/>
  <c r="AX71" i="2"/>
  <c r="AX55" i="2"/>
  <c r="AX82" i="2"/>
  <c r="AX83" i="2"/>
  <c r="AX60" i="2"/>
  <c r="CA54" i="2"/>
  <c r="AX85" i="2"/>
  <c r="CA49" i="2"/>
  <c r="AX48" i="2"/>
  <c r="BA44" i="2"/>
  <c r="BU44" i="2" s="1"/>
  <c r="BX44" i="2" s="1"/>
  <c r="BY44" i="2" s="1"/>
  <c r="CA71" i="2"/>
  <c r="AZ63" i="2"/>
  <c r="AI63" i="2"/>
  <c r="BA63" i="2" s="1"/>
  <c r="AI23" i="2"/>
  <c r="BA23" i="2" s="1"/>
  <c r="BU23" i="2" s="1"/>
  <c r="BV23" i="2" s="1"/>
  <c r="AI55" i="2"/>
  <c r="BA55" i="2" s="1"/>
  <c r="BU55" i="2" s="1"/>
  <c r="BX55" i="2" s="1"/>
  <c r="BY55" i="2" s="1"/>
  <c r="BQ44" i="2"/>
  <c r="BR44" i="2" s="1"/>
  <c r="BO58" i="2"/>
  <c r="BN21" i="2"/>
  <c r="BN48" i="2"/>
  <c r="BO48" i="2" s="1"/>
  <c r="AI48" i="2"/>
  <c r="BA48" i="2" s="1"/>
  <c r="BU48" i="2" s="1"/>
  <c r="BV48" i="2" s="1"/>
  <c r="AI21" i="2"/>
  <c r="BA21" i="2" s="1"/>
  <c r="BU21" i="2" s="1"/>
  <c r="BX21" i="2" s="1"/>
  <c r="BY21" i="2" s="1"/>
  <c r="CA78" i="2"/>
  <c r="CA41" i="2"/>
  <c r="BN78" i="2"/>
  <c r="BQ78" i="2" s="1"/>
  <c r="BR78" i="2" s="1"/>
  <c r="BM21" i="2"/>
  <c r="BN41" i="2"/>
  <c r="BQ41" i="2" s="1"/>
  <c r="BR41" i="2" s="1"/>
  <c r="BA76" i="2"/>
  <c r="BU76" i="2" s="1"/>
  <c r="BX76" i="2" s="1"/>
  <c r="BY76" i="2" s="1"/>
  <c r="AX81" i="2"/>
  <c r="BV89" i="2"/>
  <c r="AI41" i="2"/>
  <c r="BA41" i="2" s="1"/>
  <c r="BU41" i="2" s="1"/>
  <c r="BX41" i="2" s="1"/>
  <c r="BY41" i="2" s="1"/>
  <c r="AI24" i="2"/>
  <c r="BA24" i="2" s="1"/>
  <c r="BU24" i="2" s="1"/>
  <c r="BX24" i="2" s="1"/>
  <c r="BY24" i="2" s="1"/>
  <c r="CA83" i="2"/>
  <c r="CA24" i="2"/>
  <c r="AX41" i="2"/>
  <c r="BA52" i="2"/>
  <c r="BU52" i="2" s="1"/>
  <c r="BX52" i="2" s="1"/>
  <c r="BY52" i="2" s="1"/>
  <c r="BN27" i="2"/>
  <c r="BO27" i="2" s="1"/>
  <c r="BM56" i="2"/>
  <c r="BA83" i="2"/>
  <c r="BU83" i="2" s="1"/>
  <c r="BX83" i="2" s="1"/>
  <c r="BY83" i="2" s="1"/>
  <c r="CA52" i="2"/>
  <c r="BN83" i="2"/>
  <c r="BQ83" i="2" s="1"/>
  <c r="BR83" i="2" s="1"/>
  <c r="CA29" i="2"/>
  <c r="CA31" i="2"/>
  <c r="BN56" i="2"/>
  <c r="BO56" i="2" s="1"/>
  <c r="BQ85" i="2"/>
  <c r="BR85" i="2" s="1"/>
  <c r="CA47" i="2"/>
  <c r="AI75" i="2"/>
  <c r="BA75" i="2" s="1"/>
  <c r="BU75" i="2" s="1"/>
  <c r="CA53" i="2"/>
  <c r="BN54" i="2"/>
  <c r="BQ54" i="2" s="1"/>
  <c r="BR54" i="2" s="1"/>
  <c r="AI47" i="2"/>
  <c r="BA47" i="2" s="1"/>
  <c r="BU47" i="2" s="1"/>
  <c r="BX47" i="2" s="1"/>
  <c r="BY47" i="2" s="1"/>
  <c r="AI81" i="2"/>
  <c r="BA81" i="2" s="1"/>
  <c r="BU81" i="2" s="1"/>
  <c r="BX81" i="2" s="1"/>
  <c r="BY81" i="2" s="1"/>
  <c r="CA81" i="2"/>
  <c r="BA53" i="2"/>
  <c r="BU53" i="2" s="1"/>
  <c r="BX53" i="2" s="1"/>
  <c r="BY53" i="2" s="1"/>
  <c r="BA51" i="2"/>
  <c r="BU51" i="2" s="1"/>
  <c r="BX51" i="2" s="1"/>
  <c r="BY51" i="2" s="1"/>
  <c r="BN50" i="2"/>
  <c r="BQ50" i="2" s="1"/>
  <c r="BR50" i="2" s="1"/>
  <c r="BN53" i="2"/>
  <c r="BQ53" i="2" s="1"/>
  <c r="BR53" i="2" s="1"/>
  <c r="CA27" i="2"/>
  <c r="CA50" i="2"/>
  <c r="AX46" i="2"/>
  <c r="AI50" i="2"/>
  <c r="BA50" i="2" s="1"/>
  <c r="BU50" i="2" s="1"/>
  <c r="BX50" i="2" s="1"/>
  <c r="BY50" i="2" s="1"/>
  <c r="BN46" i="2"/>
  <c r="BQ46" i="2" s="1"/>
  <c r="BR46" i="2" s="1"/>
  <c r="AI31" i="2"/>
  <c r="BA31" i="2" s="1"/>
  <c r="BU31" i="2" s="1"/>
  <c r="BX31" i="2" s="1"/>
  <c r="BY31" i="2" s="1"/>
  <c r="AX73" i="2"/>
  <c r="AX61" i="2"/>
  <c r="AI27" i="2"/>
  <c r="BA27" i="2" s="1"/>
  <c r="BU27" i="2" s="1"/>
  <c r="BX27" i="2" s="1"/>
  <c r="BY27" i="2" s="1"/>
  <c r="AX74" i="2"/>
  <c r="BA86" i="2"/>
  <c r="BU86" i="2" s="1"/>
  <c r="BX86" i="2" s="1"/>
  <c r="BY86" i="2" s="1"/>
  <c r="BM23" i="2"/>
  <c r="BN23" i="2"/>
  <c r="CA23" i="2"/>
  <c r="AI30" i="2"/>
  <c r="BA30" i="2" s="1"/>
  <c r="BU30" i="2" s="1"/>
  <c r="BX30" i="2" s="1"/>
  <c r="BY30" i="2" s="1"/>
  <c r="CA20" i="2"/>
  <c r="AX31" i="2"/>
  <c r="CA28" i="2"/>
  <c r="BN61" i="2"/>
  <c r="BQ61" i="2" s="1"/>
  <c r="BR61" i="2" s="1"/>
  <c r="AX59" i="2"/>
  <c r="AX28" i="2"/>
  <c r="CA84" i="2"/>
  <c r="BN31" i="2"/>
  <c r="BQ31" i="2" s="1"/>
  <c r="BR31" i="2" s="1"/>
  <c r="AI28" i="2"/>
  <c r="BA28" i="2" s="1"/>
  <c r="BU28" i="2" s="1"/>
  <c r="BX28" i="2" s="1"/>
  <c r="BY28" i="2" s="1"/>
  <c r="AZ39" i="2"/>
  <c r="AI39" i="2"/>
  <c r="BA39" i="2" s="1"/>
  <c r="AI84" i="2"/>
  <c r="BA84" i="2" s="1"/>
  <c r="BU84" i="2" s="1"/>
  <c r="BX84" i="2" s="1"/>
  <c r="BY84" i="2" s="1"/>
  <c r="AZ67" i="2"/>
  <c r="AI67" i="2"/>
  <c r="BA67" i="2" s="1"/>
  <c r="AI68" i="2"/>
  <c r="BA68" i="2" s="1"/>
  <c r="BU68" i="2" s="1"/>
  <c r="BX68" i="2" s="1"/>
  <c r="BY68" i="2" s="1"/>
  <c r="AI73" i="2"/>
  <c r="BA73" i="2" s="1"/>
  <c r="BU73" i="2" s="1"/>
  <c r="BX73" i="2" s="1"/>
  <c r="BY73" i="2" s="1"/>
  <c r="CA26" i="2"/>
  <c r="BM33" i="2"/>
  <c r="CA33" i="2"/>
  <c r="BN33" i="2"/>
  <c r="BQ33" i="2" s="1"/>
  <c r="BR33" i="2" s="1"/>
  <c r="AX47" i="2"/>
  <c r="CA32" i="2"/>
  <c r="BN84" i="2"/>
  <c r="BQ84" i="2" s="1"/>
  <c r="BR84" i="2" s="1"/>
  <c r="CA68" i="2"/>
  <c r="AI34" i="2"/>
  <c r="BA34" i="2" s="1"/>
  <c r="BU34" i="2" s="1"/>
  <c r="BX34" i="2" s="1"/>
  <c r="BY34" i="2" s="1"/>
  <c r="AX57" i="2"/>
  <c r="BM30" i="2"/>
  <c r="BN30" i="2"/>
  <c r="BQ30" i="2" s="1"/>
  <c r="BR30" i="2" s="1"/>
  <c r="BA74" i="2"/>
  <c r="BU74" i="2" s="1"/>
  <c r="BX74" i="2" s="1"/>
  <c r="BY74" i="2" s="1"/>
  <c r="BN75" i="2"/>
  <c r="BM86" i="2"/>
  <c r="BN86" i="2"/>
  <c r="BQ86" i="2" s="1"/>
  <c r="BR86" i="2" s="1"/>
  <c r="B96" i="2"/>
  <c r="AI46" i="2"/>
  <c r="BA46" i="2" s="1"/>
  <c r="BU46" i="2" s="1"/>
  <c r="BX46" i="2" s="1"/>
  <c r="BY46" i="2" s="1"/>
  <c r="AX84" i="2"/>
  <c r="AI49" i="2"/>
  <c r="BA49" i="2" s="1"/>
  <c r="BU49" i="2" s="1"/>
  <c r="BN51" i="2"/>
  <c r="BN32" i="2"/>
  <c r="BQ32" i="2" s="1"/>
  <c r="BR32" i="2" s="1"/>
  <c r="AX34" i="2"/>
  <c r="BN73" i="2"/>
  <c r="BQ73" i="2" s="1"/>
  <c r="BR73" i="2" s="1"/>
  <c r="BN68" i="2"/>
  <c r="BN69" i="2"/>
  <c r="BQ69" i="2" s="1"/>
  <c r="BR69" i="2" s="1"/>
  <c r="AX30" i="2"/>
  <c r="CA74" i="2"/>
  <c r="BN47" i="2"/>
  <c r="AX52" i="2"/>
  <c r="BN26" i="2"/>
  <c r="BQ26" i="2" s="1"/>
  <c r="BR26" i="2" s="1"/>
  <c r="CA69" i="2"/>
  <c r="AI26" i="2"/>
  <c r="BA26" i="2" s="1"/>
  <c r="BU26" i="2" s="1"/>
  <c r="BX26" i="2" s="1"/>
  <c r="BY26" i="2" s="1"/>
  <c r="AX75" i="2"/>
  <c r="CA46" i="2"/>
  <c r="AX49" i="2"/>
  <c r="BN74" i="2"/>
  <c r="BQ74" i="2" s="1"/>
  <c r="BR74" i="2" s="1"/>
  <c r="BN20" i="2"/>
  <c r="BM35" i="2"/>
  <c r="BN35" i="2"/>
  <c r="BQ35" i="2" s="1"/>
  <c r="BR35" i="2" s="1"/>
  <c r="AX86" i="2"/>
  <c r="BN59" i="2"/>
  <c r="AX53" i="2"/>
  <c r="AX32" i="2"/>
  <c r="BM57" i="2"/>
  <c r="CA57" i="2"/>
  <c r="BN57" i="2"/>
  <c r="CA61" i="2"/>
  <c r="BN52" i="2"/>
  <c r="CA51" i="2"/>
  <c r="AI32" i="2"/>
  <c r="BA32" i="2" s="1"/>
  <c r="BU32" i="2" s="1"/>
  <c r="BX32" i="2" s="1"/>
  <c r="BY32" i="2" s="1"/>
  <c r="CA73" i="2"/>
  <c r="BN28" i="2"/>
  <c r="BQ28" i="2" s="1"/>
  <c r="BR28" i="2" s="1"/>
  <c r="BA35" i="2"/>
  <c r="BU35" i="2" s="1"/>
  <c r="BX35" i="2" s="1"/>
  <c r="BY35" i="2" s="1"/>
  <c r="AX69" i="2"/>
  <c r="CA59" i="2"/>
  <c r="AI59" i="2"/>
  <c r="BA59" i="2" s="1"/>
  <c r="BU59" i="2" s="1"/>
  <c r="BX59" i="2" s="1"/>
  <c r="BY59" i="2" s="1"/>
  <c r="AX35" i="2"/>
  <c r="AX68" i="2"/>
  <c r="BA69" i="2"/>
  <c r="BU69" i="2" s="1"/>
  <c r="BX69" i="2" s="1"/>
  <c r="BY69" i="2" s="1"/>
  <c r="AX50" i="2"/>
  <c r="CA75" i="2"/>
  <c r="CA35" i="2"/>
  <c r="AI20" i="2"/>
  <c r="BA20" i="2" s="1"/>
  <c r="BU20" i="2" s="1"/>
  <c r="BX20" i="2" s="1"/>
  <c r="BY20" i="2" s="1"/>
  <c r="AX51" i="2"/>
  <c r="BM34" i="2"/>
  <c r="BN34" i="2"/>
  <c r="BQ34" i="2" s="1"/>
  <c r="BR34" i="2" s="1"/>
  <c r="AI61" i="2"/>
  <c r="BA61" i="2" s="1"/>
  <c r="BU61" i="2" s="1"/>
  <c r="BX61" i="2" s="1"/>
  <c r="BY61" i="2" s="1"/>
  <c r="BN49" i="2"/>
  <c r="AX87" i="2" l="1"/>
  <c r="BW89" i="2"/>
  <c r="BU43" i="2"/>
  <c r="BX43" i="2" s="1"/>
  <c r="BY43" i="2" s="1"/>
  <c r="BO79" i="2"/>
  <c r="BQ79" i="2"/>
  <c r="BR79" i="2" s="1"/>
  <c r="BU72" i="2"/>
  <c r="AA90" i="2"/>
  <c r="AB90" i="2"/>
  <c r="AY90" i="2" s="1"/>
  <c r="Q90" i="2"/>
  <c r="H90" i="2"/>
  <c r="BG90" i="2"/>
  <c r="BI90" i="2"/>
  <c r="AR90" i="2"/>
  <c r="G90" i="2"/>
  <c r="Y90" i="2"/>
  <c r="A87" i="3"/>
  <c r="R90" i="2"/>
  <c r="O90" i="2"/>
  <c r="D90" i="2"/>
  <c r="I90" i="2" s="1"/>
  <c r="BE90" i="2"/>
  <c r="AQ90" i="2"/>
  <c r="S90" i="2"/>
  <c r="CC90" i="2"/>
  <c r="E90" i="2"/>
  <c r="V90" i="2"/>
  <c r="CF86" i="3"/>
  <c r="CA43" i="2"/>
  <c r="BN43" i="2"/>
  <c r="BQ43" i="2" s="1"/>
  <c r="BR43" i="2" s="1"/>
  <c r="BM43" i="2"/>
  <c r="CA82" i="2"/>
  <c r="BN82" i="2"/>
  <c r="CA25" i="2"/>
  <c r="BN25" i="2"/>
  <c r="BQ25" i="2" s="1"/>
  <c r="BR25" i="2" s="1"/>
  <c r="BM25" i="2"/>
  <c r="BU87" i="2"/>
  <c r="BX87" i="2" s="1"/>
  <c r="BY87" i="2" s="1"/>
  <c r="BW90" i="2"/>
  <c r="BV90" i="2"/>
  <c r="BO89" i="2"/>
  <c r="BP89" i="2"/>
  <c r="W89" i="2"/>
  <c r="CD89" i="2"/>
  <c r="BN80" i="2"/>
  <c r="BQ80" i="2" s="1"/>
  <c r="BR80" i="2" s="1"/>
  <c r="BM80" i="2"/>
  <c r="CA80" i="2"/>
  <c r="BO19" i="2"/>
  <c r="BQ19" i="2"/>
  <c r="BR19" i="2" s="1"/>
  <c r="BM87" i="2"/>
  <c r="BN87" i="2"/>
  <c r="BQ87" i="2" s="1"/>
  <c r="BR87" i="2" s="1"/>
  <c r="BQ38" i="2"/>
  <c r="BR38" i="2" s="1"/>
  <c r="BO38" i="2"/>
  <c r="CA38" i="2"/>
  <c r="BM38" i="2"/>
  <c r="BN72" i="2"/>
  <c r="CA72" i="2"/>
  <c r="BM72" i="2"/>
  <c r="CA36" i="2"/>
  <c r="BN36" i="2"/>
  <c r="BQ36" i="2" s="1"/>
  <c r="BR36" i="2" s="1"/>
  <c r="BM36" i="2"/>
  <c r="CA22" i="2"/>
  <c r="BM22" i="2"/>
  <c r="BN22" i="2"/>
  <c r="BQ66" i="2"/>
  <c r="BR66" i="2" s="1"/>
  <c r="BO66" i="2"/>
  <c r="AI88" i="2"/>
  <c r="BA88" i="2" s="1"/>
  <c r="AZ88" i="2"/>
  <c r="BQ71" i="2"/>
  <c r="BR71" i="2" s="1"/>
  <c r="BO71" i="2"/>
  <c r="AW89" i="2"/>
  <c r="AD89" i="2"/>
  <c r="AC89" i="2"/>
  <c r="AH89" i="2" s="1"/>
  <c r="AJ89" i="2" s="1"/>
  <c r="AK89" i="2" s="1"/>
  <c r="AV89" i="2"/>
  <c r="BX19" i="2"/>
  <c r="BY19" i="2" s="1"/>
  <c r="BX23" i="2"/>
  <c r="BY23" i="2" s="1"/>
  <c r="BO64" i="2"/>
  <c r="BO50" i="2"/>
  <c r="BU63" i="2"/>
  <c r="BX63" i="2" s="1"/>
  <c r="BY63" i="2" s="1"/>
  <c r="CA63" i="2"/>
  <c r="BM63" i="2"/>
  <c r="BN63" i="2"/>
  <c r="BQ63" i="2" s="1"/>
  <c r="BR63" i="2" s="1"/>
  <c r="BX48" i="2"/>
  <c r="BY48" i="2" s="1"/>
  <c r="BQ48" i="2"/>
  <c r="BR48" i="2" s="1"/>
  <c r="BQ27" i="2"/>
  <c r="BR27" i="2" s="1"/>
  <c r="BQ21" i="2"/>
  <c r="BR21" i="2" s="1"/>
  <c r="BO21" i="2"/>
  <c r="BQ56" i="2"/>
  <c r="BR56" i="2" s="1"/>
  <c r="BU39" i="2"/>
  <c r="BX39" i="2" s="1"/>
  <c r="BY39" i="2" s="1"/>
  <c r="BO61" i="2"/>
  <c r="BQ23" i="2"/>
  <c r="BR23" i="2" s="1"/>
  <c r="BO23" i="2"/>
  <c r="BU67" i="2"/>
  <c r="BX67" i="2" s="1"/>
  <c r="BY67" i="2" s="1"/>
  <c r="CA67" i="2"/>
  <c r="BM67" i="2"/>
  <c r="BN67" i="2"/>
  <c r="CA39" i="2"/>
  <c r="BM39" i="2"/>
  <c r="BN39" i="2"/>
  <c r="BQ39" i="2" s="1"/>
  <c r="BR39" i="2" s="1"/>
  <c r="BO31" i="2"/>
  <c r="BV49" i="2"/>
  <c r="BX49" i="2"/>
  <c r="BY49" i="2" s="1"/>
  <c r="BQ68" i="2"/>
  <c r="BR68" i="2" s="1"/>
  <c r="BO68" i="2"/>
  <c r="BO75" i="2"/>
  <c r="BQ75" i="2"/>
  <c r="BR75" i="2" s="1"/>
  <c r="BQ51" i="2"/>
  <c r="BR51" i="2" s="1"/>
  <c r="BQ20" i="2"/>
  <c r="BR20" i="2" s="1"/>
  <c r="BO20" i="2"/>
  <c r="BQ52" i="2"/>
  <c r="BR52" i="2" s="1"/>
  <c r="BQ59" i="2"/>
  <c r="BR59" i="2" s="1"/>
  <c r="BO59" i="2"/>
  <c r="B97" i="2"/>
  <c r="BO49" i="2"/>
  <c r="BQ49" i="2"/>
  <c r="BR49" i="2" s="1"/>
  <c r="BO47" i="2"/>
  <c r="BQ47" i="2"/>
  <c r="BR47" i="2" s="1"/>
  <c r="BX75" i="2"/>
  <c r="BY75" i="2" s="1"/>
  <c r="BV75" i="2"/>
  <c r="BQ57" i="2"/>
  <c r="BR57" i="2" s="1"/>
  <c r="BO57" i="2"/>
  <c r="BV72" i="2" l="1"/>
  <c r="BX72" i="2"/>
  <c r="BY72" i="2" s="1"/>
  <c r="AX89" i="2"/>
  <c r="BO90" i="2"/>
  <c r="BP90" i="2"/>
  <c r="A88" i="3"/>
  <c r="J92" i="2" s="1"/>
  <c r="CF87" i="3"/>
  <c r="BL91" i="2"/>
  <c r="R91" i="2"/>
  <c r="BI91" i="2"/>
  <c r="C91" i="2"/>
  <c r="AM91" i="2"/>
  <c r="BH91" i="2"/>
  <c r="K91" i="2"/>
  <c r="AR91" i="2"/>
  <c r="E91" i="2"/>
  <c r="G91" i="2"/>
  <c r="F91" i="2"/>
  <c r="D91" i="2"/>
  <c r="O91" i="2"/>
  <c r="BD91" i="2"/>
  <c r="J91" i="2"/>
  <c r="Y91" i="2"/>
  <c r="CH91" i="2"/>
  <c r="CG91" i="2"/>
  <c r="AQ91" i="2"/>
  <c r="AA91" i="2"/>
  <c r="H91" i="2"/>
  <c r="BG91" i="2"/>
  <c r="N91" i="2"/>
  <c r="M91" i="2"/>
  <c r="AU91" i="2"/>
  <c r="AS91" i="2"/>
  <c r="BV91" i="2" s="1"/>
  <c r="AB91" i="2"/>
  <c r="AN91" i="2"/>
  <c r="BF91" i="2"/>
  <c r="U91" i="2"/>
  <c r="L91" i="2"/>
  <c r="V91" i="2"/>
  <c r="BT91" i="2"/>
  <c r="AO91" i="2"/>
  <c r="Q91" i="2"/>
  <c r="BC91" i="2"/>
  <c r="BK91" i="2"/>
  <c r="BE91" i="2"/>
  <c r="CC91" i="2"/>
  <c r="S91" i="2"/>
  <c r="AT91" i="2"/>
  <c r="W90" i="2"/>
  <c r="CD90" i="2"/>
  <c r="AC90" i="2"/>
  <c r="AH90" i="2" s="1"/>
  <c r="AJ90" i="2" s="1"/>
  <c r="AK90" i="2" s="1"/>
  <c r="AW90" i="2"/>
  <c r="CB90" i="2"/>
  <c r="AV90" i="2"/>
  <c r="AD90" i="2"/>
  <c r="O92" i="2"/>
  <c r="D92" i="2"/>
  <c r="U92" i="2"/>
  <c r="C92" i="2"/>
  <c r="S92" i="2"/>
  <c r="AU92" i="2"/>
  <c r="G92" i="2"/>
  <c r="AT92" i="2"/>
  <c r="BL92" i="2"/>
  <c r="AS92" i="2"/>
  <c r="BV92" i="2" s="1"/>
  <c r="K92" i="2"/>
  <c r="BK92" i="2"/>
  <c r="BG92" i="2"/>
  <c r="Y92" i="2"/>
  <c r="BO82" i="2"/>
  <c r="BQ82" i="2"/>
  <c r="BR82" i="2" s="1"/>
  <c r="BU88" i="2"/>
  <c r="BX88" i="2" s="1"/>
  <c r="BY88" i="2" s="1"/>
  <c r="BO22" i="2"/>
  <c r="BQ22" i="2"/>
  <c r="BR22" i="2" s="1"/>
  <c r="BO72" i="2"/>
  <c r="BQ72" i="2"/>
  <c r="BR72" i="2" s="1"/>
  <c r="BM88" i="2"/>
  <c r="BN88" i="2"/>
  <c r="BQ88" i="2" s="1"/>
  <c r="BR88" i="2" s="1"/>
  <c r="CA88" i="2"/>
  <c r="AZ89" i="2"/>
  <c r="BN89" i="2" s="1"/>
  <c r="BQ89" i="2" s="1"/>
  <c r="BR89" i="2" s="1"/>
  <c r="AI89" i="2"/>
  <c r="BA89" i="2" s="1"/>
  <c r="BQ67" i="2"/>
  <c r="BR67" i="2" s="1"/>
  <c r="BO67" i="2"/>
  <c r="B98" i="2"/>
  <c r="AP91" i="2" l="1"/>
  <c r="I91" i="2"/>
  <c r="CG92" i="2"/>
  <c r="A89" i="3"/>
  <c r="AR93" i="2" s="1"/>
  <c r="CF88" i="3"/>
  <c r="R92" i="2"/>
  <c r="H92" i="2"/>
  <c r="N92" i="2"/>
  <c r="CH92" i="2"/>
  <c r="L92" i="2"/>
  <c r="BH92" i="2"/>
  <c r="AO92" i="2"/>
  <c r="BE92" i="2"/>
  <c r="BF92" i="2"/>
  <c r="BD92" i="2"/>
  <c r="Q92" i="2"/>
  <c r="AN92" i="2"/>
  <c r="AB92" i="2"/>
  <c r="AY92" i="2" s="1"/>
  <c r="BI92" i="2"/>
  <c r="V92" i="2"/>
  <c r="W92" i="2" s="1"/>
  <c r="E92" i="2"/>
  <c r="M92" i="2"/>
  <c r="AR92" i="2"/>
  <c r="BC92" i="2"/>
  <c r="CC92" i="2"/>
  <c r="CD92" i="2" s="1"/>
  <c r="AQ92" i="2"/>
  <c r="AM92" i="2"/>
  <c r="AA92" i="2"/>
  <c r="AZ90" i="2"/>
  <c r="AI90" i="2"/>
  <c r="BA90" i="2" s="1"/>
  <c r="BO91" i="2"/>
  <c r="BP91" i="2"/>
  <c r="W91" i="2"/>
  <c r="CD91" i="2"/>
  <c r="AY91" i="2"/>
  <c r="BW91" i="2"/>
  <c r="BT92" i="2"/>
  <c r="F92" i="2"/>
  <c r="BU89" i="2"/>
  <c r="BX89" i="2" s="1"/>
  <c r="BY89" i="2" s="1"/>
  <c r="AX90" i="2"/>
  <c r="I92" i="2"/>
  <c r="BW92" i="2"/>
  <c r="CA89" i="2"/>
  <c r="BM89" i="2"/>
  <c r="B99" i="2"/>
  <c r="BE93" i="2" l="1"/>
  <c r="AM93" i="2"/>
  <c r="J93" i="2"/>
  <c r="CC93" i="2"/>
  <c r="V93" i="2"/>
  <c r="D93" i="2"/>
  <c r="I93" i="2" s="1"/>
  <c r="BI93" i="2"/>
  <c r="H93" i="2"/>
  <c r="U93" i="2"/>
  <c r="AC91" i="2"/>
  <c r="AH91" i="2" s="1"/>
  <c r="AJ91" i="2" s="1"/>
  <c r="AK91" i="2" s="1"/>
  <c r="AW91" i="2"/>
  <c r="AD91" i="2"/>
  <c r="CB91" i="2"/>
  <c r="AV91" i="2"/>
  <c r="K93" i="2"/>
  <c r="AQ93" i="2"/>
  <c r="L93" i="2"/>
  <c r="AS93" i="2"/>
  <c r="BV93" i="2" s="1"/>
  <c r="S93" i="2"/>
  <c r="BD93" i="2"/>
  <c r="CH93" i="2"/>
  <c r="BC93" i="2"/>
  <c r="AA93" i="2"/>
  <c r="BF93" i="2"/>
  <c r="AB93" i="2"/>
  <c r="BK93" i="2"/>
  <c r="BU90" i="2"/>
  <c r="BX90" i="2" s="1"/>
  <c r="BY90" i="2" s="1"/>
  <c r="AP92" i="2"/>
  <c r="C93" i="2"/>
  <c r="E93" i="2"/>
  <c r="CF89" i="3"/>
  <c r="A90" i="3"/>
  <c r="BL94" i="2" s="1"/>
  <c r="BG93" i="2"/>
  <c r="AT93" i="2"/>
  <c r="O93" i="2"/>
  <c r="R93" i="2"/>
  <c r="BH93" i="2"/>
  <c r="AU93" i="2"/>
  <c r="AN93" i="2"/>
  <c r="N93" i="2"/>
  <c r="F93" i="2"/>
  <c r="CA90" i="2"/>
  <c r="BN90" i="2"/>
  <c r="BQ90" i="2" s="1"/>
  <c r="BR90" i="2" s="1"/>
  <c r="BM90" i="2"/>
  <c r="BT93" i="2"/>
  <c r="Y93" i="2"/>
  <c r="CG93" i="2"/>
  <c r="G93" i="2"/>
  <c r="BL93" i="2"/>
  <c r="M93" i="2"/>
  <c r="AO93" i="2"/>
  <c r="Q93" i="2"/>
  <c r="BP92" i="2"/>
  <c r="BO92" i="2"/>
  <c r="AC92" i="2"/>
  <c r="AH92" i="2" s="1"/>
  <c r="AJ92" i="2" s="1"/>
  <c r="AK92" i="2" s="1"/>
  <c r="AW92" i="2"/>
  <c r="AV92" i="2"/>
  <c r="AD92" i="2"/>
  <c r="CB92" i="2"/>
  <c r="BO93" i="2"/>
  <c r="B100" i="2"/>
  <c r="AX91" i="2" l="1"/>
  <c r="AY93" i="2"/>
  <c r="AP93" i="2"/>
  <c r="AZ91" i="2"/>
  <c r="AI91" i="2"/>
  <c r="BA91" i="2" s="1"/>
  <c r="W93" i="2"/>
  <c r="CD93" i="2"/>
  <c r="BG94" i="2"/>
  <c r="BD94" i="2"/>
  <c r="K94" i="2"/>
  <c r="M94" i="2"/>
  <c r="BE94" i="2"/>
  <c r="AA94" i="2"/>
  <c r="V94" i="2"/>
  <c r="BT94" i="2"/>
  <c r="AB94" i="2"/>
  <c r="G94" i="2"/>
  <c r="Q94" i="2"/>
  <c r="D94" i="2"/>
  <c r="CH94" i="2"/>
  <c r="N94" i="2"/>
  <c r="J94" i="2"/>
  <c r="S94" i="2"/>
  <c r="BK94" i="2"/>
  <c r="L94" i="2"/>
  <c r="BC94" i="2"/>
  <c r="AR94" i="2"/>
  <c r="R94" i="2"/>
  <c r="BH94" i="2"/>
  <c r="F94" i="2"/>
  <c r="AS94" i="2"/>
  <c r="AO94" i="2"/>
  <c r="AM94" i="2"/>
  <c r="C94" i="2"/>
  <c r="AQ94" i="2"/>
  <c r="Y94" i="2"/>
  <c r="CF90" i="3"/>
  <c r="AN94" i="2"/>
  <c r="O94" i="2"/>
  <c r="E94" i="2"/>
  <c r="H94" i="2"/>
  <c r="A91" i="3"/>
  <c r="Q95" i="2" s="1"/>
  <c r="BI94" i="2"/>
  <c r="CC94" i="2"/>
  <c r="AT94" i="2"/>
  <c r="U94" i="2"/>
  <c r="BF94" i="2"/>
  <c r="CG94" i="2"/>
  <c r="AU94" i="2"/>
  <c r="BP93" i="2"/>
  <c r="BW93" i="2"/>
  <c r="AC93" i="2"/>
  <c r="AH93" i="2" s="1"/>
  <c r="AJ93" i="2" s="1"/>
  <c r="AK93" i="2" s="1"/>
  <c r="AD93" i="2"/>
  <c r="AW93" i="2"/>
  <c r="CB93" i="2"/>
  <c r="AV93" i="2"/>
  <c r="AI92" i="2"/>
  <c r="BA92" i="2" s="1"/>
  <c r="AZ92" i="2"/>
  <c r="AX92" i="2"/>
  <c r="B101" i="2"/>
  <c r="V95" i="2" l="1"/>
  <c r="N95" i="2"/>
  <c r="I94" i="2"/>
  <c r="AD94" i="2" s="1"/>
  <c r="BU91" i="2"/>
  <c r="BX91" i="2" s="1"/>
  <c r="BY91" i="2" s="1"/>
  <c r="BM91" i="2"/>
  <c r="BN91" i="2"/>
  <c r="BQ91" i="2" s="1"/>
  <c r="BR91" i="2" s="1"/>
  <c r="CA91" i="2"/>
  <c r="CD94" i="2"/>
  <c r="CB94" i="2"/>
  <c r="W94" i="2"/>
  <c r="AY94" i="2"/>
  <c r="AP94" i="2"/>
  <c r="BW94" i="2"/>
  <c r="AC94" i="2"/>
  <c r="AH94" i="2" s="1"/>
  <c r="AJ94" i="2" s="1"/>
  <c r="AK94" i="2" s="1"/>
  <c r="BO94" i="2"/>
  <c r="BP94" i="2"/>
  <c r="BV94" i="2"/>
  <c r="M95" i="2"/>
  <c r="BC95" i="2"/>
  <c r="AQ95" i="2"/>
  <c r="BK95" i="2"/>
  <c r="J95" i="2"/>
  <c r="E95" i="2"/>
  <c r="S95" i="2"/>
  <c r="H95" i="2"/>
  <c r="U95" i="2"/>
  <c r="BD95" i="2"/>
  <c r="AS95" i="2"/>
  <c r="BV95" i="2" s="1"/>
  <c r="BH95" i="2"/>
  <c r="BG95" i="2"/>
  <c r="CF91" i="3"/>
  <c r="A92" i="3"/>
  <c r="BL95" i="2"/>
  <c r="CH95" i="2"/>
  <c r="R95" i="2"/>
  <c r="AN95" i="2"/>
  <c r="AB95" i="2"/>
  <c r="C95" i="2"/>
  <c r="AO95" i="2"/>
  <c r="F95" i="2"/>
  <c r="CC95" i="2"/>
  <c r="BI95" i="2"/>
  <c r="AU95" i="2"/>
  <c r="AR95" i="2"/>
  <c r="Y95" i="2"/>
  <c r="BE95" i="2"/>
  <c r="K95" i="2"/>
  <c r="AA95" i="2"/>
  <c r="O95" i="2"/>
  <c r="CG95" i="2"/>
  <c r="BT95" i="2"/>
  <c r="G95" i="2"/>
  <c r="BF95" i="2"/>
  <c r="D95" i="2"/>
  <c r="AM95" i="2"/>
  <c r="L95" i="2"/>
  <c r="AT95" i="2"/>
  <c r="AZ93" i="2"/>
  <c r="AI93" i="2"/>
  <c r="BA93" i="2" s="1"/>
  <c r="AX93" i="2"/>
  <c r="CA92" i="2"/>
  <c r="BN92" i="2"/>
  <c r="BQ92" i="2" s="1"/>
  <c r="BR92" i="2" s="1"/>
  <c r="BM92" i="2"/>
  <c r="BU92" i="2"/>
  <c r="BX92" i="2" s="1"/>
  <c r="BY92" i="2" s="1"/>
  <c r="B102" i="2"/>
  <c r="AW94" i="2" l="1"/>
  <c r="AV94" i="2"/>
  <c r="AP95" i="2"/>
  <c r="BU93" i="2"/>
  <c r="BX93" i="2" s="1"/>
  <c r="BY93" i="2" s="1"/>
  <c r="I95" i="2"/>
  <c r="AY95" i="2"/>
  <c r="BW95" i="2"/>
  <c r="AZ94" i="2"/>
  <c r="AI94" i="2"/>
  <c r="BA94" i="2" s="1"/>
  <c r="BU94" i="2" s="1"/>
  <c r="BX94" i="2" s="1"/>
  <c r="BY94" i="2" s="1"/>
  <c r="CA93" i="2"/>
  <c r="BM93" i="2"/>
  <c r="BN93" i="2"/>
  <c r="BQ93" i="2" s="1"/>
  <c r="BR93" i="2" s="1"/>
  <c r="W95" i="2"/>
  <c r="CD95" i="2"/>
  <c r="M96" i="2"/>
  <c r="K96" i="2"/>
  <c r="E96" i="2"/>
  <c r="AB96" i="2"/>
  <c r="Q96" i="2"/>
  <c r="CG96" i="2"/>
  <c r="C96" i="2"/>
  <c r="Y96" i="2"/>
  <c r="BT96" i="2"/>
  <c r="AN96" i="2"/>
  <c r="AR96" i="2"/>
  <c r="BO96" i="2" s="1"/>
  <c r="J96" i="2"/>
  <c r="L96" i="2"/>
  <c r="D96" i="2"/>
  <c r="AU96" i="2"/>
  <c r="BL96" i="2"/>
  <c r="G96" i="2"/>
  <c r="S96" i="2"/>
  <c r="AA96" i="2"/>
  <c r="AT96" i="2"/>
  <c r="CF92" i="3"/>
  <c r="A93" i="3"/>
  <c r="O96" i="2"/>
  <c r="U96" i="2"/>
  <c r="BG96" i="2"/>
  <c r="N96" i="2"/>
  <c r="F96" i="2"/>
  <c r="CH96" i="2"/>
  <c r="BE96" i="2"/>
  <c r="R96" i="2"/>
  <c r="CC96" i="2"/>
  <c r="AO96" i="2"/>
  <c r="BK96" i="2"/>
  <c r="BF96" i="2"/>
  <c r="AQ96" i="2"/>
  <c r="AS96" i="2"/>
  <c r="BV96" i="2" s="1"/>
  <c r="BD96" i="2"/>
  <c r="AM96" i="2"/>
  <c r="BI96" i="2"/>
  <c r="V96" i="2"/>
  <c r="BC96" i="2"/>
  <c r="H96" i="2"/>
  <c r="BH96" i="2"/>
  <c r="BO95" i="2"/>
  <c r="BP95" i="2"/>
  <c r="B103" i="2"/>
  <c r="AY96" i="2" l="1"/>
  <c r="AX94" i="2"/>
  <c r="I96" i="2"/>
  <c r="AP96" i="2"/>
  <c r="BN94" i="2"/>
  <c r="BQ94" i="2" s="1"/>
  <c r="BR94" i="2" s="1"/>
  <c r="BM94" i="2"/>
  <c r="CA94" i="2"/>
  <c r="AW95" i="2"/>
  <c r="AV95" i="2"/>
  <c r="CB95" i="2"/>
  <c r="AD95" i="2"/>
  <c r="AC95" i="2"/>
  <c r="AH95" i="2" s="1"/>
  <c r="AJ95" i="2" s="1"/>
  <c r="AK95" i="2" s="1"/>
  <c r="CD96" i="2"/>
  <c r="W96" i="2"/>
  <c r="BP96" i="2"/>
  <c r="BW96" i="2"/>
  <c r="J97" i="2"/>
  <c r="R97" i="2"/>
  <c r="BG97" i="2"/>
  <c r="BF97" i="2"/>
  <c r="CF93" i="3"/>
  <c r="AM97" i="2"/>
  <c r="AO97" i="2"/>
  <c r="U97" i="2"/>
  <c r="C97" i="2"/>
  <c r="CG97" i="2"/>
  <c r="AQ97" i="2"/>
  <c r="BL97" i="2"/>
  <c r="AB97" i="2"/>
  <c r="BI97" i="2"/>
  <c r="E97" i="2"/>
  <c r="L97" i="2"/>
  <c r="G97" i="2"/>
  <c r="AA97" i="2"/>
  <c r="F97" i="2"/>
  <c r="BC97" i="2"/>
  <c r="S97" i="2"/>
  <c r="BE97" i="2"/>
  <c r="Q97" i="2"/>
  <c r="K97" i="2"/>
  <c r="AN97" i="2"/>
  <c r="M97" i="2"/>
  <c r="H97" i="2"/>
  <c r="N97" i="2"/>
  <c r="BH97" i="2"/>
  <c r="AS97" i="2"/>
  <c r="BD97" i="2"/>
  <c r="BK97" i="2"/>
  <c r="AU97" i="2"/>
  <c r="AR97" i="2"/>
  <c r="Y97" i="2"/>
  <c r="AT97" i="2"/>
  <c r="BT97" i="2"/>
  <c r="O97" i="2"/>
  <c r="CC97" i="2"/>
  <c r="D97" i="2"/>
  <c r="CH97" i="2"/>
  <c r="V97" i="2"/>
  <c r="A94" i="3"/>
  <c r="B104" i="2"/>
  <c r="AX95" i="2" l="1"/>
  <c r="AV96" i="2"/>
  <c r="AC96" i="2"/>
  <c r="AH96" i="2" s="1"/>
  <c r="AJ96" i="2" s="1"/>
  <c r="AK96" i="2" s="1"/>
  <c r="AP97" i="2"/>
  <c r="CB96" i="2"/>
  <c r="AW96" i="2"/>
  <c r="AX96" i="2" s="1"/>
  <c r="AD96" i="2"/>
  <c r="AZ95" i="2"/>
  <c r="BM95" i="2" s="1"/>
  <c r="AI95" i="2"/>
  <c r="BA95" i="2" s="1"/>
  <c r="BU95" i="2" s="1"/>
  <c r="BX95" i="2" s="1"/>
  <c r="BY95" i="2" s="1"/>
  <c r="AY97" i="2"/>
  <c r="CD97" i="2"/>
  <c r="W97" i="2"/>
  <c r="BP97" i="2"/>
  <c r="BO97" i="2"/>
  <c r="AO100" i="2"/>
  <c r="F98" i="2"/>
  <c r="BT100" i="2"/>
  <c r="N101" i="2"/>
  <c r="K101" i="2"/>
  <c r="S101" i="2"/>
  <c r="BL101" i="2"/>
  <c r="BG99" i="2"/>
  <c r="L99" i="2"/>
  <c r="M100" i="2"/>
  <c r="R99" i="2"/>
  <c r="BH99" i="2"/>
  <c r="BK100" i="2"/>
  <c r="AM100" i="2"/>
  <c r="BF100" i="2"/>
  <c r="J99" i="2"/>
  <c r="M98" i="2"/>
  <c r="BD98" i="2"/>
  <c r="L98" i="2"/>
  <c r="AO101" i="2"/>
  <c r="H101" i="2"/>
  <c r="AA101" i="2"/>
  <c r="V98" i="2"/>
  <c r="S98" i="2"/>
  <c r="AO98" i="2"/>
  <c r="AB98" i="2"/>
  <c r="AA98" i="2"/>
  <c r="D101" i="2"/>
  <c r="Y101" i="2"/>
  <c r="BF98" i="2"/>
  <c r="Y100" i="2"/>
  <c r="BK99" i="2"/>
  <c r="CC98" i="2"/>
  <c r="Q98" i="2"/>
  <c r="BC98" i="2"/>
  <c r="N98" i="2"/>
  <c r="AS98" i="2"/>
  <c r="BV98" i="2" s="1"/>
  <c r="AT100" i="2"/>
  <c r="H98" i="2"/>
  <c r="AQ100" i="2"/>
  <c r="CH100" i="2"/>
  <c r="AN99" i="2"/>
  <c r="BE100" i="2"/>
  <c r="Q100" i="2"/>
  <c r="N99" i="2"/>
  <c r="AA100" i="2"/>
  <c r="AM99" i="2"/>
  <c r="AQ101" i="2"/>
  <c r="O101" i="2"/>
  <c r="U101" i="2"/>
  <c r="BH101" i="2"/>
  <c r="BI101" i="2"/>
  <c r="V101" i="2"/>
  <c r="W101" i="2" s="1"/>
  <c r="CH101" i="2"/>
  <c r="J101" i="2"/>
  <c r="BF101" i="2"/>
  <c r="BG101" i="2"/>
  <c r="Y98" i="2"/>
  <c r="O99" i="2"/>
  <c r="AO99" i="2"/>
  <c r="BD99" i="2"/>
  <c r="E98" i="2"/>
  <c r="G102" i="2"/>
  <c r="CH102" i="2"/>
  <c r="AN102" i="2"/>
  <c r="S102" i="2"/>
  <c r="BT103" i="2"/>
  <c r="L103" i="2"/>
  <c r="AS103" i="2"/>
  <c r="BV103" i="2" s="1"/>
  <c r="E103" i="2"/>
  <c r="BH103" i="2"/>
  <c r="C103" i="2"/>
  <c r="AQ103" i="2"/>
  <c r="F103" i="2"/>
  <c r="CH103" i="2"/>
  <c r="N103" i="2"/>
  <c r="K103" i="2"/>
  <c r="J103" i="2"/>
  <c r="CG103" i="2"/>
  <c r="E102" i="2"/>
  <c r="CG102" i="2"/>
  <c r="R102" i="2"/>
  <c r="D102" i="2"/>
  <c r="J100" i="2"/>
  <c r="BT101" i="2"/>
  <c r="U103" i="2"/>
  <c r="G103" i="2"/>
  <c r="BI103" i="2"/>
  <c r="Q103" i="2"/>
  <c r="D103" i="2"/>
  <c r="BF103" i="2"/>
  <c r="R103" i="2"/>
  <c r="BE103" i="2"/>
  <c r="AO103" i="2"/>
  <c r="O103" i="2"/>
  <c r="BC103" i="2"/>
  <c r="M103" i="2"/>
  <c r="BK103" i="2"/>
  <c r="Y103" i="2"/>
  <c r="CC103" i="2"/>
  <c r="AR103" i="2"/>
  <c r="BG103" i="2"/>
  <c r="S103" i="2"/>
  <c r="CD103" i="2" s="1"/>
  <c r="AU103" i="2"/>
  <c r="AT103" i="2"/>
  <c r="AA103" i="2"/>
  <c r="BL103" i="2"/>
  <c r="BD103" i="2"/>
  <c r="AB103" i="2"/>
  <c r="CA95" i="2"/>
  <c r="BN95" i="2"/>
  <c r="BQ95" i="2" s="1"/>
  <c r="BR95" i="2" s="1"/>
  <c r="I97" i="2"/>
  <c r="BV97" i="2"/>
  <c r="BW97" i="2"/>
  <c r="AM102" i="2"/>
  <c r="F100" i="2"/>
  <c r="AS100" i="2"/>
  <c r="BV100" i="2" s="1"/>
  <c r="L100" i="2"/>
  <c r="CH99" i="2"/>
  <c r="BD100" i="2"/>
  <c r="BC100" i="2"/>
  <c r="BL98" i="2"/>
  <c r="N100" i="2"/>
  <c r="V100" i="2"/>
  <c r="BG98" i="2"/>
  <c r="G100" i="2"/>
  <c r="BC99" i="2"/>
  <c r="U100" i="2"/>
  <c r="C101" i="2"/>
  <c r="AN101" i="2"/>
  <c r="CG101" i="2"/>
  <c r="R101" i="2"/>
  <c r="AT101" i="2"/>
  <c r="AU101" i="2"/>
  <c r="G101" i="2"/>
  <c r="BC101" i="2"/>
  <c r="BD101" i="2"/>
  <c r="AR101" i="2"/>
  <c r="AS101" i="2"/>
  <c r="AU98" i="2"/>
  <c r="AQ99" i="2"/>
  <c r="H99" i="2"/>
  <c r="CG98" i="2"/>
  <c r="D98" i="2"/>
  <c r="Y99" i="2"/>
  <c r="AT99" i="2"/>
  <c r="S99" i="2"/>
  <c r="D99" i="2"/>
  <c r="BE98" i="2"/>
  <c r="AR100" i="2"/>
  <c r="V99" i="2"/>
  <c r="BT99" i="2"/>
  <c r="CC99" i="2"/>
  <c r="M99" i="2"/>
  <c r="R98" i="2"/>
  <c r="K99" i="2"/>
  <c r="BI99" i="2"/>
  <c r="H100" i="2"/>
  <c r="AU99" i="2"/>
  <c r="AR99" i="2"/>
  <c r="BP99" i="2" s="1"/>
  <c r="G98" i="2"/>
  <c r="F99" i="2"/>
  <c r="Q99" i="2"/>
  <c r="R100" i="2"/>
  <c r="E99" i="2"/>
  <c r="CH98" i="2"/>
  <c r="O100" i="2"/>
  <c r="BE99" i="2"/>
  <c r="E100" i="2"/>
  <c r="D100" i="2"/>
  <c r="CC100" i="2"/>
  <c r="BI98" i="2"/>
  <c r="AB100" i="2"/>
  <c r="BL100" i="2"/>
  <c r="C100" i="2"/>
  <c r="K100" i="2"/>
  <c r="AB99" i="2"/>
  <c r="BG100" i="2"/>
  <c r="AU100" i="2"/>
  <c r="CC101" i="2"/>
  <c r="E101" i="2"/>
  <c r="AM101" i="2"/>
  <c r="Q101" i="2"/>
  <c r="BE101" i="2"/>
  <c r="L101" i="2"/>
  <c r="M101" i="2"/>
  <c r="BK101" i="2"/>
  <c r="AB101" i="2"/>
  <c r="F101" i="2"/>
  <c r="AR98" i="2"/>
  <c r="AS99" i="2"/>
  <c r="BV99" i="2" s="1"/>
  <c r="U98" i="2"/>
  <c r="AT98" i="2"/>
  <c r="O98" i="2"/>
  <c r="C99" i="2"/>
  <c r="AQ98" i="2"/>
  <c r="BL99" i="2"/>
  <c r="CF94" i="3"/>
  <c r="CE6" i="3" s="1"/>
  <c r="F6" i="3" s="1"/>
  <c r="G6" i="2" s="1"/>
  <c r="BH100" i="2"/>
  <c r="CG99" i="2"/>
  <c r="AN98" i="2"/>
  <c r="BF99" i="2"/>
  <c r="BI100" i="2"/>
  <c r="C98" i="2"/>
  <c r="CG100" i="2"/>
  <c r="BT98" i="2"/>
  <c r="BH98" i="2"/>
  <c r="U99" i="2"/>
  <c r="J98" i="2"/>
  <c r="AN100" i="2"/>
  <c r="BK98" i="2"/>
  <c r="K98" i="2"/>
  <c r="AA99" i="2"/>
  <c r="G99" i="2"/>
  <c r="S100" i="2"/>
  <c r="AM98" i="2"/>
  <c r="CC102" i="2"/>
  <c r="BL102" i="2"/>
  <c r="O102" i="2"/>
  <c r="BK102" i="2"/>
  <c r="N102" i="2"/>
  <c r="BT102" i="2"/>
  <c r="J102" i="2"/>
  <c r="C102" i="2"/>
  <c r="BI102" i="2"/>
  <c r="BH102" i="2"/>
  <c r="BG102" i="2"/>
  <c r="BF102" i="2"/>
  <c r="BE102" i="2"/>
  <c r="AQ102" i="2"/>
  <c r="Y102" i="2"/>
  <c r="BD102" i="2"/>
  <c r="H102" i="2"/>
  <c r="BC102" i="2"/>
  <c r="AO102" i="2"/>
  <c r="V102" i="2"/>
  <c r="F102" i="2"/>
  <c r="L102" i="2"/>
  <c r="AU102" i="2"/>
  <c r="K102" i="2"/>
  <c r="AT102" i="2"/>
  <c r="AS102" i="2"/>
  <c r="BV102" i="2" s="1"/>
  <c r="AR102" i="2"/>
  <c r="BP102" i="2" s="1"/>
  <c r="AB102" i="2"/>
  <c r="AA102" i="2"/>
  <c r="Q102" i="2"/>
  <c r="M102" i="2"/>
  <c r="U102" i="2"/>
  <c r="AN103" i="2"/>
  <c r="V103" i="2"/>
  <c r="H103" i="2"/>
  <c r="AM103" i="2"/>
  <c r="CC104" i="2"/>
  <c r="AO104" i="2"/>
  <c r="AN104" i="2"/>
  <c r="V104" i="2"/>
  <c r="H104" i="2"/>
  <c r="BK104" i="2"/>
  <c r="R104" i="2"/>
  <c r="E104" i="2"/>
  <c r="K104" i="2"/>
  <c r="B105" i="2"/>
  <c r="J104" i="2"/>
  <c r="CG104" i="2"/>
  <c r="BL104" i="2"/>
  <c r="AT104" i="2"/>
  <c r="AA104" i="2"/>
  <c r="F104" i="2"/>
  <c r="BI104" i="2"/>
  <c r="AS104" i="2"/>
  <c r="Y104" i="2"/>
  <c r="D104" i="2"/>
  <c r="BD104" i="2"/>
  <c r="N104" i="2"/>
  <c r="BT104" i="2"/>
  <c r="BC104" i="2"/>
  <c r="M104" i="2"/>
  <c r="L104" i="2"/>
  <c r="BG104" i="2"/>
  <c r="O104" i="2"/>
  <c r="BF104" i="2"/>
  <c r="G104" i="2"/>
  <c r="BE104" i="2"/>
  <c r="C104" i="2"/>
  <c r="AU104" i="2"/>
  <c r="AR104" i="2"/>
  <c r="AB104" i="2"/>
  <c r="U104" i="2"/>
  <c r="S104" i="2"/>
  <c r="BH104" i="2"/>
  <c r="Q104" i="2"/>
  <c r="CH104" i="2"/>
  <c r="AQ104" i="2"/>
  <c r="AM104" i="2"/>
  <c r="BW103" i="2" l="1"/>
  <c r="CD101" i="2"/>
  <c r="BW100" i="2"/>
  <c r="AP99" i="2"/>
  <c r="AP101" i="2"/>
  <c r="I99" i="2"/>
  <c r="I102" i="2"/>
  <c r="AY99" i="2"/>
  <c r="AP98" i="2"/>
  <c r="AY98" i="2"/>
  <c r="AP100" i="2"/>
  <c r="AZ96" i="2"/>
  <c r="AI96" i="2"/>
  <c r="BA96" i="2" s="1"/>
  <c r="BU96" i="2" s="1"/>
  <c r="BX96" i="2" s="1"/>
  <c r="BY96" i="2" s="1"/>
  <c r="W98" i="2"/>
  <c r="CD98" i="2"/>
  <c r="I101" i="2"/>
  <c r="I103" i="2"/>
  <c r="I98" i="2"/>
  <c r="AY103" i="2"/>
  <c r="AY100" i="2"/>
  <c r="AP102" i="2"/>
  <c r="AP103" i="2"/>
  <c r="W103" i="2"/>
  <c r="W102" i="2"/>
  <c r="CD102" i="2"/>
  <c r="BP103" i="2"/>
  <c r="BO103" i="2"/>
  <c r="BW101" i="2"/>
  <c r="BW98" i="2"/>
  <c r="AY102" i="2"/>
  <c r="AV97" i="2"/>
  <c r="AC97" i="2"/>
  <c r="AH97" i="2" s="1"/>
  <c r="AJ97" i="2" s="1"/>
  <c r="AK97" i="2" s="1"/>
  <c r="AW97" i="2"/>
  <c r="CB97" i="2"/>
  <c r="AD97" i="2"/>
  <c r="AY101" i="2"/>
  <c r="BW99" i="2"/>
  <c r="BW102" i="2"/>
  <c r="BO101" i="2"/>
  <c r="BP101" i="2"/>
  <c r="BV101" i="2"/>
  <c r="AH101" i="2"/>
  <c r="CD99" i="2"/>
  <c r="W99" i="2"/>
  <c r="BO100" i="2"/>
  <c r="BP100" i="2"/>
  <c r="I100" i="2"/>
  <c r="AH100" i="2"/>
  <c r="BP98" i="2"/>
  <c r="BO98" i="2"/>
  <c r="CD100" i="2"/>
  <c r="W100" i="2"/>
  <c r="AP104" i="2"/>
  <c r="I104" i="2"/>
  <c r="AJ104" i="2" s="1"/>
  <c r="AH104" i="2"/>
  <c r="BV104" i="2"/>
  <c r="BP104" i="2"/>
  <c r="W104" i="2"/>
  <c r="CD104" i="2"/>
  <c r="BW104" i="2"/>
  <c r="AY104" i="2"/>
  <c r="BC105" i="2"/>
  <c r="Y105" i="2"/>
  <c r="J105" i="2"/>
  <c r="CC105" i="2"/>
  <c r="AO105" i="2"/>
  <c r="BL105" i="2"/>
  <c r="S105" i="2"/>
  <c r="F105" i="2"/>
  <c r="BH105" i="2"/>
  <c r="AR105" i="2"/>
  <c r="U105" i="2"/>
  <c r="C105" i="2"/>
  <c r="BG105" i="2"/>
  <c r="AQ105" i="2"/>
  <c r="R105" i="2"/>
  <c r="BE105" i="2"/>
  <c r="AM105" i="2"/>
  <c r="O105" i="2"/>
  <c r="BD105" i="2"/>
  <c r="N105" i="2"/>
  <c r="CH105" i="2"/>
  <c r="AU105" i="2"/>
  <c r="AB105" i="2"/>
  <c r="G105" i="2"/>
  <c r="CG105" i="2"/>
  <c r="BK105" i="2"/>
  <c r="AT105" i="2"/>
  <c r="AA105" i="2"/>
  <c r="E105" i="2"/>
  <c r="BI105" i="2"/>
  <c r="AS105" i="2"/>
  <c r="V105" i="2"/>
  <c r="D105" i="2"/>
  <c r="Q105" i="2"/>
  <c r="M105" i="2"/>
  <c r="BF105" i="2"/>
  <c r="L105" i="2"/>
  <c r="K105" i="2"/>
  <c r="H105" i="2"/>
  <c r="B106" i="2"/>
  <c r="BT105" i="2"/>
  <c r="AN105" i="2"/>
  <c r="BM96" i="2" l="1"/>
  <c r="CA96" i="2"/>
  <c r="BN96" i="2"/>
  <c r="BQ96" i="2" s="1"/>
  <c r="BR96" i="2" s="1"/>
  <c r="AV99" i="2"/>
  <c r="AW99" i="2"/>
  <c r="AX99" i="2" s="1"/>
  <c r="AD99" i="2"/>
  <c r="CB99" i="2"/>
  <c r="AC99" i="2"/>
  <c r="AH99" i="2" s="1"/>
  <c r="AJ99" i="2" s="1"/>
  <c r="AK99" i="2" s="1"/>
  <c r="AW102" i="2"/>
  <c r="CB102" i="2"/>
  <c r="AV102" i="2"/>
  <c r="AD102" i="2"/>
  <c r="AC102" i="2"/>
  <c r="AH102" i="2" s="1"/>
  <c r="AJ102" i="2" s="1"/>
  <c r="AK102" i="2" s="1"/>
  <c r="AK101" i="2"/>
  <c r="AI101" i="2"/>
  <c r="BA101" i="2" s="1"/>
  <c r="AW101" i="2"/>
  <c r="CB101" i="2"/>
  <c r="AC101" i="2"/>
  <c r="AD101" i="2"/>
  <c r="AZ101" i="2" s="1"/>
  <c r="AV101" i="2"/>
  <c r="AJ101" i="2"/>
  <c r="CB103" i="2"/>
  <c r="AV103" i="2"/>
  <c r="AW103" i="2"/>
  <c r="AD103" i="2"/>
  <c r="AC103" i="2"/>
  <c r="AH103" i="2" s="1"/>
  <c r="AJ103" i="2" s="1"/>
  <c r="AK103" i="2" s="1"/>
  <c r="AW98" i="2"/>
  <c r="AV98" i="2"/>
  <c r="AD98" i="2"/>
  <c r="CB98" i="2"/>
  <c r="AC98" i="2"/>
  <c r="AH98" i="2" s="1"/>
  <c r="AJ98" i="2" s="1"/>
  <c r="AK98" i="2" s="1"/>
  <c r="AW100" i="2"/>
  <c r="AI100" i="2"/>
  <c r="AK100" i="2"/>
  <c r="AV100" i="2"/>
  <c r="AC100" i="2"/>
  <c r="AD100" i="2"/>
  <c r="AZ100" i="2" s="1"/>
  <c r="CB100" i="2"/>
  <c r="AJ100" i="2"/>
  <c r="AZ97" i="2"/>
  <c r="AI97" i="2"/>
  <c r="BA97" i="2" s="1"/>
  <c r="BU97" i="2" s="1"/>
  <c r="BX97" i="2" s="1"/>
  <c r="BY97" i="2" s="1"/>
  <c r="AX97" i="2"/>
  <c r="AP105" i="2"/>
  <c r="BP105" i="2"/>
  <c r="BO105" i="2"/>
  <c r="CD105" i="2"/>
  <c r="W105" i="2"/>
  <c r="BV105" i="2"/>
  <c r="BW105" i="2"/>
  <c r="CG106" i="2"/>
  <c r="BD106" i="2"/>
  <c r="AQ106" i="2"/>
  <c r="AA106" i="2"/>
  <c r="K106" i="2"/>
  <c r="BC106" i="2"/>
  <c r="Y106" i="2"/>
  <c r="J106" i="2"/>
  <c r="AM106" i="2"/>
  <c r="U106" i="2"/>
  <c r="G106" i="2"/>
  <c r="BT106" i="2"/>
  <c r="M106" i="2"/>
  <c r="L106" i="2"/>
  <c r="B107" i="2"/>
  <c r="H106" i="2"/>
  <c r="CH106" i="2"/>
  <c r="BL106" i="2"/>
  <c r="AU106" i="2"/>
  <c r="AB106" i="2"/>
  <c r="F106" i="2"/>
  <c r="BF106" i="2"/>
  <c r="AN106" i="2"/>
  <c r="Q106" i="2"/>
  <c r="BE106" i="2"/>
  <c r="O106" i="2"/>
  <c r="N106" i="2"/>
  <c r="V106" i="2"/>
  <c r="BK106" i="2"/>
  <c r="S106" i="2"/>
  <c r="BI106" i="2"/>
  <c r="R106" i="2"/>
  <c r="BH106" i="2"/>
  <c r="AS106" i="2"/>
  <c r="CC106" i="2"/>
  <c r="AR106" i="2"/>
  <c r="AO106" i="2"/>
  <c r="AT106" i="2"/>
  <c r="BG106" i="2"/>
  <c r="E106" i="2"/>
  <c r="D106" i="2"/>
  <c r="C106" i="2"/>
  <c r="I105" i="2"/>
  <c r="AJ105" i="2" s="1"/>
  <c r="AH105" i="2"/>
  <c r="AY105" i="2"/>
  <c r="CB104" i="2"/>
  <c r="AW104" i="2"/>
  <c r="AD104" i="2"/>
  <c r="AZ104" i="2" s="1"/>
  <c r="CA104" i="2" s="1"/>
  <c r="AV104" i="2"/>
  <c r="AC104" i="2"/>
  <c r="AK104" i="2"/>
  <c r="AI104" i="2"/>
  <c r="AZ102" i="2" l="1"/>
  <c r="BM102" i="2" s="1"/>
  <c r="AI102" i="2"/>
  <c r="AX98" i="2"/>
  <c r="BA102" i="2"/>
  <c r="BU102" i="2" s="1"/>
  <c r="BX102" i="2" s="1"/>
  <c r="BY102" i="2" s="1"/>
  <c r="AX100" i="2"/>
  <c r="AX102" i="2"/>
  <c r="BU101" i="2"/>
  <c r="BX101" i="2" s="1"/>
  <c r="BY101" i="2" s="1"/>
  <c r="AX101" i="2"/>
  <c r="AX103" i="2"/>
  <c r="AZ98" i="2"/>
  <c r="AI98" i="2"/>
  <c r="BA98" i="2" s="1"/>
  <c r="BU98" i="2" s="1"/>
  <c r="BX98" i="2" s="1"/>
  <c r="BY98" i="2" s="1"/>
  <c r="BN102" i="2"/>
  <c r="CA102" i="2"/>
  <c r="BA100" i="2"/>
  <c r="BU100" i="2" s="1"/>
  <c r="BX100" i="2" s="1"/>
  <c r="BY100" i="2" s="1"/>
  <c r="AZ99" i="2"/>
  <c r="AI99" i="2"/>
  <c r="BA99" i="2" s="1"/>
  <c r="BU99" i="2" s="1"/>
  <c r="BX99" i="2" s="1"/>
  <c r="BY99" i="2" s="1"/>
  <c r="CA101" i="2"/>
  <c r="BN101" i="2"/>
  <c r="BQ101" i="2" s="1"/>
  <c r="BR101" i="2" s="1"/>
  <c r="BM101" i="2"/>
  <c r="AZ103" i="2"/>
  <c r="CA103" i="2" s="1"/>
  <c r="AI103" i="2"/>
  <c r="BA103" i="2" s="1"/>
  <c r="BU103" i="2" s="1"/>
  <c r="BX103" i="2" s="1"/>
  <c r="BY103" i="2" s="1"/>
  <c r="BN100" i="2"/>
  <c r="BQ100" i="2" s="1"/>
  <c r="BR100" i="2" s="1"/>
  <c r="BM100" i="2"/>
  <c r="CA100" i="2"/>
  <c r="BN97" i="2"/>
  <c r="BQ97" i="2" s="1"/>
  <c r="BR97" i="2" s="1"/>
  <c r="BM97" i="2"/>
  <c r="CA97" i="2"/>
  <c r="AX104" i="2"/>
  <c r="BA104" i="2"/>
  <c r="BU104" i="2" s="1"/>
  <c r="BX104" i="2" s="1"/>
  <c r="BY104" i="2" s="1"/>
  <c r="AP106" i="2"/>
  <c r="BV106" i="2"/>
  <c r="AY106" i="2"/>
  <c r="BM104" i="2"/>
  <c r="BN104" i="2"/>
  <c r="AH106" i="2"/>
  <c r="I106" i="2"/>
  <c r="AJ106" i="2" s="1"/>
  <c r="CH107" i="2"/>
  <c r="BE107" i="2"/>
  <c r="AR107" i="2"/>
  <c r="AB107" i="2"/>
  <c r="L107" i="2"/>
  <c r="CG107" i="2"/>
  <c r="BD107" i="2"/>
  <c r="AQ107" i="2"/>
  <c r="AA107" i="2"/>
  <c r="K107" i="2"/>
  <c r="AN107" i="2"/>
  <c r="V107" i="2"/>
  <c r="H107" i="2"/>
  <c r="CC107" i="2"/>
  <c r="BK107" i="2"/>
  <c r="AT107" i="2"/>
  <c r="E107" i="2"/>
  <c r="BI107" i="2"/>
  <c r="AS107" i="2"/>
  <c r="U107" i="2"/>
  <c r="D107" i="2"/>
  <c r="BG107" i="2"/>
  <c r="AO107" i="2"/>
  <c r="R107" i="2"/>
  <c r="BF107" i="2"/>
  <c r="AM107" i="2"/>
  <c r="Q107" i="2"/>
  <c r="B108" i="2"/>
  <c r="G107" i="2"/>
  <c r="BL107" i="2"/>
  <c r="AU107" i="2"/>
  <c r="Y107" i="2"/>
  <c r="F107" i="2"/>
  <c r="BT107" i="2"/>
  <c r="S107" i="2"/>
  <c r="O107" i="2"/>
  <c r="C107" i="2"/>
  <c r="N107" i="2"/>
  <c r="M107" i="2"/>
  <c r="J107" i="2"/>
  <c r="BH107" i="2"/>
  <c r="BC107" i="2"/>
  <c r="CB105" i="2"/>
  <c r="AD105" i="2"/>
  <c r="AZ105" i="2" s="1"/>
  <c r="AC105" i="2"/>
  <c r="AW105" i="2"/>
  <c r="AV105" i="2"/>
  <c r="AI105" i="2"/>
  <c r="AK105" i="2"/>
  <c r="BW106" i="2"/>
  <c r="CD106" i="2"/>
  <c r="W106" i="2"/>
  <c r="BP106" i="2"/>
  <c r="BO106" i="2"/>
  <c r="BM98" i="2" l="1"/>
  <c r="CA98" i="2"/>
  <c r="BN98" i="2"/>
  <c r="BQ98" i="2" s="1"/>
  <c r="BR98" i="2" s="1"/>
  <c r="CA99" i="2"/>
  <c r="BN99" i="2"/>
  <c r="BM99" i="2"/>
  <c r="BQ102" i="2"/>
  <c r="BR102" i="2" s="1"/>
  <c r="BO102" i="2"/>
  <c r="BN103" i="2"/>
  <c r="BQ103" i="2" s="1"/>
  <c r="BR103" i="2" s="1"/>
  <c r="BM103" i="2"/>
  <c r="AX105" i="2"/>
  <c r="BW107" i="2"/>
  <c r="BA105" i="2"/>
  <c r="BU105" i="2" s="1"/>
  <c r="BX105" i="2" s="1"/>
  <c r="BY105" i="2" s="1"/>
  <c r="BO107" i="2"/>
  <c r="BP107" i="2"/>
  <c r="BM105" i="2"/>
  <c r="BN105" i="2"/>
  <c r="BQ105" i="2" s="1"/>
  <c r="BR105" i="2" s="1"/>
  <c r="AV106" i="2"/>
  <c r="AC106" i="2"/>
  <c r="CB106" i="2"/>
  <c r="AD106" i="2"/>
  <c r="AZ106" i="2" s="1"/>
  <c r="BM106" i="2" s="1"/>
  <c r="AW106" i="2"/>
  <c r="AK106" i="2"/>
  <c r="AI106" i="2"/>
  <c r="W107" i="2"/>
  <c r="CD107" i="2"/>
  <c r="CA105" i="2"/>
  <c r="I107" i="2"/>
  <c r="AJ107" i="2" s="1"/>
  <c r="AH107" i="2"/>
  <c r="BV107" i="2"/>
  <c r="BQ104" i="2"/>
  <c r="BR104" i="2" s="1"/>
  <c r="BO104" i="2"/>
  <c r="AP107" i="2"/>
  <c r="AY107" i="2"/>
  <c r="BL108" i="2"/>
  <c r="S108" i="2"/>
  <c r="BG108" i="2"/>
  <c r="AT108" i="2"/>
  <c r="M108" i="2"/>
  <c r="CC108" i="2"/>
  <c r="L108" i="2"/>
  <c r="BH108" i="2"/>
  <c r="AR108" i="2"/>
  <c r="Y108" i="2"/>
  <c r="CH108" i="2"/>
  <c r="BI108" i="2"/>
  <c r="AO108" i="2"/>
  <c r="O108" i="2"/>
  <c r="CG108" i="2"/>
  <c r="BF108" i="2"/>
  <c r="AN108" i="2"/>
  <c r="N108" i="2"/>
  <c r="BD108" i="2"/>
  <c r="J108" i="2"/>
  <c r="BC108" i="2"/>
  <c r="H108" i="2"/>
  <c r="AS108" i="2"/>
  <c r="U108" i="2"/>
  <c r="C108" i="2"/>
  <c r="AQ108" i="2"/>
  <c r="R108" i="2"/>
  <c r="B109" i="2"/>
  <c r="BK108" i="2"/>
  <c r="Q108" i="2"/>
  <c r="AU108" i="2"/>
  <c r="AM108" i="2"/>
  <c r="AB108" i="2"/>
  <c r="AA108" i="2"/>
  <c r="G108" i="2"/>
  <c r="BE108" i="2"/>
  <c r="F108" i="2"/>
  <c r="E108" i="2"/>
  <c r="D108" i="2"/>
  <c r="BT108" i="2"/>
  <c r="V108" i="2"/>
  <c r="K108" i="2"/>
  <c r="BO99" i="2" l="1"/>
  <c r="BQ99" i="2"/>
  <c r="BR99" i="2" s="1"/>
  <c r="BN106" i="2"/>
  <c r="BQ106" i="2" s="1"/>
  <c r="BR106" i="2" s="1"/>
  <c r="AP108" i="2"/>
  <c r="BW108" i="2"/>
  <c r="AM109" i="2"/>
  <c r="U109" i="2"/>
  <c r="G109" i="2"/>
  <c r="BH109" i="2"/>
  <c r="AU109" i="2"/>
  <c r="O109" i="2"/>
  <c r="C109" i="2"/>
  <c r="CG109" i="2"/>
  <c r="M109" i="2"/>
  <c r="L109" i="2"/>
  <c r="BI109" i="2"/>
  <c r="AS109" i="2"/>
  <c r="AA109" i="2"/>
  <c r="AT109" i="2"/>
  <c r="V109" i="2"/>
  <c r="AR109" i="2"/>
  <c r="S109" i="2"/>
  <c r="B110" i="2"/>
  <c r="BK109" i="2"/>
  <c r="Q109" i="2"/>
  <c r="CH109" i="2"/>
  <c r="BG109" i="2"/>
  <c r="AO109" i="2"/>
  <c r="N109" i="2"/>
  <c r="AB109" i="2"/>
  <c r="E109" i="2"/>
  <c r="BT109" i="2"/>
  <c r="Y109" i="2"/>
  <c r="D109" i="2"/>
  <c r="K109" i="2"/>
  <c r="BL109" i="2"/>
  <c r="J109" i="2"/>
  <c r="BF109" i="2"/>
  <c r="H109" i="2"/>
  <c r="BE109" i="2"/>
  <c r="F109" i="2"/>
  <c r="BD109" i="2"/>
  <c r="CC109" i="2"/>
  <c r="R109" i="2"/>
  <c r="BC109" i="2"/>
  <c r="AQ109" i="2"/>
  <c r="AN109" i="2"/>
  <c r="AH108" i="2"/>
  <c r="I108" i="2"/>
  <c r="BV108" i="2"/>
  <c r="AY108" i="2"/>
  <c r="CB107" i="2"/>
  <c r="AW107" i="2"/>
  <c r="AD107" i="2"/>
  <c r="AZ107" i="2" s="1"/>
  <c r="BM107" i="2" s="1"/>
  <c r="AV107" i="2"/>
  <c r="AC107" i="2"/>
  <c r="AI107" i="2"/>
  <c r="AK107" i="2"/>
  <c r="CA106" i="2"/>
  <c r="BP108" i="2"/>
  <c r="CD108" i="2"/>
  <c r="W108" i="2"/>
  <c r="AX106" i="2"/>
  <c r="BA106" i="2"/>
  <c r="BU106" i="2" s="1"/>
  <c r="BX106" i="2" s="1"/>
  <c r="BY106" i="2" s="1"/>
  <c r="AX107" i="2" l="1"/>
  <c r="BW109" i="2"/>
  <c r="BA107" i="2"/>
  <c r="BU107" i="2" s="1"/>
  <c r="BX107" i="2" s="1"/>
  <c r="BY107" i="2" s="1"/>
  <c r="AP109" i="2"/>
  <c r="AD108" i="2"/>
  <c r="AZ108" i="2" s="1"/>
  <c r="BM108" i="2" s="1"/>
  <c r="AW108" i="2"/>
  <c r="AV108" i="2"/>
  <c r="AC108" i="2"/>
  <c r="CB108" i="2"/>
  <c r="AK108" i="2"/>
  <c r="AI108" i="2"/>
  <c r="AY109" i="2"/>
  <c r="CD109" i="2"/>
  <c r="W109" i="2"/>
  <c r="AN110" i="2"/>
  <c r="V110" i="2"/>
  <c r="H110" i="2"/>
  <c r="BI110" i="2"/>
  <c r="Q110" i="2"/>
  <c r="D110" i="2"/>
  <c r="CH110" i="2"/>
  <c r="N110" i="2"/>
  <c r="CG110" i="2"/>
  <c r="M110" i="2"/>
  <c r="BK110" i="2"/>
  <c r="AT110" i="2"/>
  <c r="AB110" i="2"/>
  <c r="J110" i="2"/>
  <c r="BC110" i="2"/>
  <c r="F110" i="2"/>
  <c r="AA110" i="2"/>
  <c r="E110" i="2"/>
  <c r="AU110" i="2"/>
  <c r="AS110" i="2"/>
  <c r="U110" i="2"/>
  <c r="CC110" i="2"/>
  <c r="BF110" i="2"/>
  <c r="AM110" i="2"/>
  <c r="K110" i="2"/>
  <c r="BE110" i="2"/>
  <c r="BD110" i="2"/>
  <c r="G110" i="2"/>
  <c r="AQ110" i="2"/>
  <c r="AO110" i="2"/>
  <c r="B111" i="2"/>
  <c r="Y110" i="2"/>
  <c r="S110" i="2"/>
  <c r="BH110" i="2"/>
  <c r="C110" i="2"/>
  <c r="BG110" i="2"/>
  <c r="AR110" i="2"/>
  <c r="L110" i="2"/>
  <c r="BT110" i="2"/>
  <c r="BL110" i="2"/>
  <c r="R110" i="2"/>
  <c r="O110" i="2"/>
  <c r="CA107" i="2"/>
  <c r="BO109" i="2"/>
  <c r="BP109" i="2"/>
  <c r="BV109" i="2"/>
  <c r="I109" i="2"/>
  <c r="BN107" i="2"/>
  <c r="BQ107" i="2" s="1"/>
  <c r="BR107" i="2" s="1"/>
  <c r="AJ108" i="2"/>
  <c r="AX108" i="2" l="1"/>
  <c r="CA108" i="2"/>
  <c r="BN108" i="2"/>
  <c r="BQ108" i="2" s="1"/>
  <c r="BR108" i="2" s="1"/>
  <c r="CC111" i="2"/>
  <c r="AO111" i="2"/>
  <c r="BK111" i="2"/>
  <c r="R111" i="2"/>
  <c r="E111" i="2"/>
  <c r="B112" i="2"/>
  <c r="O111" i="2"/>
  <c r="CH111" i="2"/>
  <c r="N111" i="2"/>
  <c r="BL111" i="2"/>
  <c r="AU111" i="2"/>
  <c r="K111" i="2"/>
  <c r="BG111" i="2"/>
  <c r="AN111" i="2"/>
  <c r="L111" i="2"/>
  <c r="BF111" i="2"/>
  <c r="AM111" i="2"/>
  <c r="J111" i="2"/>
  <c r="BD111" i="2"/>
  <c r="G111" i="2"/>
  <c r="BC111" i="2"/>
  <c r="AB111" i="2"/>
  <c r="F111" i="2"/>
  <c r="AR111" i="2"/>
  <c r="S111" i="2"/>
  <c r="BI111" i="2"/>
  <c r="AQ111" i="2"/>
  <c r="Q111" i="2"/>
  <c r="CG111" i="2"/>
  <c r="BH111" i="2"/>
  <c r="M111" i="2"/>
  <c r="H111" i="2"/>
  <c r="D111" i="2"/>
  <c r="BE111" i="2"/>
  <c r="C111" i="2"/>
  <c r="AA111" i="2"/>
  <c r="Y111" i="2"/>
  <c r="V111" i="2"/>
  <c r="BT111" i="2"/>
  <c r="U111" i="2"/>
  <c r="AS111" i="2"/>
  <c r="AT111" i="2"/>
  <c r="BV110" i="2"/>
  <c r="AH110" i="2"/>
  <c r="I110" i="2"/>
  <c r="AJ110" i="2" s="1"/>
  <c r="BA108" i="2"/>
  <c r="BU108" i="2" s="1"/>
  <c r="BX108" i="2" s="1"/>
  <c r="BY108" i="2" s="1"/>
  <c r="BP110" i="2"/>
  <c r="BO110" i="2"/>
  <c r="AY110" i="2"/>
  <c r="BW110" i="2"/>
  <c r="AP110" i="2"/>
  <c r="AW109" i="2"/>
  <c r="AD109" i="2"/>
  <c r="AZ109" i="2" s="1"/>
  <c r="BM109" i="2" s="1"/>
  <c r="AV109" i="2"/>
  <c r="CB109" i="2"/>
  <c r="AC109" i="2"/>
  <c r="AH109" i="2" s="1"/>
  <c r="AJ109" i="2" s="1"/>
  <c r="AK109" i="2" s="1"/>
  <c r="W110" i="2"/>
  <c r="CD110" i="2"/>
  <c r="AP111" i="2" l="1"/>
  <c r="BW111" i="2"/>
  <c r="BO108" i="2"/>
  <c r="AX109" i="2"/>
  <c r="CA109" i="2"/>
  <c r="AI109" i="2"/>
  <c r="BA109" i="2" s="1"/>
  <c r="BU109" i="2" s="1"/>
  <c r="BX109" i="2" s="1"/>
  <c r="BY109" i="2" s="1"/>
  <c r="I111" i="2"/>
  <c r="BC112" i="2"/>
  <c r="Y112" i="2"/>
  <c r="J112" i="2"/>
  <c r="BL112" i="2"/>
  <c r="S112" i="2"/>
  <c r="F112" i="2"/>
  <c r="AM112" i="2"/>
  <c r="Q112" i="2"/>
  <c r="B113" i="2"/>
  <c r="O112" i="2"/>
  <c r="CC112" i="2"/>
  <c r="L112" i="2"/>
  <c r="AS112" i="2"/>
  <c r="U112" i="2"/>
  <c r="BK112" i="2"/>
  <c r="AR112" i="2"/>
  <c r="R112" i="2"/>
  <c r="CG112" i="2"/>
  <c r="BH112" i="2"/>
  <c r="AO112" i="2"/>
  <c r="M112" i="2"/>
  <c r="BG112" i="2"/>
  <c r="AN112" i="2"/>
  <c r="K112" i="2"/>
  <c r="AA112" i="2"/>
  <c r="D112" i="2"/>
  <c r="BT112" i="2"/>
  <c r="AU112" i="2"/>
  <c r="C112" i="2"/>
  <c r="AT112" i="2"/>
  <c r="V112" i="2"/>
  <c r="CH112" i="2"/>
  <c r="AB112" i="2"/>
  <c r="N112" i="2"/>
  <c r="BE112" i="2"/>
  <c r="E112" i="2"/>
  <c r="BD112" i="2"/>
  <c r="AQ112" i="2"/>
  <c r="BF112" i="2"/>
  <c r="H112" i="2"/>
  <c r="G112" i="2"/>
  <c r="BI112" i="2"/>
  <c r="W111" i="2"/>
  <c r="CD111" i="2"/>
  <c r="BV111" i="2"/>
  <c r="BO111" i="2"/>
  <c r="BP111" i="2"/>
  <c r="CB110" i="2"/>
  <c r="AV110" i="2"/>
  <c r="AC110" i="2"/>
  <c r="AD110" i="2"/>
  <c r="AZ110" i="2" s="1"/>
  <c r="BM110" i="2" s="1"/>
  <c r="AW110" i="2"/>
  <c r="AI110" i="2"/>
  <c r="AK110" i="2"/>
  <c r="AY111" i="2"/>
  <c r="BN109" i="2"/>
  <c r="BQ109" i="2" s="1"/>
  <c r="BR109" i="2" s="1"/>
  <c r="BW112" i="2" l="1"/>
  <c r="AX110" i="2"/>
  <c r="CA110" i="2"/>
  <c r="CD112" i="2"/>
  <c r="W112" i="2"/>
  <c r="BP112" i="2"/>
  <c r="AY112" i="2"/>
  <c r="AH112" i="2"/>
  <c r="I112" i="2"/>
  <c r="AJ112" i="2" s="1"/>
  <c r="BA110" i="2"/>
  <c r="BU110" i="2" s="1"/>
  <c r="BX110" i="2" s="1"/>
  <c r="BY110" i="2" s="1"/>
  <c r="AP112" i="2"/>
  <c r="BV112" i="2"/>
  <c r="CG113" i="2"/>
  <c r="BD113" i="2"/>
  <c r="AQ113" i="2"/>
  <c r="AA113" i="2"/>
  <c r="K113" i="2"/>
  <c r="AM113" i="2"/>
  <c r="U113" i="2"/>
  <c r="G113" i="2"/>
  <c r="BT113" i="2"/>
  <c r="BC113" i="2"/>
  <c r="AN113" i="2"/>
  <c r="R113" i="2"/>
  <c r="C113" i="2"/>
  <c r="Q113" i="2"/>
  <c r="M113" i="2"/>
  <c r="AB113" i="2"/>
  <c r="E113" i="2"/>
  <c r="Y113" i="2"/>
  <c r="D113" i="2"/>
  <c r="AT113" i="2"/>
  <c r="V113" i="2"/>
  <c r="BL113" i="2"/>
  <c r="AS113" i="2"/>
  <c r="S113" i="2"/>
  <c r="BG113" i="2"/>
  <c r="BF113" i="2"/>
  <c r="BE113" i="2"/>
  <c r="H113" i="2"/>
  <c r="F113" i="2"/>
  <c r="CC113" i="2"/>
  <c r="J113" i="2"/>
  <c r="BK113" i="2"/>
  <c r="BI113" i="2"/>
  <c r="BH113" i="2"/>
  <c r="AU113" i="2"/>
  <c r="O113" i="2"/>
  <c r="B114" i="2"/>
  <c r="N113" i="2"/>
  <c r="CH113" i="2"/>
  <c r="L113" i="2"/>
  <c r="AR113" i="2"/>
  <c r="AO113" i="2"/>
  <c r="AW111" i="2"/>
  <c r="CB111" i="2"/>
  <c r="AC111" i="2"/>
  <c r="AH111" i="2" s="1"/>
  <c r="AJ111" i="2" s="1"/>
  <c r="AK111" i="2" s="1"/>
  <c r="AD111" i="2"/>
  <c r="AZ111" i="2" s="1"/>
  <c r="AV111" i="2"/>
  <c r="BN110" i="2"/>
  <c r="BQ110" i="2" s="1"/>
  <c r="BR110" i="2" s="1"/>
  <c r="BW113" i="2" l="1"/>
  <c r="AI111" i="2"/>
  <c r="BA111" i="2" s="1"/>
  <c r="BU111" i="2" s="1"/>
  <c r="BX111" i="2" s="1"/>
  <c r="BY111" i="2" s="1"/>
  <c r="AH113" i="2"/>
  <c r="I113" i="2"/>
  <c r="BP113" i="2"/>
  <c r="AV112" i="2"/>
  <c r="AD112" i="2"/>
  <c r="AZ112" i="2" s="1"/>
  <c r="BM112" i="2" s="1"/>
  <c r="CB112" i="2"/>
  <c r="AW112" i="2"/>
  <c r="AC112" i="2"/>
  <c r="AI112" i="2"/>
  <c r="AK112" i="2"/>
  <c r="AX111" i="2"/>
  <c r="AY113" i="2"/>
  <c r="BM111" i="2"/>
  <c r="BN111" i="2"/>
  <c r="BQ111" i="2" s="1"/>
  <c r="BR111" i="2" s="1"/>
  <c r="CD113" i="2"/>
  <c r="W113" i="2"/>
  <c r="CA111" i="2"/>
  <c r="BV113" i="2"/>
  <c r="CH114" i="2"/>
  <c r="BE114" i="2"/>
  <c r="AR114" i="2"/>
  <c r="AB114" i="2"/>
  <c r="L114" i="2"/>
  <c r="AN114" i="2"/>
  <c r="V114" i="2"/>
  <c r="H114" i="2"/>
  <c r="BD114" i="2"/>
  <c r="AO114" i="2"/>
  <c r="S114" i="2"/>
  <c r="D114" i="2"/>
  <c r="BT114" i="2"/>
  <c r="BC114" i="2"/>
  <c r="AM114" i="2"/>
  <c r="R114" i="2"/>
  <c r="C114" i="2"/>
  <c r="CG114" i="2"/>
  <c r="N114" i="2"/>
  <c r="BG114" i="2"/>
  <c r="J114" i="2"/>
  <c r="BF114" i="2"/>
  <c r="G114" i="2"/>
  <c r="F114" i="2"/>
  <c r="AA114" i="2"/>
  <c r="E114" i="2"/>
  <c r="BL114" i="2"/>
  <c r="AS114" i="2"/>
  <c r="Q114" i="2"/>
  <c r="B115" i="2"/>
  <c r="BK114" i="2"/>
  <c r="AQ114" i="2"/>
  <c r="O114" i="2"/>
  <c r="BI114" i="2"/>
  <c r="M114" i="2"/>
  <c r="CC114" i="2"/>
  <c r="BH114" i="2"/>
  <c r="K114" i="2"/>
  <c r="U114" i="2"/>
  <c r="AT114" i="2"/>
  <c r="Y114" i="2"/>
  <c r="AU114" i="2"/>
  <c r="AP113" i="2"/>
  <c r="BW114" i="2" l="1"/>
  <c r="CA112" i="2"/>
  <c r="B116" i="2"/>
  <c r="BT115" i="2"/>
  <c r="BF115" i="2"/>
  <c r="AS115" i="2"/>
  <c r="M115" i="2"/>
  <c r="CC115" i="2"/>
  <c r="AO115" i="2"/>
  <c r="BE115" i="2"/>
  <c r="U115" i="2"/>
  <c r="E115" i="2"/>
  <c r="BD115" i="2"/>
  <c r="AN115" i="2"/>
  <c r="S115" i="2"/>
  <c r="D115" i="2"/>
  <c r="CH115" i="2"/>
  <c r="O115" i="2"/>
  <c r="BL115" i="2"/>
  <c r="AR115" i="2"/>
  <c r="Q115" i="2"/>
  <c r="CG115" i="2"/>
  <c r="BK115" i="2"/>
  <c r="AQ115" i="2"/>
  <c r="N115" i="2"/>
  <c r="BI115" i="2"/>
  <c r="AM115" i="2"/>
  <c r="L115" i="2"/>
  <c r="BH115" i="2"/>
  <c r="K115" i="2"/>
  <c r="BG115" i="2"/>
  <c r="J115" i="2"/>
  <c r="AA115" i="2"/>
  <c r="C115" i="2"/>
  <c r="Y115" i="2"/>
  <c r="AU115" i="2"/>
  <c r="V115" i="2"/>
  <c r="AT115" i="2"/>
  <c r="R115" i="2"/>
  <c r="F115" i="2"/>
  <c r="BC115" i="2"/>
  <c r="AB115" i="2"/>
  <c r="H115" i="2"/>
  <c r="G115" i="2"/>
  <c r="BV114" i="2"/>
  <c r="AY114" i="2"/>
  <c r="AX112" i="2"/>
  <c r="AW113" i="2"/>
  <c r="AV113" i="2"/>
  <c r="CB113" i="2"/>
  <c r="AD113" i="2"/>
  <c r="AZ113" i="2" s="1"/>
  <c r="AC113" i="2"/>
  <c r="AI113" i="2"/>
  <c r="AK113" i="2"/>
  <c r="AP114" i="2"/>
  <c r="BP114" i="2"/>
  <c r="I114" i="2"/>
  <c r="BA112" i="2"/>
  <c r="BU112" i="2" s="1"/>
  <c r="BX112" i="2" s="1"/>
  <c r="BY112" i="2" s="1"/>
  <c r="AJ113" i="2"/>
  <c r="BN112" i="2"/>
  <c r="CD114" i="2"/>
  <c r="W114" i="2"/>
  <c r="BA113" i="2" l="1"/>
  <c r="BU113" i="2" s="1"/>
  <c r="BX113" i="2" s="1"/>
  <c r="BY113" i="2" s="1"/>
  <c r="AX113" i="2"/>
  <c r="AY115" i="2"/>
  <c r="BM113" i="2"/>
  <c r="BN113" i="2"/>
  <c r="BW115" i="2"/>
  <c r="I115" i="2"/>
  <c r="AH115" i="2"/>
  <c r="W115" i="2"/>
  <c r="CD115" i="2"/>
  <c r="BG116" i="2"/>
  <c r="AT116" i="2"/>
  <c r="N116" i="2"/>
  <c r="BC116" i="2"/>
  <c r="Y116" i="2"/>
  <c r="J116" i="2"/>
  <c r="BF116" i="2"/>
  <c r="AQ116" i="2"/>
  <c r="V116" i="2"/>
  <c r="F116" i="2"/>
  <c r="BE116" i="2"/>
  <c r="AO116" i="2"/>
  <c r="U116" i="2"/>
  <c r="E116" i="2"/>
  <c r="B117" i="2"/>
  <c r="Q116" i="2"/>
  <c r="AA116" i="2"/>
  <c r="C116" i="2"/>
  <c r="AU116" i="2"/>
  <c r="S116" i="2"/>
  <c r="AS116" i="2"/>
  <c r="R116" i="2"/>
  <c r="CH116" i="2"/>
  <c r="BL116" i="2"/>
  <c r="AR116" i="2"/>
  <c r="O116" i="2"/>
  <c r="BD116" i="2"/>
  <c r="H116" i="2"/>
  <c r="G116" i="2"/>
  <c r="BT116" i="2"/>
  <c r="AB116" i="2"/>
  <c r="D116" i="2"/>
  <c r="K116" i="2"/>
  <c r="CG116" i="2"/>
  <c r="CC116" i="2"/>
  <c r="BK116" i="2"/>
  <c r="AM116" i="2"/>
  <c r="M116" i="2"/>
  <c r="L116" i="2"/>
  <c r="AN116" i="2"/>
  <c r="BI116" i="2"/>
  <c r="BH116" i="2"/>
  <c r="CB114" i="2"/>
  <c r="AD114" i="2"/>
  <c r="AZ114" i="2" s="1"/>
  <c r="BM114" i="2" s="1"/>
  <c r="AC114" i="2"/>
  <c r="AH114" i="2" s="1"/>
  <c r="AJ114" i="2" s="1"/>
  <c r="AK114" i="2" s="1"/>
  <c r="AW114" i="2"/>
  <c r="AV114" i="2"/>
  <c r="CA113" i="2"/>
  <c r="AP115" i="2"/>
  <c r="BO112" i="2"/>
  <c r="BQ112" i="2"/>
  <c r="BR112" i="2" s="1"/>
  <c r="BP115" i="2"/>
  <c r="BV115" i="2"/>
  <c r="CA114" i="2" l="1"/>
  <c r="I116" i="2"/>
  <c r="AJ116" i="2" s="1"/>
  <c r="AH116" i="2"/>
  <c r="BV116" i="2"/>
  <c r="CD116" i="2"/>
  <c r="W116" i="2"/>
  <c r="AJ115" i="2"/>
  <c r="AP116" i="2"/>
  <c r="BO113" i="2"/>
  <c r="BQ113" i="2"/>
  <c r="BR113" i="2" s="1"/>
  <c r="AI114" i="2"/>
  <c r="BA114" i="2" s="1"/>
  <c r="BU114" i="2" s="1"/>
  <c r="BX114" i="2" s="1"/>
  <c r="BY114" i="2" s="1"/>
  <c r="BN114" i="2"/>
  <c r="AX114" i="2"/>
  <c r="BH117" i="2"/>
  <c r="AU117" i="2"/>
  <c r="O117" i="2"/>
  <c r="C117" i="2"/>
  <c r="CG117" i="2"/>
  <c r="BD117" i="2"/>
  <c r="AQ117" i="2"/>
  <c r="AA117" i="2"/>
  <c r="K117" i="2"/>
  <c r="BG117" i="2"/>
  <c r="AR117" i="2"/>
  <c r="G117" i="2"/>
  <c r="BF117" i="2"/>
  <c r="V117" i="2"/>
  <c r="F117" i="2"/>
  <c r="AM117" i="2"/>
  <c r="R117" i="2"/>
  <c r="BC117" i="2"/>
  <c r="H117" i="2"/>
  <c r="E117" i="2"/>
  <c r="BT117" i="2"/>
  <c r="AB117" i="2"/>
  <c r="D117" i="2"/>
  <c r="Y117" i="2"/>
  <c r="CH117" i="2"/>
  <c r="BL117" i="2"/>
  <c r="AO117" i="2"/>
  <c r="N117" i="2"/>
  <c r="BK117" i="2"/>
  <c r="AN117" i="2"/>
  <c r="M117" i="2"/>
  <c r="CC117" i="2"/>
  <c r="BI117" i="2"/>
  <c r="L117" i="2"/>
  <c r="BE117" i="2"/>
  <c r="J117" i="2"/>
  <c r="Q117" i="2"/>
  <c r="B118" i="2"/>
  <c r="AT117" i="2"/>
  <c r="AS117" i="2"/>
  <c r="U117" i="2"/>
  <c r="S117" i="2"/>
  <c r="AC115" i="2"/>
  <c r="CB115" i="2"/>
  <c r="AW115" i="2"/>
  <c r="AV115" i="2"/>
  <c r="AD115" i="2"/>
  <c r="AZ115" i="2" s="1"/>
  <c r="BM115" i="2" s="1"/>
  <c r="AK115" i="2"/>
  <c r="AI115" i="2"/>
  <c r="AY116" i="2"/>
  <c r="BP116" i="2"/>
  <c r="BW116" i="2"/>
  <c r="AX115" i="2" l="1"/>
  <c r="AP117" i="2"/>
  <c r="W117" i="2"/>
  <c r="CD117" i="2"/>
  <c r="BV117" i="2"/>
  <c r="BA115" i="2"/>
  <c r="BU115" i="2" s="1"/>
  <c r="BX115" i="2" s="1"/>
  <c r="BY115" i="2" s="1"/>
  <c r="BW117" i="2"/>
  <c r="AY117" i="2"/>
  <c r="CA115" i="2"/>
  <c r="AH117" i="2"/>
  <c r="I117" i="2"/>
  <c r="AJ117" i="2" s="1"/>
  <c r="BP117" i="2"/>
  <c r="BO114" i="2"/>
  <c r="BQ114" i="2"/>
  <c r="BR114" i="2" s="1"/>
  <c r="AD116" i="2"/>
  <c r="AZ116" i="2" s="1"/>
  <c r="BM116" i="2" s="1"/>
  <c r="AW116" i="2"/>
  <c r="AV116" i="2"/>
  <c r="AC116" i="2"/>
  <c r="CB116" i="2"/>
  <c r="AK116" i="2"/>
  <c r="AI116" i="2"/>
  <c r="BI118" i="2"/>
  <c r="Q118" i="2"/>
  <c r="D118" i="2"/>
  <c r="BH118" i="2"/>
  <c r="AU118" i="2"/>
  <c r="O118" i="2"/>
  <c r="C118" i="2"/>
  <c r="BG118" i="2"/>
  <c r="AT118" i="2"/>
  <c r="N118" i="2"/>
  <c r="CH118" i="2"/>
  <c r="BE118" i="2"/>
  <c r="AR118" i="2"/>
  <c r="AB118" i="2"/>
  <c r="L118" i="2"/>
  <c r="BT118" i="2"/>
  <c r="H118" i="2"/>
  <c r="E118" i="2"/>
  <c r="S118" i="2"/>
  <c r="AS118" i="2"/>
  <c r="R118" i="2"/>
  <c r="AQ118" i="2"/>
  <c r="M118" i="2"/>
  <c r="K118" i="2"/>
  <c r="AO118" i="2"/>
  <c r="J118" i="2"/>
  <c r="CG118" i="2"/>
  <c r="BF118" i="2"/>
  <c r="AA118" i="2"/>
  <c r="BD118" i="2"/>
  <c r="Y118" i="2"/>
  <c r="CC118" i="2"/>
  <c r="BC118" i="2"/>
  <c r="V118" i="2"/>
  <c r="U118" i="2"/>
  <c r="G118" i="2"/>
  <c r="F118" i="2"/>
  <c r="BL118" i="2"/>
  <c r="BK118" i="2"/>
  <c r="AN118" i="2"/>
  <c r="AM118" i="2"/>
  <c r="B119" i="2"/>
  <c r="BN115" i="2"/>
  <c r="AX116" i="2" l="1"/>
  <c r="CA116" i="2"/>
  <c r="AP118" i="2"/>
  <c r="W118" i="2"/>
  <c r="CD118" i="2"/>
  <c r="CH119" i="2"/>
  <c r="BK119" i="2"/>
  <c r="R119" i="2"/>
  <c r="E119" i="2"/>
  <c r="BI119" i="2"/>
  <c r="Q119" i="2"/>
  <c r="D119" i="2"/>
  <c r="BH119" i="2"/>
  <c r="AU119" i="2"/>
  <c r="O119" i="2"/>
  <c r="C119" i="2"/>
  <c r="BF119" i="2"/>
  <c r="AS119" i="2"/>
  <c r="M119" i="2"/>
  <c r="BC119" i="2"/>
  <c r="J119" i="2"/>
  <c r="Y119" i="2"/>
  <c r="F119" i="2"/>
  <c r="CC119" i="2"/>
  <c r="U119" i="2"/>
  <c r="AT119" i="2"/>
  <c r="S119" i="2"/>
  <c r="BT119" i="2"/>
  <c r="AR119" i="2"/>
  <c r="N119" i="2"/>
  <c r="AQ119" i="2"/>
  <c r="L119" i="2"/>
  <c r="K119" i="2"/>
  <c r="BG119" i="2"/>
  <c r="AB119" i="2"/>
  <c r="BE119" i="2"/>
  <c r="AA119" i="2"/>
  <c r="B120" i="2"/>
  <c r="BD119" i="2"/>
  <c r="CG119" i="2"/>
  <c r="V119" i="2"/>
  <c r="BL119" i="2"/>
  <c r="AO119" i="2"/>
  <c r="AN119" i="2"/>
  <c r="AM119" i="2"/>
  <c r="H119" i="2"/>
  <c r="G119" i="2"/>
  <c r="AY118" i="2"/>
  <c r="I118" i="2"/>
  <c r="BP118" i="2"/>
  <c r="BA116" i="2"/>
  <c r="BU116" i="2" s="1"/>
  <c r="BX116" i="2" s="1"/>
  <c r="BY116" i="2" s="1"/>
  <c r="BW118" i="2"/>
  <c r="BQ115" i="2"/>
  <c r="BR115" i="2" s="1"/>
  <c r="BO115" i="2"/>
  <c r="BV118" i="2"/>
  <c r="AD117" i="2"/>
  <c r="AZ117" i="2" s="1"/>
  <c r="BM117" i="2" s="1"/>
  <c r="AC117" i="2"/>
  <c r="AW117" i="2"/>
  <c r="CB117" i="2"/>
  <c r="AV117" i="2"/>
  <c r="AK117" i="2"/>
  <c r="AI117" i="2"/>
  <c r="BN116" i="2"/>
  <c r="AX117" i="2" l="1"/>
  <c r="AP119" i="2"/>
  <c r="BA117" i="2"/>
  <c r="BU117" i="2" s="1"/>
  <c r="BX117" i="2" s="1"/>
  <c r="BY117" i="2" s="1"/>
  <c r="AH119" i="2"/>
  <c r="I119" i="2"/>
  <c r="BQ116" i="2"/>
  <c r="BR116" i="2" s="1"/>
  <c r="BO116" i="2"/>
  <c r="BP119" i="2"/>
  <c r="BO119" i="2"/>
  <c r="BV119" i="2"/>
  <c r="AY119" i="2"/>
  <c r="BN117" i="2"/>
  <c r="AV118" i="2"/>
  <c r="AD118" i="2"/>
  <c r="AZ118" i="2" s="1"/>
  <c r="CA118" i="2" s="1"/>
  <c r="AC118" i="2"/>
  <c r="AH118" i="2" s="1"/>
  <c r="AJ118" i="2" s="1"/>
  <c r="AK118" i="2" s="1"/>
  <c r="AW118" i="2"/>
  <c r="CB118" i="2"/>
  <c r="W119" i="2"/>
  <c r="CA117" i="2"/>
  <c r="B121" i="2"/>
  <c r="BT120" i="2"/>
  <c r="BF120" i="2"/>
  <c r="AS120" i="2"/>
  <c r="M120" i="2"/>
  <c r="BE120" i="2"/>
  <c r="AQ120" i="2"/>
  <c r="Y120" i="2"/>
  <c r="BD120" i="2"/>
  <c r="H120" i="2"/>
  <c r="CH120" i="2"/>
  <c r="BC120" i="2"/>
  <c r="AO120" i="2"/>
  <c r="V120" i="2"/>
  <c r="G120" i="2"/>
  <c r="AM120" i="2"/>
  <c r="S120" i="2"/>
  <c r="E120" i="2"/>
  <c r="BL120" i="2"/>
  <c r="AR120" i="2"/>
  <c r="O120" i="2"/>
  <c r="CG120" i="2"/>
  <c r="BK120" i="2"/>
  <c r="AN120" i="2"/>
  <c r="N120" i="2"/>
  <c r="BG120" i="2"/>
  <c r="J120" i="2"/>
  <c r="BH120" i="2"/>
  <c r="AB120" i="2"/>
  <c r="AA120" i="2"/>
  <c r="CC120" i="2"/>
  <c r="U120" i="2"/>
  <c r="R120" i="2"/>
  <c r="Q120" i="2"/>
  <c r="D120" i="2"/>
  <c r="C120" i="2"/>
  <c r="BI120" i="2"/>
  <c r="K120" i="2"/>
  <c r="F120" i="2"/>
  <c r="AU120" i="2"/>
  <c r="AT120" i="2"/>
  <c r="L120" i="2"/>
  <c r="BW119" i="2"/>
  <c r="BW120" i="2" l="1"/>
  <c r="AI118" i="2"/>
  <c r="BA118" i="2" s="1"/>
  <c r="BU118" i="2" s="1"/>
  <c r="BX118" i="2" s="1"/>
  <c r="BY118" i="2" s="1"/>
  <c r="BO120" i="2"/>
  <c r="BP120" i="2"/>
  <c r="BV120" i="2"/>
  <c r="BM118" i="2"/>
  <c r="BN118" i="2"/>
  <c r="AY120" i="2"/>
  <c r="I120" i="2"/>
  <c r="AH120" i="2"/>
  <c r="AX118" i="2"/>
  <c r="AW119" i="2"/>
  <c r="AV119" i="2"/>
  <c r="AC119" i="2"/>
  <c r="AD119" i="2"/>
  <c r="AZ119" i="2" s="1"/>
  <c r="BM119" i="2" s="1"/>
  <c r="CB119" i="2"/>
  <c r="AK119" i="2"/>
  <c r="AI119" i="2"/>
  <c r="BQ117" i="2"/>
  <c r="BR117" i="2" s="1"/>
  <c r="BO117" i="2"/>
  <c r="W120" i="2"/>
  <c r="CD120" i="2"/>
  <c r="BG121" i="2"/>
  <c r="AT121" i="2"/>
  <c r="N121" i="2"/>
  <c r="CC121" i="2"/>
  <c r="R121" i="2"/>
  <c r="D121" i="2"/>
  <c r="Q121" i="2"/>
  <c r="C121" i="2"/>
  <c r="BL121" i="2"/>
  <c r="O121" i="2"/>
  <c r="BI121" i="2"/>
  <c r="AU121" i="2"/>
  <c r="L121" i="2"/>
  <c r="BT121" i="2"/>
  <c r="Y121" i="2"/>
  <c r="E121" i="2"/>
  <c r="AQ121" i="2"/>
  <c r="S121" i="2"/>
  <c r="AN121" i="2"/>
  <c r="G121" i="2"/>
  <c r="BK121" i="2"/>
  <c r="AM121" i="2"/>
  <c r="F121" i="2"/>
  <c r="BH121" i="2"/>
  <c r="BF121" i="2"/>
  <c r="AB121" i="2"/>
  <c r="B122" i="2"/>
  <c r="BE121" i="2"/>
  <c r="AA121" i="2"/>
  <c r="AS121" i="2"/>
  <c r="K121" i="2"/>
  <c r="AR121" i="2"/>
  <c r="J121" i="2"/>
  <c r="AO121" i="2"/>
  <c r="H121" i="2"/>
  <c r="M121" i="2"/>
  <c r="CH121" i="2"/>
  <c r="BC121" i="2"/>
  <c r="V121" i="2"/>
  <c r="U121" i="2"/>
  <c r="BD121" i="2"/>
  <c r="CG121" i="2"/>
  <c r="AP120" i="2"/>
  <c r="AJ119" i="2"/>
  <c r="BA119" i="2" l="1"/>
  <c r="BU119" i="2" s="1"/>
  <c r="BX119" i="2" s="1"/>
  <c r="BY119" i="2" s="1"/>
  <c r="CA119" i="2"/>
  <c r="W121" i="2"/>
  <c r="CD121" i="2"/>
  <c r="AH121" i="2"/>
  <c r="I121" i="2"/>
  <c r="AC120" i="2"/>
  <c r="CB120" i="2"/>
  <c r="AW120" i="2"/>
  <c r="AD120" i="2"/>
  <c r="AZ120" i="2" s="1"/>
  <c r="BM120" i="2" s="1"/>
  <c r="AV120" i="2"/>
  <c r="AK120" i="2"/>
  <c r="AI120" i="2"/>
  <c r="BO118" i="2"/>
  <c r="BQ118" i="2"/>
  <c r="BR118" i="2" s="1"/>
  <c r="BW121" i="2"/>
  <c r="AX119" i="2"/>
  <c r="BH122" i="2"/>
  <c r="AU122" i="2"/>
  <c r="O122" i="2"/>
  <c r="C122" i="2"/>
  <c r="BG122" i="2"/>
  <c r="AS122" i="2"/>
  <c r="AB122" i="2"/>
  <c r="K122" i="2"/>
  <c r="BF122" i="2"/>
  <c r="AR122" i="2"/>
  <c r="AA122" i="2"/>
  <c r="J122" i="2"/>
  <c r="BT122" i="2"/>
  <c r="BE122" i="2"/>
  <c r="AQ122" i="2"/>
  <c r="Y122" i="2"/>
  <c r="CH122" i="2"/>
  <c r="BC122" i="2"/>
  <c r="AO122" i="2"/>
  <c r="V122" i="2"/>
  <c r="G122" i="2"/>
  <c r="CC122" i="2"/>
  <c r="BI122" i="2"/>
  <c r="L122" i="2"/>
  <c r="BD122" i="2"/>
  <c r="H122" i="2"/>
  <c r="D122" i="2"/>
  <c r="N122" i="2"/>
  <c r="AT122" i="2"/>
  <c r="M122" i="2"/>
  <c r="F122" i="2"/>
  <c r="AN122" i="2"/>
  <c r="E122" i="2"/>
  <c r="AM122" i="2"/>
  <c r="B123" i="2"/>
  <c r="U122" i="2"/>
  <c r="CG122" i="2"/>
  <c r="S122" i="2"/>
  <c r="R122" i="2"/>
  <c r="Q122" i="2"/>
  <c r="BK122" i="2"/>
  <c r="BL122" i="2"/>
  <c r="BV121" i="2"/>
  <c r="BO121" i="2"/>
  <c r="BP121" i="2"/>
  <c r="BN119" i="2"/>
  <c r="BQ119" i="2" s="1"/>
  <c r="BR119" i="2" s="1"/>
  <c r="AP121" i="2"/>
  <c r="AY121" i="2"/>
  <c r="AJ120" i="2"/>
  <c r="BW122" i="2" l="1"/>
  <c r="AY122" i="2"/>
  <c r="CD122" i="2"/>
  <c r="W122" i="2"/>
  <c r="CA120" i="2"/>
  <c r="BI123" i="2"/>
  <c r="Q123" i="2"/>
  <c r="D123" i="2"/>
  <c r="CG123" i="2"/>
  <c r="AN123" i="2"/>
  <c r="U123" i="2"/>
  <c r="F123" i="2"/>
  <c r="AM123" i="2"/>
  <c r="S123" i="2"/>
  <c r="E123" i="2"/>
  <c r="CC123" i="2"/>
  <c r="R123" i="2"/>
  <c r="C123" i="2"/>
  <c r="BL123" i="2"/>
  <c r="N123" i="2"/>
  <c r="AS123" i="2"/>
  <c r="V123" i="2"/>
  <c r="AR123" i="2"/>
  <c r="O123" i="2"/>
  <c r="CH123" i="2"/>
  <c r="BG123" i="2"/>
  <c r="AO123" i="2"/>
  <c r="K123" i="2"/>
  <c r="B124" i="2"/>
  <c r="BD123" i="2"/>
  <c r="Y123" i="2"/>
  <c r="BC123" i="2"/>
  <c r="M123" i="2"/>
  <c r="AU123" i="2"/>
  <c r="L123" i="2"/>
  <c r="AT123" i="2"/>
  <c r="J123" i="2"/>
  <c r="BK123" i="2"/>
  <c r="BH123" i="2"/>
  <c r="BF123" i="2"/>
  <c r="AB123" i="2"/>
  <c r="BE123" i="2"/>
  <c r="AA123" i="2"/>
  <c r="BT123" i="2"/>
  <c r="AQ123" i="2"/>
  <c r="H123" i="2"/>
  <c r="G123" i="2"/>
  <c r="AD121" i="2"/>
  <c r="AZ121" i="2" s="1"/>
  <c r="BM121" i="2" s="1"/>
  <c r="CB121" i="2"/>
  <c r="AW121" i="2"/>
  <c r="AC121" i="2"/>
  <c r="AV121" i="2"/>
  <c r="AI121" i="2"/>
  <c r="AK121" i="2"/>
  <c r="BP122" i="2"/>
  <c r="BO122" i="2"/>
  <c r="AP122" i="2"/>
  <c r="AJ121" i="2"/>
  <c r="I122" i="2"/>
  <c r="BA120" i="2"/>
  <c r="BU120" i="2" s="1"/>
  <c r="BX120" i="2" s="1"/>
  <c r="BY120" i="2" s="1"/>
  <c r="BV122" i="2"/>
  <c r="AX120" i="2"/>
  <c r="BN120" i="2"/>
  <c r="BQ120" i="2" s="1"/>
  <c r="BR120" i="2" s="1"/>
  <c r="CA121" i="2" l="1"/>
  <c r="AP123" i="2"/>
  <c r="BN121" i="2"/>
  <c r="BQ121" i="2" s="1"/>
  <c r="BR121" i="2" s="1"/>
  <c r="I123" i="2"/>
  <c r="BV123" i="2"/>
  <c r="BA121" i="2"/>
  <c r="BU121" i="2" s="1"/>
  <c r="BX121" i="2" s="1"/>
  <c r="BY121" i="2" s="1"/>
  <c r="AX121" i="2"/>
  <c r="AY123" i="2"/>
  <c r="CD123" i="2"/>
  <c r="W123" i="2"/>
  <c r="BK124" i="2"/>
  <c r="R124" i="2"/>
  <c r="E124" i="2"/>
  <c r="BI124" i="2"/>
  <c r="AU124" i="2"/>
  <c r="M124" i="2"/>
  <c r="BH124" i="2"/>
  <c r="AT124" i="2"/>
  <c r="L124" i="2"/>
  <c r="BG124" i="2"/>
  <c r="AS124" i="2"/>
  <c r="AB124" i="2"/>
  <c r="K124" i="2"/>
  <c r="BT124" i="2"/>
  <c r="BE124" i="2"/>
  <c r="AQ124" i="2"/>
  <c r="Y124" i="2"/>
  <c r="F124" i="2"/>
  <c r="AA124" i="2"/>
  <c r="D124" i="2"/>
  <c r="U124" i="2"/>
  <c r="BF124" i="2"/>
  <c r="AM124" i="2"/>
  <c r="CC124" i="2"/>
  <c r="BD124" i="2"/>
  <c r="BC124" i="2"/>
  <c r="G124" i="2"/>
  <c r="B125" i="2"/>
  <c r="CH124" i="2"/>
  <c r="AO124" i="2"/>
  <c r="CG124" i="2"/>
  <c r="AN124" i="2"/>
  <c r="V124" i="2"/>
  <c r="BL124" i="2"/>
  <c r="N124" i="2"/>
  <c r="J124" i="2"/>
  <c r="H124" i="2"/>
  <c r="AR124" i="2"/>
  <c r="C124" i="2"/>
  <c r="O124" i="2"/>
  <c r="S124" i="2"/>
  <c r="Q124" i="2"/>
  <c r="CB122" i="2"/>
  <c r="AC122" i="2"/>
  <c r="AH122" i="2" s="1"/>
  <c r="AJ122" i="2" s="1"/>
  <c r="AK122" i="2" s="1"/>
  <c r="AV122" i="2"/>
  <c r="AW122" i="2"/>
  <c r="AD122" i="2"/>
  <c r="AZ122" i="2" s="1"/>
  <c r="BM122" i="2" s="1"/>
  <c r="BW123" i="2"/>
  <c r="BP123" i="2"/>
  <c r="BO123" i="2"/>
  <c r="AX122" i="2" l="1"/>
  <c r="BN122" i="2"/>
  <c r="BQ122" i="2" s="1"/>
  <c r="BR122" i="2" s="1"/>
  <c r="BW124" i="2"/>
  <c r="CA122" i="2"/>
  <c r="BV124" i="2"/>
  <c r="AP124" i="2"/>
  <c r="CD124" i="2"/>
  <c r="W124" i="2"/>
  <c r="BL125" i="2"/>
  <c r="S125" i="2"/>
  <c r="F125" i="2"/>
  <c r="B126" i="2"/>
  <c r="BD125" i="2"/>
  <c r="H125" i="2"/>
  <c r="CH125" i="2"/>
  <c r="BC125" i="2"/>
  <c r="AO125" i="2"/>
  <c r="V125" i="2"/>
  <c r="G125" i="2"/>
  <c r="CG125" i="2"/>
  <c r="AN125" i="2"/>
  <c r="U125" i="2"/>
  <c r="E125" i="2"/>
  <c r="CC125" i="2"/>
  <c r="Q125" i="2"/>
  <c r="C125" i="2"/>
  <c r="BI125" i="2"/>
  <c r="AQ125" i="2"/>
  <c r="M125" i="2"/>
  <c r="BH125" i="2"/>
  <c r="AM125" i="2"/>
  <c r="L125" i="2"/>
  <c r="BG125" i="2"/>
  <c r="K125" i="2"/>
  <c r="BE125" i="2"/>
  <c r="AT125" i="2"/>
  <c r="R125" i="2"/>
  <c r="AS125" i="2"/>
  <c r="O125" i="2"/>
  <c r="BK125" i="2"/>
  <c r="AR125" i="2"/>
  <c r="N125" i="2"/>
  <c r="BF125" i="2"/>
  <c r="AU125" i="2"/>
  <c r="AA125" i="2"/>
  <c r="Y125" i="2"/>
  <c r="J125" i="2"/>
  <c r="BT125" i="2"/>
  <c r="D125" i="2"/>
  <c r="AB125" i="2"/>
  <c r="AY124" i="2"/>
  <c r="AI122" i="2"/>
  <c r="BA122" i="2" s="1"/>
  <c r="BU122" i="2" s="1"/>
  <c r="BX122" i="2" s="1"/>
  <c r="BY122" i="2" s="1"/>
  <c r="BP124" i="2"/>
  <c r="BO124" i="2"/>
  <c r="AV123" i="2"/>
  <c r="AW123" i="2"/>
  <c r="CB123" i="2"/>
  <c r="AD123" i="2"/>
  <c r="AZ123" i="2" s="1"/>
  <c r="CA123" i="2" s="1"/>
  <c r="AC123" i="2"/>
  <c r="AH123" i="2" s="1"/>
  <c r="AJ123" i="2" s="1"/>
  <c r="AK123" i="2" s="1"/>
  <c r="I124" i="2"/>
  <c r="AH124" i="2"/>
  <c r="AP125" i="2" l="1"/>
  <c r="BW125" i="2"/>
  <c r="AM126" i="2"/>
  <c r="U126" i="2"/>
  <c r="G126" i="2"/>
  <c r="BL126" i="2"/>
  <c r="O126" i="2"/>
  <c r="BK126" i="2"/>
  <c r="N126" i="2"/>
  <c r="BI126" i="2"/>
  <c r="AU126" i="2"/>
  <c r="M126" i="2"/>
  <c r="BG126" i="2"/>
  <c r="AS126" i="2"/>
  <c r="AB126" i="2"/>
  <c r="K126" i="2"/>
  <c r="C126" i="2"/>
  <c r="AT126" i="2"/>
  <c r="V126" i="2"/>
  <c r="AR126" i="2"/>
  <c r="S126" i="2"/>
  <c r="B127" i="2"/>
  <c r="Q126" i="2"/>
  <c r="BC126" i="2"/>
  <c r="F126" i="2"/>
  <c r="AA126" i="2"/>
  <c r="E126" i="2"/>
  <c r="BT126" i="2"/>
  <c r="Y126" i="2"/>
  <c r="D126" i="2"/>
  <c r="CH126" i="2"/>
  <c r="CG126" i="2"/>
  <c r="R126" i="2"/>
  <c r="CC126" i="2"/>
  <c r="L126" i="2"/>
  <c r="J126" i="2"/>
  <c r="BD126" i="2"/>
  <c r="AQ126" i="2"/>
  <c r="AO126" i="2"/>
  <c r="AN126" i="2"/>
  <c r="BE126" i="2"/>
  <c r="H126" i="2"/>
  <c r="BH126" i="2"/>
  <c r="BF126" i="2"/>
  <c r="W125" i="2"/>
  <c r="CD125" i="2"/>
  <c r="AI123" i="2"/>
  <c r="BA123" i="2" s="1"/>
  <c r="BU123" i="2" s="1"/>
  <c r="BX123" i="2" s="1"/>
  <c r="BY123" i="2" s="1"/>
  <c r="AX123" i="2"/>
  <c r="AW124" i="2"/>
  <c r="AD124" i="2"/>
  <c r="AZ124" i="2" s="1"/>
  <c r="BM124" i="2" s="1"/>
  <c r="AC124" i="2"/>
  <c r="AV124" i="2"/>
  <c r="CB124" i="2"/>
  <c r="AK124" i="2"/>
  <c r="AI124" i="2"/>
  <c r="AJ124" i="2"/>
  <c r="BP125" i="2"/>
  <c r="BO125" i="2"/>
  <c r="BV125" i="2"/>
  <c r="BM123" i="2"/>
  <c r="BN123" i="2"/>
  <c r="BQ123" i="2" s="1"/>
  <c r="BR123" i="2" s="1"/>
  <c r="I125" i="2"/>
  <c r="AJ125" i="2" s="1"/>
  <c r="AH125" i="2"/>
  <c r="AY125" i="2"/>
  <c r="CA124" i="2" l="1"/>
  <c r="BN124" i="2"/>
  <c r="BQ124" i="2" s="1"/>
  <c r="BR124" i="2" s="1"/>
  <c r="AX124" i="2"/>
  <c r="AP126" i="2"/>
  <c r="W126" i="2"/>
  <c r="CD126" i="2"/>
  <c r="CB125" i="2"/>
  <c r="AD125" i="2"/>
  <c r="AZ125" i="2" s="1"/>
  <c r="BM125" i="2" s="1"/>
  <c r="AW125" i="2"/>
  <c r="AV125" i="2"/>
  <c r="AC125" i="2"/>
  <c r="AK125" i="2"/>
  <c r="AI125" i="2"/>
  <c r="BA124" i="2"/>
  <c r="BU124" i="2" s="1"/>
  <c r="BX124" i="2" s="1"/>
  <c r="BY124" i="2" s="1"/>
  <c r="AN127" i="2"/>
  <c r="V127" i="2"/>
  <c r="H127" i="2"/>
  <c r="BF127" i="2"/>
  <c r="AR127" i="2"/>
  <c r="AA127" i="2"/>
  <c r="J127" i="2"/>
  <c r="BT127" i="2"/>
  <c r="BE127" i="2"/>
  <c r="AQ127" i="2"/>
  <c r="Y127" i="2"/>
  <c r="B128" i="2"/>
  <c r="BD127" i="2"/>
  <c r="G127" i="2"/>
  <c r="CG127" i="2"/>
  <c r="AM127" i="2"/>
  <c r="S127" i="2"/>
  <c r="E127" i="2"/>
  <c r="BG127" i="2"/>
  <c r="K127" i="2"/>
  <c r="BC127" i="2"/>
  <c r="F127" i="2"/>
  <c r="D127" i="2"/>
  <c r="AB127" i="2"/>
  <c r="CH127" i="2"/>
  <c r="BK127" i="2"/>
  <c r="AO127" i="2"/>
  <c r="N127" i="2"/>
  <c r="BI127" i="2"/>
  <c r="M127" i="2"/>
  <c r="CC127" i="2"/>
  <c r="BH127" i="2"/>
  <c r="L127" i="2"/>
  <c r="BL127" i="2"/>
  <c r="AU127" i="2"/>
  <c r="AT127" i="2"/>
  <c r="R127" i="2"/>
  <c r="Q127" i="2"/>
  <c r="O127" i="2"/>
  <c r="C127" i="2"/>
  <c r="U127" i="2"/>
  <c r="AS127" i="2"/>
  <c r="I126" i="2"/>
  <c r="BW126" i="2"/>
  <c r="AY126" i="2"/>
  <c r="BP126" i="2"/>
  <c r="BV126" i="2"/>
  <c r="AX125" i="2" l="1"/>
  <c r="BA125" i="2"/>
  <c r="BU125" i="2" s="1"/>
  <c r="BX125" i="2" s="1"/>
  <c r="BY125" i="2" s="1"/>
  <c r="BW127" i="2"/>
  <c r="BV127" i="2"/>
  <c r="CA125" i="2"/>
  <c r="AY127" i="2"/>
  <c r="BP127" i="2"/>
  <c r="BO127" i="2"/>
  <c r="W127" i="2"/>
  <c r="CD127" i="2"/>
  <c r="AP127" i="2"/>
  <c r="CB126" i="2"/>
  <c r="AW126" i="2"/>
  <c r="AV126" i="2"/>
  <c r="AD126" i="2"/>
  <c r="AZ126" i="2" s="1"/>
  <c r="BM126" i="2" s="1"/>
  <c r="AC126" i="2"/>
  <c r="AH126" i="2" s="1"/>
  <c r="AJ126" i="2" s="1"/>
  <c r="AK126" i="2" s="1"/>
  <c r="I127" i="2"/>
  <c r="AJ127" i="2" s="1"/>
  <c r="AH127" i="2"/>
  <c r="CC128" i="2"/>
  <c r="AO128" i="2"/>
  <c r="R128" i="2"/>
  <c r="D128" i="2"/>
  <c r="Q128" i="2"/>
  <c r="C128" i="2"/>
  <c r="BL128" i="2"/>
  <c r="O128" i="2"/>
  <c r="BI128" i="2"/>
  <c r="AU128" i="2"/>
  <c r="M128" i="2"/>
  <c r="AR128" i="2"/>
  <c r="S128" i="2"/>
  <c r="BK128" i="2"/>
  <c r="AQ128" i="2"/>
  <c r="N128" i="2"/>
  <c r="B129" i="2"/>
  <c r="BH128" i="2"/>
  <c r="L128" i="2"/>
  <c r="CG128" i="2"/>
  <c r="BF128" i="2"/>
  <c r="AM128" i="2"/>
  <c r="J128" i="2"/>
  <c r="BT128" i="2"/>
  <c r="Y128" i="2"/>
  <c r="AT128" i="2"/>
  <c r="V128" i="2"/>
  <c r="AS128" i="2"/>
  <c r="U128" i="2"/>
  <c r="CH128" i="2"/>
  <c r="AB128" i="2"/>
  <c r="AA128" i="2"/>
  <c r="K128" i="2"/>
  <c r="H128" i="2"/>
  <c r="BC128" i="2"/>
  <c r="AN128" i="2"/>
  <c r="BG128" i="2"/>
  <c r="BE128" i="2"/>
  <c r="BD128" i="2"/>
  <c r="G128" i="2"/>
  <c r="F128" i="2"/>
  <c r="E128" i="2"/>
  <c r="BN125" i="2"/>
  <c r="BQ125" i="2" s="1"/>
  <c r="BR125" i="2" s="1"/>
  <c r="AI126" i="2" l="1"/>
  <c r="BA126" i="2" s="1"/>
  <c r="BU126" i="2" s="1"/>
  <c r="BX126" i="2" s="1"/>
  <c r="BY126" i="2" s="1"/>
  <c r="AP128" i="2"/>
  <c r="AX126" i="2"/>
  <c r="CB127" i="2"/>
  <c r="AD127" i="2"/>
  <c r="AZ127" i="2" s="1"/>
  <c r="BM127" i="2" s="1"/>
  <c r="AW127" i="2"/>
  <c r="AV127" i="2"/>
  <c r="AC127" i="2"/>
  <c r="AI127" i="2"/>
  <c r="AK127" i="2"/>
  <c r="I128" i="2"/>
  <c r="AJ128" i="2" s="1"/>
  <c r="AH128" i="2"/>
  <c r="BW128" i="2"/>
  <c r="BV128" i="2"/>
  <c r="W128" i="2"/>
  <c r="CD128" i="2"/>
  <c r="BC129" i="2"/>
  <c r="Y129" i="2"/>
  <c r="J129" i="2"/>
  <c r="BL129" i="2"/>
  <c r="S129" i="2"/>
  <c r="CC129" i="2"/>
  <c r="L129" i="2"/>
  <c r="BK129" i="2"/>
  <c r="AU129" i="2"/>
  <c r="K129" i="2"/>
  <c r="BI129" i="2"/>
  <c r="AT129" i="2"/>
  <c r="AB129" i="2"/>
  <c r="BG129" i="2"/>
  <c r="AR129" i="2"/>
  <c r="G129" i="2"/>
  <c r="CG129" i="2"/>
  <c r="BD129" i="2"/>
  <c r="D129" i="2"/>
  <c r="AA129" i="2"/>
  <c r="C129" i="2"/>
  <c r="V129" i="2"/>
  <c r="BT129" i="2"/>
  <c r="R129" i="2"/>
  <c r="BH129" i="2"/>
  <c r="AM129" i="2"/>
  <c r="H129" i="2"/>
  <c r="B130" i="2"/>
  <c r="BF129" i="2"/>
  <c r="F129" i="2"/>
  <c r="CH129" i="2"/>
  <c r="BE129" i="2"/>
  <c r="E129" i="2"/>
  <c r="AS129" i="2"/>
  <c r="AQ129" i="2"/>
  <c r="Q129" i="2"/>
  <c r="O129" i="2"/>
  <c r="N129" i="2"/>
  <c r="M129" i="2"/>
  <c r="U129" i="2"/>
  <c r="AO129" i="2"/>
  <c r="AN129" i="2"/>
  <c r="BP128" i="2"/>
  <c r="AY128" i="2"/>
  <c r="CA126" i="2"/>
  <c r="BN126" i="2"/>
  <c r="BA127" i="2" l="1"/>
  <c r="BU127" i="2" s="1"/>
  <c r="BX127" i="2" s="1"/>
  <c r="BY127" i="2" s="1"/>
  <c r="BW129" i="2"/>
  <c r="AP129" i="2"/>
  <c r="AX127" i="2"/>
  <c r="CG130" i="2"/>
  <c r="BD130" i="2"/>
  <c r="AQ130" i="2"/>
  <c r="AA130" i="2"/>
  <c r="K130" i="2"/>
  <c r="AM130" i="2"/>
  <c r="U130" i="2"/>
  <c r="G130" i="2"/>
  <c r="M130" i="2"/>
  <c r="CC130" i="2"/>
  <c r="BL130" i="2"/>
  <c r="L130" i="2"/>
  <c r="BK130" i="2"/>
  <c r="AU130" i="2"/>
  <c r="J130" i="2"/>
  <c r="BH130" i="2"/>
  <c r="AS130" i="2"/>
  <c r="Y130" i="2"/>
  <c r="H130" i="2"/>
  <c r="S130" i="2"/>
  <c r="BT130" i="2"/>
  <c r="AT130" i="2"/>
  <c r="R130" i="2"/>
  <c r="AR130" i="2"/>
  <c r="Q130" i="2"/>
  <c r="AO130" i="2"/>
  <c r="N130" i="2"/>
  <c r="BC130" i="2"/>
  <c r="AB130" i="2"/>
  <c r="C130" i="2"/>
  <c r="V130" i="2"/>
  <c r="AN130" i="2"/>
  <c r="B131" i="2"/>
  <c r="O130" i="2"/>
  <c r="BG130" i="2"/>
  <c r="D130" i="2"/>
  <c r="BF130" i="2"/>
  <c r="BE130" i="2"/>
  <c r="CH130" i="2"/>
  <c r="F130" i="2"/>
  <c r="E130" i="2"/>
  <c r="BI130" i="2"/>
  <c r="BP129" i="2"/>
  <c r="BO129" i="2"/>
  <c r="BO126" i="2"/>
  <c r="BQ126" i="2"/>
  <c r="BR126" i="2" s="1"/>
  <c r="CB128" i="2"/>
  <c r="AW128" i="2"/>
  <c r="AD128" i="2"/>
  <c r="AZ128" i="2" s="1"/>
  <c r="BM128" i="2" s="1"/>
  <c r="AV128" i="2"/>
  <c r="AC128" i="2"/>
  <c r="AK128" i="2"/>
  <c r="AI128" i="2"/>
  <c r="AY129" i="2"/>
  <c r="BV129" i="2"/>
  <c r="CA127" i="2"/>
  <c r="I129" i="2"/>
  <c r="AJ129" i="2" s="1"/>
  <c r="AH129" i="2"/>
  <c r="CD129" i="2"/>
  <c r="W129" i="2"/>
  <c r="BN127" i="2"/>
  <c r="BQ127" i="2" s="1"/>
  <c r="BR127" i="2" s="1"/>
  <c r="AP130" i="2" l="1"/>
  <c r="AX128" i="2"/>
  <c r="BW130" i="2"/>
  <c r="BA128" i="2"/>
  <c r="BU128" i="2" s="1"/>
  <c r="BX128" i="2" s="1"/>
  <c r="BY128" i="2" s="1"/>
  <c r="CD130" i="2"/>
  <c r="W130" i="2"/>
  <c r="BV130" i="2"/>
  <c r="AH130" i="2"/>
  <c r="I130" i="2"/>
  <c r="AV129" i="2"/>
  <c r="AD129" i="2"/>
  <c r="AZ129" i="2" s="1"/>
  <c r="CA129" i="2" s="1"/>
  <c r="CB129" i="2"/>
  <c r="AC129" i="2"/>
  <c r="AW129" i="2"/>
  <c r="AI129" i="2"/>
  <c r="AK129" i="2"/>
  <c r="CA128" i="2"/>
  <c r="CH131" i="2"/>
  <c r="BE131" i="2"/>
  <c r="AR131" i="2"/>
  <c r="AB131" i="2"/>
  <c r="L131" i="2"/>
  <c r="AN131" i="2"/>
  <c r="V131" i="2"/>
  <c r="H131" i="2"/>
  <c r="CG131" i="2"/>
  <c r="N131" i="2"/>
  <c r="M131" i="2"/>
  <c r="CC131" i="2"/>
  <c r="BL131" i="2"/>
  <c r="K131" i="2"/>
  <c r="BI131" i="2"/>
  <c r="AT131" i="2"/>
  <c r="AA131" i="2"/>
  <c r="O131" i="2"/>
  <c r="BK131" i="2"/>
  <c r="AO131" i="2"/>
  <c r="J131" i="2"/>
  <c r="BH131" i="2"/>
  <c r="AM131" i="2"/>
  <c r="G131" i="2"/>
  <c r="B132" i="2"/>
  <c r="BF131" i="2"/>
  <c r="E131" i="2"/>
  <c r="AU131" i="2"/>
  <c r="S131" i="2"/>
  <c r="BT131" i="2"/>
  <c r="AS131" i="2"/>
  <c r="R131" i="2"/>
  <c r="AQ131" i="2"/>
  <c r="Q131" i="2"/>
  <c r="U131" i="2"/>
  <c r="F131" i="2"/>
  <c r="D131" i="2"/>
  <c r="BG131" i="2"/>
  <c r="C131" i="2"/>
  <c r="BD131" i="2"/>
  <c r="Y131" i="2"/>
  <c r="BC131" i="2"/>
  <c r="AY130" i="2"/>
  <c r="BO130" i="2"/>
  <c r="BP130" i="2"/>
  <c r="BN128" i="2"/>
  <c r="BA129" i="2" l="1"/>
  <c r="BU129" i="2" s="1"/>
  <c r="BX129" i="2" s="1"/>
  <c r="BY129" i="2" s="1"/>
  <c r="AP131" i="2"/>
  <c r="BW131" i="2"/>
  <c r="AX129" i="2"/>
  <c r="CD131" i="2"/>
  <c r="W131" i="2"/>
  <c r="AY131" i="2"/>
  <c r="BM129" i="2"/>
  <c r="BN129" i="2"/>
  <c r="BQ129" i="2" s="1"/>
  <c r="BR129" i="2" s="1"/>
  <c r="BP131" i="2"/>
  <c r="I131" i="2"/>
  <c r="B133" i="2"/>
  <c r="BT132" i="2"/>
  <c r="BF132" i="2"/>
  <c r="AS132" i="2"/>
  <c r="M132" i="2"/>
  <c r="CC132" i="2"/>
  <c r="AO132" i="2"/>
  <c r="CH132" i="2"/>
  <c r="O132" i="2"/>
  <c r="CG132" i="2"/>
  <c r="N132" i="2"/>
  <c r="L132" i="2"/>
  <c r="BK132" i="2"/>
  <c r="AU132" i="2"/>
  <c r="AB132" i="2"/>
  <c r="J132" i="2"/>
  <c r="BG132" i="2"/>
  <c r="F132" i="2"/>
  <c r="BE132" i="2"/>
  <c r="E132" i="2"/>
  <c r="BD132" i="2"/>
  <c r="AA132" i="2"/>
  <c r="D132" i="2"/>
  <c r="V132" i="2"/>
  <c r="BL132" i="2"/>
  <c r="K132" i="2"/>
  <c r="BI132" i="2"/>
  <c r="AN132" i="2"/>
  <c r="H132" i="2"/>
  <c r="BH132" i="2"/>
  <c r="AM132" i="2"/>
  <c r="G132" i="2"/>
  <c r="BC132" i="2"/>
  <c r="AT132" i="2"/>
  <c r="AR132" i="2"/>
  <c r="AQ132" i="2"/>
  <c r="R132" i="2"/>
  <c r="Q132" i="2"/>
  <c r="C132" i="2"/>
  <c r="S132" i="2"/>
  <c r="Y132" i="2"/>
  <c r="U132" i="2"/>
  <c r="AJ130" i="2"/>
  <c r="BO128" i="2"/>
  <c r="BQ128" i="2"/>
  <c r="BR128" i="2" s="1"/>
  <c r="AW130" i="2"/>
  <c r="AV130" i="2"/>
  <c r="AD130" i="2"/>
  <c r="AZ130" i="2" s="1"/>
  <c r="BM130" i="2" s="1"/>
  <c r="CB130" i="2"/>
  <c r="AC130" i="2"/>
  <c r="AI130" i="2"/>
  <c r="AK130" i="2"/>
  <c r="BW132" i="2" l="1"/>
  <c r="AX130" i="2"/>
  <c r="BA130" i="2"/>
  <c r="BU130" i="2" s="1"/>
  <c r="BX130" i="2" s="1"/>
  <c r="BY130" i="2" s="1"/>
  <c r="CB131" i="2"/>
  <c r="AW131" i="2"/>
  <c r="AV131" i="2"/>
  <c r="AD131" i="2"/>
  <c r="AZ131" i="2" s="1"/>
  <c r="BM131" i="2" s="1"/>
  <c r="AC131" i="2"/>
  <c r="AH131" i="2" s="1"/>
  <c r="AK131" i="2"/>
  <c r="AP132" i="2"/>
  <c r="BV132" i="2"/>
  <c r="CA130" i="2"/>
  <c r="BP132" i="2"/>
  <c r="I132" i="2"/>
  <c r="BG133" i="2"/>
  <c r="AT133" i="2"/>
  <c r="N133" i="2"/>
  <c r="BC133" i="2"/>
  <c r="Y133" i="2"/>
  <c r="J133" i="2"/>
  <c r="B134" i="2"/>
  <c r="Q133" i="2"/>
  <c r="CH133" i="2"/>
  <c r="O133" i="2"/>
  <c r="CG133" i="2"/>
  <c r="M133" i="2"/>
  <c r="BL133" i="2"/>
  <c r="K133" i="2"/>
  <c r="C133" i="2"/>
  <c r="V133" i="2"/>
  <c r="AU133" i="2"/>
  <c r="U133" i="2"/>
  <c r="AR133" i="2"/>
  <c r="R133" i="2"/>
  <c r="CC133" i="2"/>
  <c r="BF133" i="2"/>
  <c r="F133" i="2"/>
  <c r="BE133" i="2"/>
  <c r="AB133" i="2"/>
  <c r="E133" i="2"/>
  <c r="BD133" i="2"/>
  <c r="AA133" i="2"/>
  <c r="D133" i="2"/>
  <c r="AN133" i="2"/>
  <c r="AM133" i="2"/>
  <c r="S133" i="2"/>
  <c r="L133" i="2"/>
  <c r="BT133" i="2"/>
  <c r="BH133" i="2"/>
  <c r="AS133" i="2"/>
  <c r="AQ133" i="2"/>
  <c r="AO133" i="2"/>
  <c r="G133" i="2"/>
  <c r="BK133" i="2"/>
  <c r="BI133" i="2"/>
  <c r="H133" i="2"/>
  <c r="W132" i="2"/>
  <c r="CD132" i="2"/>
  <c r="AY132" i="2"/>
  <c r="AJ131" i="2"/>
  <c r="BN130" i="2"/>
  <c r="BQ130" i="2" s="1"/>
  <c r="BR130" i="2" s="1"/>
  <c r="AX131" i="2" l="1"/>
  <c r="AI131" i="2"/>
  <c r="BA131" i="2" s="1"/>
  <c r="BU131" i="2" s="1"/>
  <c r="BV131" i="2" s="1"/>
  <c r="CA131" i="2"/>
  <c r="BV133" i="2"/>
  <c r="BW133" i="2"/>
  <c r="BP133" i="2"/>
  <c r="AP133" i="2"/>
  <c r="CD133" i="2"/>
  <c r="W133" i="2"/>
  <c r="AC132" i="2"/>
  <c r="AH132" i="2" s="1"/>
  <c r="AJ132" i="2" s="1"/>
  <c r="AK132" i="2" s="1"/>
  <c r="AW132" i="2"/>
  <c r="CB132" i="2"/>
  <c r="AD132" i="2"/>
  <c r="AZ132" i="2" s="1"/>
  <c r="AV132" i="2"/>
  <c r="I133" i="2"/>
  <c r="BH134" i="2"/>
  <c r="AU134" i="2"/>
  <c r="O134" i="2"/>
  <c r="C134" i="2"/>
  <c r="CG134" i="2"/>
  <c r="BD134" i="2"/>
  <c r="AQ134" i="2"/>
  <c r="AA134" i="2"/>
  <c r="K134" i="2"/>
  <c r="AM134" i="2"/>
  <c r="R134" i="2"/>
  <c r="B135" i="2"/>
  <c r="Q134" i="2"/>
  <c r="CH134" i="2"/>
  <c r="N134" i="2"/>
  <c r="CC134" i="2"/>
  <c r="L134" i="2"/>
  <c r="BT134" i="2"/>
  <c r="AS134" i="2"/>
  <c r="S134" i="2"/>
  <c r="AR134" i="2"/>
  <c r="M134" i="2"/>
  <c r="BL134" i="2"/>
  <c r="J134" i="2"/>
  <c r="BI134" i="2"/>
  <c r="AN134" i="2"/>
  <c r="H134" i="2"/>
  <c r="V134" i="2"/>
  <c r="AT134" i="2"/>
  <c r="U134" i="2"/>
  <c r="G134" i="2"/>
  <c r="BK134" i="2"/>
  <c r="F134" i="2"/>
  <c r="BG134" i="2"/>
  <c r="E134" i="2"/>
  <c r="BF134" i="2"/>
  <c r="D134" i="2"/>
  <c r="BE134" i="2"/>
  <c r="AB134" i="2"/>
  <c r="Y134" i="2"/>
  <c r="BC134" i="2"/>
  <c r="AO134" i="2"/>
  <c r="AY133" i="2"/>
  <c r="BN131" i="2"/>
  <c r="BX131" i="2" l="1"/>
  <c r="BY131" i="2" s="1"/>
  <c r="AI132" i="2"/>
  <c r="BA132" i="2" s="1"/>
  <c r="BU132" i="2" s="1"/>
  <c r="BX132" i="2" s="1"/>
  <c r="BY132" i="2" s="1"/>
  <c r="AX132" i="2"/>
  <c r="BI135" i="2"/>
  <c r="Q135" i="2"/>
  <c r="D135" i="2"/>
  <c r="BH135" i="2"/>
  <c r="CH135" i="2"/>
  <c r="BE135" i="2"/>
  <c r="AR135" i="2"/>
  <c r="AB135" i="2"/>
  <c r="L135" i="2"/>
  <c r="BC135" i="2"/>
  <c r="AN135" i="2"/>
  <c r="S135" i="2"/>
  <c r="C135" i="2"/>
  <c r="BT135" i="2"/>
  <c r="AM135" i="2"/>
  <c r="R135" i="2"/>
  <c r="O135" i="2"/>
  <c r="B136" i="2"/>
  <c r="M135" i="2"/>
  <c r="BL135" i="2"/>
  <c r="AO135" i="2"/>
  <c r="BK135" i="2"/>
  <c r="H135" i="2"/>
  <c r="CG135" i="2"/>
  <c r="BG135" i="2"/>
  <c r="G135" i="2"/>
  <c r="CC135" i="2"/>
  <c r="BD135" i="2"/>
  <c r="AA135" i="2"/>
  <c r="E135" i="2"/>
  <c r="AS135" i="2"/>
  <c r="N135" i="2"/>
  <c r="AQ135" i="2"/>
  <c r="K135" i="2"/>
  <c r="J135" i="2"/>
  <c r="AU135" i="2"/>
  <c r="AT135" i="2"/>
  <c r="Y135" i="2"/>
  <c r="F135" i="2"/>
  <c r="BF135" i="2"/>
  <c r="U135" i="2"/>
  <c r="V135" i="2"/>
  <c r="BO131" i="2"/>
  <c r="BQ131" i="2"/>
  <c r="BR131" i="2" s="1"/>
  <c r="AD133" i="2"/>
  <c r="AZ133" i="2" s="1"/>
  <c r="BM133" i="2" s="1"/>
  <c r="CB133" i="2"/>
  <c r="AV133" i="2"/>
  <c r="AC133" i="2"/>
  <c r="AH133" i="2" s="1"/>
  <c r="AJ133" i="2" s="1"/>
  <c r="AK133" i="2" s="1"/>
  <c r="AW133" i="2"/>
  <c r="BP134" i="2"/>
  <c r="BO134" i="2"/>
  <c r="W134" i="2"/>
  <c r="CD134" i="2"/>
  <c r="BW134" i="2"/>
  <c r="BM132" i="2"/>
  <c r="BN132" i="2"/>
  <c r="BV134" i="2"/>
  <c r="AY134" i="2"/>
  <c r="AP134" i="2"/>
  <c r="CA132" i="2"/>
  <c r="AH134" i="2"/>
  <c r="I134" i="2"/>
  <c r="AJ134" i="2" s="1"/>
  <c r="BN133" i="2" l="1"/>
  <c r="BO133" i="2" s="1"/>
  <c r="AP135" i="2"/>
  <c r="BV135" i="2"/>
  <c r="BO132" i="2"/>
  <c r="BQ132" i="2"/>
  <c r="BR132" i="2" s="1"/>
  <c r="CA133" i="2"/>
  <c r="AI133" i="2"/>
  <c r="BA133" i="2" s="1"/>
  <c r="BU133" i="2" s="1"/>
  <c r="BX133" i="2" s="1"/>
  <c r="BY133" i="2" s="1"/>
  <c r="BW135" i="2"/>
  <c r="BK136" i="2"/>
  <c r="R136" i="2"/>
  <c r="E136" i="2"/>
  <c r="BI136" i="2"/>
  <c r="Q136" i="2"/>
  <c r="D136" i="2"/>
  <c r="BH136" i="2"/>
  <c r="AU136" i="2"/>
  <c r="BG136" i="2"/>
  <c r="AT136" i="2"/>
  <c r="N136" i="2"/>
  <c r="B137" i="2"/>
  <c r="BT136" i="2"/>
  <c r="BF136" i="2"/>
  <c r="AS136" i="2"/>
  <c r="M136" i="2"/>
  <c r="AB136" i="2"/>
  <c r="H136" i="2"/>
  <c r="AA136" i="2"/>
  <c r="G136" i="2"/>
  <c r="Y136" i="2"/>
  <c r="F136" i="2"/>
  <c r="AR136" i="2"/>
  <c r="V136" i="2"/>
  <c r="AO136" i="2"/>
  <c r="AN136" i="2"/>
  <c r="C136" i="2"/>
  <c r="AM136" i="2"/>
  <c r="CG136" i="2"/>
  <c r="L136" i="2"/>
  <c r="AQ136" i="2"/>
  <c r="K136" i="2"/>
  <c r="CC136" i="2"/>
  <c r="J136" i="2"/>
  <c r="U136" i="2"/>
  <c r="S136" i="2"/>
  <c r="O136" i="2"/>
  <c r="BL136" i="2"/>
  <c r="BE136" i="2"/>
  <c r="BD136" i="2"/>
  <c r="BC136" i="2"/>
  <c r="CH136" i="2"/>
  <c r="AH135" i="2"/>
  <c r="I135" i="2"/>
  <c r="AJ135" i="2" s="1"/>
  <c r="AX133" i="2"/>
  <c r="AY135" i="2"/>
  <c r="BO135" i="2"/>
  <c r="BP135" i="2"/>
  <c r="AW134" i="2"/>
  <c r="AD134" i="2"/>
  <c r="AZ134" i="2" s="1"/>
  <c r="BM134" i="2" s="1"/>
  <c r="AV134" i="2"/>
  <c r="AC134" i="2"/>
  <c r="CB134" i="2"/>
  <c r="AI134" i="2"/>
  <c r="AK134" i="2"/>
  <c r="W135" i="2"/>
  <c r="CD135" i="2"/>
  <c r="AP136" i="2" l="1"/>
  <c r="BQ133" i="2"/>
  <c r="BR133" i="2" s="1"/>
  <c r="CA134" i="2"/>
  <c r="AX134" i="2"/>
  <c r="AY136" i="2"/>
  <c r="CD136" i="2"/>
  <c r="W136" i="2"/>
  <c r="BL137" i="2"/>
  <c r="S137" i="2"/>
  <c r="F137" i="2"/>
  <c r="BK137" i="2"/>
  <c r="R137" i="2"/>
  <c r="E137" i="2"/>
  <c r="BI137" i="2"/>
  <c r="Q137" i="2"/>
  <c r="D137" i="2"/>
  <c r="BH137" i="2"/>
  <c r="AU137" i="2"/>
  <c r="O137" i="2"/>
  <c r="C137" i="2"/>
  <c r="BG137" i="2"/>
  <c r="AT137" i="2"/>
  <c r="N137" i="2"/>
  <c r="AQ137" i="2"/>
  <c r="M137" i="2"/>
  <c r="B138" i="2"/>
  <c r="L137" i="2"/>
  <c r="CH137" i="2"/>
  <c r="AO137" i="2"/>
  <c r="K137" i="2"/>
  <c r="BE137" i="2"/>
  <c r="AM137" i="2"/>
  <c r="AA137" i="2"/>
  <c r="BF137" i="2"/>
  <c r="Y137" i="2"/>
  <c r="BD137" i="2"/>
  <c r="U137" i="2"/>
  <c r="BT137" i="2"/>
  <c r="AN137" i="2"/>
  <c r="AB137" i="2"/>
  <c r="AS137" i="2"/>
  <c r="AR137" i="2"/>
  <c r="V137" i="2"/>
  <c r="J137" i="2"/>
  <c r="H137" i="2"/>
  <c r="BC137" i="2"/>
  <c r="CG137" i="2"/>
  <c r="CC137" i="2"/>
  <c r="G137" i="2"/>
  <c r="BA134" i="2"/>
  <c r="BU134" i="2" s="1"/>
  <c r="BX134" i="2" s="1"/>
  <c r="BY134" i="2" s="1"/>
  <c r="BP136" i="2"/>
  <c r="BO136" i="2"/>
  <c r="BV136" i="2"/>
  <c r="AV135" i="2"/>
  <c r="AD135" i="2"/>
  <c r="AZ135" i="2" s="1"/>
  <c r="BM135" i="2" s="1"/>
  <c r="AW135" i="2"/>
  <c r="AC135" i="2"/>
  <c r="CB135" i="2"/>
  <c r="AI135" i="2"/>
  <c r="AK135" i="2"/>
  <c r="BW136" i="2"/>
  <c r="I136" i="2"/>
  <c r="AH136" i="2"/>
  <c r="BN134" i="2"/>
  <c r="BQ134" i="2" s="1"/>
  <c r="BR134" i="2" s="1"/>
  <c r="BW137" i="2" l="1"/>
  <c r="AP137" i="2"/>
  <c r="AW136" i="2"/>
  <c r="AV136" i="2"/>
  <c r="AD136" i="2"/>
  <c r="AZ136" i="2" s="1"/>
  <c r="BM136" i="2" s="1"/>
  <c r="AC136" i="2"/>
  <c r="CB136" i="2"/>
  <c r="AI136" i="2"/>
  <c r="AK136" i="2"/>
  <c r="BO137" i="2"/>
  <c r="BP137" i="2"/>
  <c r="CD137" i="2"/>
  <c r="W137" i="2"/>
  <c r="AJ136" i="2"/>
  <c r="BV137" i="2"/>
  <c r="AX135" i="2"/>
  <c r="AH137" i="2"/>
  <c r="I137" i="2"/>
  <c r="AJ137" i="2" s="1"/>
  <c r="AY137" i="2"/>
  <c r="CA135" i="2"/>
  <c r="AM138" i="2"/>
  <c r="U138" i="2"/>
  <c r="G138" i="2"/>
  <c r="BL138" i="2"/>
  <c r="S138" i="2"/>
  <c r="F138" i="2"/>
  <c r="BK138" i="2"/>
  <c r="R138" i="2"/>
  <c r="E138" i="2"/>
  <c r="BI138" i="2"/>
  <c r="Q138" i="2"/>
  <c r="D138" i="2"/>
  <c r="BH138" i="2"/>
  <c r="AU138" i="2"/>
  <c r="O138" i="2"/>
  <c r="C138" i="2"/>
  <c r="CC138" i="2"/>
  <c r="BD138" i="2"/>
  <c r="H138" i="2"/>
  <c r="BC138" i="2"/>
  <c r="AB138" i="2"/>
  <c r="AA138" i="2"/>
  <c r="AT138" i="2"/>
  <c r="BE138" i="2"/>
  <c r="M138" i="2"/>
  <c r="B139" i="2"/>
  <c r="L138" i="2"/>
  <c r="CH138" i="2"/>
  <c r="AS138" i="2"/>
  <c r="K138" i="2"/>
  <c r="AQ138" i="2"/>
  <c r="Y138" i="2"/>
  <c r="BG138" i="2"/>
  <c r="V138" i="2"/>
  <c r="BF138" i="2"/>
  <c r="N138" i="2"/>
  <c r="AO138" i="2"/>
  <c r="AN138" i="2"/>
  <c r="J138" i="2"/>
  <c r="AR138" i="2"/>
  <c r="BT138" i="2"/>
  <c r="CG138" i="2"/>
  <c r="BA135" i="2"/>
  <c r="BU135" i="2" s="1"/>
  <c r="BX135" i="2" s="1"/>
  <c r="BY135" i="2" s="1"/>
  <c r="BN135" i="2"/>
  <c r="BQ135" i="2" s="1"/>
  <c r="BR135" i="2" s="1"/>
  <c r="AX136" i="2" l="1"/>
  <c r="BN136" i="2"/>
  <c r="BQ136" i="2" s="1"/>
  <c r="BR136" i="2" s="1"/>
  <c r="BA136" i="2"/>
  <c r="BU136" i="2" s="1"/>
  <c r="BX136" i="2" s="1"/>
  <c r="BY136" i="2" s="1"/>
  <c r="CA136" i="2"/>
  <c r="AW137" i="2"/>
  <c r="AV137" i="2"/>
  <c r="AD137" i="2"/>
  <c r="AZ137" i="2" s="1"/>
  <c r="BM137" i="2" s="1"/>
  <c r="AC137" i="2"/>
  <c r="CB137" i="2"/>
  <c r="AI137" i="2"/>
  <c r="AK137" i="2"/>
  <c r="W138" i="2"/>
  <c r="CD138" i="2"/>
  <c r="AP138" i="2"/>
  <c r="AN139" i="2"/>
  <c r="V139" i="2"/>
  <c r="H139" i="2"/>
  <c r="AM139" i="2"/>
  <c r="U139" i="2"/>
  <c r="G139" i="2"/>
  <c r="BL139" i="2"/>
  <c r="S139" i="2"/>
  <c r="F139" i="2"/>
  <c r="BK139" i="2"/>
  <c r="R139" i="2"/>
  <c r="E139" i="2"/>
  <c r="BI139" i="2"/>
  <c r="Q139" i="2"/>
  <c r="D139" i="2"/>
  <c r="AS139" i="2"/>
  <c r="O139" i="2"/>
  <c r="AR139" i="2"/>
  <c r="N139" i="2"/>
  <c r="AQ139" i="2"/>
  <c r="M139" i="2"/>
  <c r="CH139" i="2"/>
  <c r="BG139" i="2"/>
  <c r="AO139" i="2"/>
  <c r="K139" i="2"/>
  <c r="CC139" i="2"/>
  <c r="AT139" i="2"/>
  <c r="C139" i="2"/>
  <c r="B140" i="2"/>
  <c r="BC139" i="2"/>
  <c r="L139" i="2"/>
  <c r="CG139" i="2"/>
  <c r="J139" i="2"/>
  <c r="AU139" i="2"/>
  <c r="BD139" i="2"/>
  <c r="AB139" i="2"/>
  <c r="AA139" i="2"/>
  <c r="Y139" i="2"/>
  <c r="BT139" i="2"/>
  <c r="BH139" i="2"/>
  <c r="BF139" i="2"/>
  <c r="BE139" i="2"/>
  <c r="BV138" i="2"/>
  <c r="AY138" i="2"/>
  <c r="BP138" i="2"/>
  <c r="AH138" i="2"/>
  <c r="I138" i="2"/>
  <c r="AJ138" i="2" s="1"/>
  <c r="BW138" i="2"/>
  <c r="BA137" i="2" l="1"/>
  <c r="BU137" i="2" s="1"/>
  <c r="BX137" i="2" s="1"/>
  <c r="BY137" i="2" s="1"/>
  <c r="CA137" i="2"/>
  <c r="CD139" i="2"/>
  <c r="W139" i="2"/>
  <c r="BP139" i="2"/>
  <c r="I139" i="2"/>
  <c r="AY139" i="2"/>
  <c r="BG140" i="2"/>
  <c r="AT140" i="2"/>
  <c r="B141" i="2"/>
  <c r="BD140" i="2"/>
  <c r="CH140" i="2"/>
  <c r="BC140" i="2"/>
  <c r="AO140" i="2"/>
  <c r="V140" i="2"/>
  <c r="H140" i="2"/>
  <c r="CG140" i="2"/>
  <c r="AN140" i="2"/>
  <c r="U140" i="2"/>
  <c r="G140" i="2"/>
  <c r="AM140" i="2"/>
  <c r="S140" i="2"/>
  <c r="F140" i="2"/>
  <c r="CC140" i="2"/>
  <c r="R140" i="2"/>
  <c r="E140" i="2"/>
  <c r="BI140" i="2"/>
  <c r="J140" i="2"/>
  <c r="BH140" i="2"/>
  <c r="D140" i="2"/>
  <c r="BF140" i="2"/>
  <c r="C140" i="2"/>
  <c r="AA140" i="2"/>
  <c r="BT140" i="2"/>
  <c r="AB140" i="2"/>
  <c r="Y140" i="2"/>
  <c r="BK140" i="2"/>
  <c r="O140" i="2"/>
  <c r="AS140" i="2"/>
  <c r="AR140" i="2"/>
  <c r="AQ140" i="2"/>
  <c r="AU140" i="2"/>
  <c r="Q140" i="2"/>
  <c r="N140" i="2"/>
  <c r="BL140" i="2"/>
  <c r="BE140" i="2"/>
  <c r="L140" i="2"/>
  <c r="K140" i="2"/>
  <c r="M140" i="2"/>
  <c r="AX137" i="2"/>
  <c r="AW138" i="2"/>
  <c r="AV138" i="2"/>
  <c r="AC138" i="2"/>
  <c r="CB138" i="2"/>
  <c r="AD138" i="2"/>
  <c r="AZ138" i="2" s="1"/>
  <c r="BM138" i="2" s="1"/>
  <c r="AI138" i="2"/>
  <c r="AK138" i="2"/>
  <c r="BW139" i="2"/>
  <c r="AP139" i="2"/>
  <c r="BV139" i="2"/>
  <c r="BN137" i="2"/>
  <c r="BQ137" i="2" s="1"/>
  <c r="BR137" i="2" s="1"/>
  <c r="AX138" i="2" l="1"/>
  <c r="AP140" i="2"/>
  <c r="BA138" i="2"/>
  <c r="BU138" i="2" s="1"/>
  <c r="BX138" i="2" s="1"/>
  <c r="BY138" i="2" s="1"/>
  <c r="CA138" i="2"/>
  <c r="I140" i="2"/>
  <c r="AJ140" i="2" s="1"/>
  <c r="AH140" i="2"/>
  <c r="BW140" i="2"/>
  <c r="BN138" i="2"/>
  <c r="BP140" i="2"/>
  <c r="BO140" i="2"/>
  <c r="CB139" i="2"/>
  <c r="AW139" i="2"/>
  <c r="AV139" i="2"/>
  <c r="AC139" i="2"/>
  <c r="AH139" i="2" s="1"/>
  <c r="AJ139" i="2" s="1"/>
  <c r="AK139" i="2" s="1"/>
  <c r="AD139" i="2"/>
  <c r="AZ139" i="2" s="1"/>
  <c r="BM139" i="2" s="1"/>
  <c r="BV140" i="2"/>
  <c r="AY140" i="2"/>
  <c r="W140" i="2"/>
  <c r="CD140" i="2"/>
  <c r="BH141" i="2"/>
  <c r="AU141" i="2"/>
  <c r="O141" i="2"/>
  <c r="C141" i="2"/>
  <c r="Q141" i="2"/>
  <c r="BL141" i="2"/>
  <c r="N141" i="2"/>
  <c r="BK141" i="2"/>
  <c r="M141" i="2"/>
  <c r="BI141" i="2"/>
  <c r="AT141" i="2"/>
  <c r="L141" i="2"/>
  <c r="BG141" i="2"/>
  <c r="AS141" i="2"/>
  <c r="AB141" i="2"/>
  <c r="K141" i="2"/>
  <c r="CH141" i="2"/>
  <c r="B142" i="2"/>
  <c r="BD141" i="2"/>
  <c r="AA141" i="2"/>
  <c r="E141" i="2"/>
  <c r="CG141" i="2"/>
  <c r="BC141" i="2"/>
  <c r="Y141" i="2"/>
  <c r="D141" i="2"/>
  <c r="U141" i="2"/>
  <c r="V141" i="2"/>
  <c r="S141" i="2"/>
  <c r="BE141" i="2"/>
  <c r="J141" i="2"/>
  <c r="CC141" i="2"/>
  <c r="AO141" i="2"/>
  <c r="BT141" i="2"/>
  <c r="AN141" i="2"/>
  <c r="AM141" i="2"/>
  <c r="BF141" i="2"/>
  <c r="AR141" i="2"/>
  <c r="AQ141" i="2"/>
  <c r="G141" i="2"/>
  <c r="F141" i="2"/>
  <c r="R141" i="2"/>
  <c r="H141" i="2"/>
  <c r="AX139" i="2" l="1"/>
  <c r="CA139" i="2"/>
  <c r="BW141" i="2"/>
  <c r="BN139" i="2"/>
  <c r="BI142" i="2"/>
  <c r="Q142" i="2"/>
  <c r="D142" i="2"/>
  <c r="BF142" i="2"/>
  <c r="AR142" i="2"/>
  <c r="AA142" i="2"/>
  <c r="J142" i="2"/>
  <c r="BT142" i="2"/>
  <c r="BE142" i="2"/>
  <c r="AQ142" i="2"/>
  <c r="Y142" i="2"/>
  <c r="B143" i="2"/>
  <c r="BD142" i="2"/>
  <c r="H142" i="2"/>
  <c r="CH142" i="2"/>
  <c r="BC142" i="2"/>
  <c r="AO142" i="2"/>
  <c r="V142" i="2"/>
  <c r="G142" i="2"/>
  <c r="CG142" i="2"/>
  <c r="AN142" i="2"/>
  <c r="U142" i="2"/>
  <c r="F142" i="2"/>
  <c r="BL142" i="2"/>
  <c r="N142" i="2"/>
  <c r="BK142" i="2"/>
  <c r="BH142" i="2"/>
  <c r="S142" i="2"/>
  <c r="AB142" i="2"/>
  <c r="R142" i="2"/>
  <c r="M142" i="2"/>
  <c r="AT142" i="2"/>
  <c r="CC142" i="2"/>
  <c r="AS142" i="2"/>
  <c r="AM142" i="2"/>
  <c r="BG142" i="2"/>
  <c r="L142" i="2"/>
  <c r="K142" i="2"/>
  <c r="E142" i="2"/>
  <c r="C142" i="2"/>
  <c r="AU142" i="2"/>
  <c r="O142" i="2"/>
  <c r="CD141" i="2"/>
  <c r="W141" i="2"/>
  <c r="AY141" i="2"/>
  <c r="AI139" i="2"/>
  <c r="BA139" i="2" s="1"/>
  <c r="BU139" i="2" s="1"/>
  <c r="BX139" i="2" s="1"/>
  <c r="BY139" i="2" s="1"/>
  <c r="BQ138" i="2"/>
  <c r="BR138" i="2" s="1"/>
  <c r="BO138" i="2"/>
  <c r="BP141" i="2"/>
  <c r="BV141" i="2"/>
  <c r="I141" i="2"/>
  <c r="AP141" i="2"/>
  <c r="AD140" i="2"/>
  <c r="AZ140" i="2" s="1"/>
  <c r="BM140" i="2" s="1"/>
  <c r="CB140" i="2"/>
  <c r="AC140" i="2"/>
  <c r="AW140" i="2"/>
  <c r="AV140" i="2"/>
  <c r="AI140" i="2"/>
  <c r="AK140" i="2"/>
  <c r="AX140" i="2" l="1"/>
  <c r="AP142" i="2"/>
  <c r="BW142" i="2"/>
  <c r="AY142" i="2"/>
  <c r="BP142" i="2"/>
  <c r="BO142" i="2"/>
  <c r="W142" i="2"/>
  <c r="CD142" i="2"/>
  <c r="BA140" i="2"/>
  <c r="BU140" i="2" s="1"/>
  <c r="BX140" i="2" s="1"/>
  <c r="BY140" i="2" s="1"/>
  <c r="BK143" i="2"/>
  <c r="R143" i="2"/>
  <c r="E143" i="2"/>
  <c r="AM143" i="2"/>
  <c r="S143" i="2"/>
  <c r="D143" i="2"/>
  <c r="CC143" i="2"/>
  <c r="Q143" i="2"/>
  <c r="C143" i="2"/>
  <c r="O143" i="2"/>
  <c r="BL143" i="2"/>
  <c r="N143" i="2"/>
  <c r="BI143" i="2"/>
  <c r="AU143" i="2"/>
  <c r="M143" i="2"/>
  <c r="BT143" i="2"/>
  <c r="BE143" i="2"/>
  <c r="AQ143" i="2"/>
  <c r="Y143" i="2"/>
  <c r="B144" i="2"/>
  <c r="BD143" i="2"/>
  <c r="CH143" i="2"/>
  <c r="AT143" i="2"/>
  <c r="J143" i="2"/>
  <c r="CG143" i="2"/>
  <c r="AS143" i="2"/>
  <c r="H143" i="2"/>
  <c r="AR143" i="2"/>
  <c r="G143" i="2"/>
  <c r="AN143" i="2"/>
  <c r="AO143" i="2"/>
  <c r="AA143" i="2"/>
  <c r="BG143" i="2"/>
  <c r="F143" i="2"/>
  <c r="BF143" i="2"/>
  <c r="BC143" i="2"/>
  <c r="L143" i="2"/>
  <c r="K143" i="2"/>
  <c r="BH143" i="2"/>
  <c r="AB143" i="2"/>
  <c r="V143" i="2"/>
  <c r="U143" i="2"/>
  <c r="CA140" i="2"/>
  <c r="I142" i="2"/>
  <c r="AJ142" i="2" s="1"/>
  <c r="AH142" i="2"/>
  <c r="BV142" i="2"/>
  <c r="BQ139" i="2"/>
  <c r="BR139" i="2" s="1"/>
  <c r="BO139" i="2"/>
  <c r="CB141" i="2"/>
  <c r="AW141" i="2"/>
  <c r="AV141" i="2"/>
  <c r="AD141" i="2"/>
  <c r="AZ141" i="2" s="1"/>
  <c r="BM141" i="2" s="1"/>
  <c r="AC141" i="2"/>
  <c r="AH141" i="2" s="1"/>
  <c r="AJ141" i="2" s="1"/>
  <c r="AK141" i="2" s="1"/>
  <c r="BN140" i="2"/>
  <c r="BQ140" i="2" s="1"/>
  <c r="BR140" i="2" s="1"/>
  <c r="AX141" i="2" l="1"/>
  <c r="BW143" i="2"/>
  <c r="AI141" i="2"/>
  <c r="BA141" i="2" s="1"/>
  <c r="BU141" i="2" s="1"/>
  <c r="BX141" i="2" s="1"/>
  <c r="BY141" i="2" s="1"/>
  <c r="AY143" i="2"/>
  <c r="BL144" i="2"/>
  <c r="S144" i="2"/>
  <c r="F144" i="2"/>
  <c r="BH144" i="2"/>
  <c r="AT144" i="2"/>
  <c r="L144" i="2"/>
  <c r="BG144" i="2"/>
  <c r="AS144" i="2"/>
  <c r="AB144" i="2"/>
  <c r="K144" i="2"/>
  <c r="BF144" i="2"/>
  <c r="AR144" i="2"/>
  <c r="AA144" i="2"/>
  <c r="J144" i="2"/>
  <c r="BT144" i="2"/>
  <c r="BE144" i="2"/>
  <c r="AQ144" i="2"/>
  <c r="Y144" i="2"/>
  <c r="B145" i="2"/>
  <c r="BD144" i="2"/>
  <c r="H144" i="2"/>
  <c r="CC144" i="2"/>
  <c r="Q144" i="2"/>
  <c r="C144" i="2"/>
  <c r="O144" i="2"/>
  <c r="AN144" i="2"/>
  <c r="AM144" i="2"/>
  <c r="BK144" i="2"/>
  <c r="V144" i="2"/>
  <c r="N144" i="2"/>
  <c r="M144" i="2"/>
  <c r="BI144" i="2"/>
  <c r="G144" i="2"/>
  <c r="D144" i="2"/>
  <c r="CH144" i="2"/>
  <c r="CG144" i="2"/>
  <c r="U144" i="2"/>
  <c r="R144" i="2"/>
  <c r="AU144" i="2"/>
  <c r="AO144" i="2"/>
  <c r="E144" i="2"/>
  <c r="BC144" i="2"/>
  <c r="AP143" i="2"/>
  <c r="BO143" i="2"/>
  <c r="BP143" i="2"/>
  <c r="AH143" i="2"/>
  <c r="I143" i="2"/>
  <c r="CA141" i="2"/>
  <c r="CD143" i="2"/>
  <c r="W143" i="2"/>
  <c r="AV142" i="2"/>
  <c r="AW142" i="2"/>
  <c r="AD142" i="2"/>
  <c r="AZ142" i="2" s="1"/>
  <c r="BM142" i="2" s="1"/>
  <c r="AC142" i="2"/>
  <c r="CB142" i="2"/>
  <c r="AK142" i="2"/>
  <c r="AI142" i="2"/>
  <c r="BV143" i="2"/>
  <c r="BN141" i="2"/>
  <c r="BW144" i="2" l="1"/>
  <c r="AP144" i="2"/>
  <c r="AX142" i="2"/>
  <c r="BN142" i="2"/>
  <c r="BQ142" i="2" s="1"/>
  <c r="BR142" i="2" s="1"/>
  <c r="BA142" i="2"/>
  <c r="BU142" i="2" s="1"/>
  <c r="BX142" i="2" s="1"/>
  <c r="BY142" i="2" s="1"/>
  <c r="AM145" i="2"/>
  <c r="U145" i="2"/>
  <c r="G145" i="2"/>
  <c r="CH145" i="2"/>
  <c r="BC145" i="2"/>
  <c r="AO145" i="2"/>
  <c r="V145" i="2"/>
  <c r="F145" i="2"/>
  <c r="CG145" i="2"/>
  <c r="AN145" i="2"/>
  <c r="S145" i="2"/>
  <c r="E145" i="2"/>
  <c r="R145" i="2"/>
  <c r="D145" i="2"/>
  <c r="CC145" i="2"/>
  <c r="Q145" i="2"/>
  <c r="C145" i="2"/>
  <c r="BL145" i="2"/>
  <c r="O145" i="2"/>
  <c r="BG145" i="2"/>
  <c r="AS145" i="2"/>
  <c r="AB145" i="2"/>
  <c r="K145" i="2"/>
  <c r="BF145" i="2"/>
  <c r="AR145" i="2"/>
  <c r="AA145" i="2"/>
  <c r="J145" i="2"/>
  <c r="BK145" i="2"/>
  <c r="BI145" i="2"/>
  <c r="Y145" i="2"/>
  <c r="BH145" i="2"/>
  <c r="BD145" i="2"/>
  <c r="M145" i="2"/>
  <c r="AT145" i="2"/>
  <c r="AQ145" i="2"/>
  <c r="BE145" i="2"/>
  <c r="AU145" i="2"/>
  <c r="B146" i="2"/>
  <c r="BT145" i="2"/>
  <c r="L145" i="2"/>
  <c r="H145" i="2"/>
  <c r="N145" i="2"/>
  <c r="BQ141" i="2"/>
  <c r="BR141" i="2" s="1"/>
  <c r="BO141" i="2"/>
  <c r="W144" i="2"/>
  <c r="CD144" i="2"/>
  <c r="AW143" i="2"/>
  <c r="CB143" i="2"/>
  <c r="AV143" i="2"/>
  <c r="AD143" i="2"/>
  <c r="AZ143" i="2" s="1"/>
  <c r="BM143" i="2" s="1"/>
  <c r="AC143" i="2"/>
  <c r="AK143" i="2"/>
  <c r="AI143" i="2"/>
  <c r="AJ143" i="2"/>
  <c r="AY144" i="2"/>
  <c r="BP144" i="2"/>
  <c r="BO144" i="2"/>
  <c r="I144" i="2"/>
  <c r="AJ144" i="2" s="1"/>
  <c r="AH144" i="2"/>
  <c r="CA142" i="2"/>
  <c r="BV144" i="2"/>
  <c r="BW145" i="2" l="1"/>
  <c r="AX143" i="2"/>
  <c r="BN143" i="2"/>
  <c r="BQ143" i="2" s="1"/>
  <c r="BR143" i="2" s="1"/>
  <c r="CA143" i="2"/>
  <c r="AP145" i="2"/>
  <c r="BV145" i="2"/>
  <c r="BA143" i="2"/>
  <c r="BU143" i="2" s="1"/>
  <c r="BX143" i="2" s="1"/>
  <c r="BY143" i="2" s="1"/>
  <c r="AY145" i="2"/>
  <c r="AN146" i="2"/>
  <c r="V146" i="2"/>
  <c r="H146" i="2"/>
  <c r="BK146" i="2"/>
  <c r="N146" i="2"/>
  <c r="BI146" i="2"/>
  <c r="AU146" i="2"/>
  <c r="M146" i="2"/>
  <c r="BH146" i="2"/>
  <c r="AT146" i="2"/>
  <c r="L146" i="2"/>
  <c r="BG146" i="2"/>
  <c r="AS146" i="2"/>
  <c r="AB146" i="2"/>
  <c r="K146" i="2"/>
  <c r="BF146" i="2"/>
  <c r="AR146" i="2"/>
  <c r="AA146" i="2"/>
  <c r="J146" i="2"/>
  <c r="CG146" i="2"/>
  <c r="AM146" i="2"/>
  <c r="S146" i="2"/>
  <c r="E146" i="2"/>
  <c r="R146" i="2"/>
  <c r="D146" i="2"/>
  <c r="BD146" i="2"/>
  <c r="Q146" i="2"/>
  <c r="BC146" i="2"/>
  <c r="O146" i="2"/>
  <c r="B147" i="2"/>
  <c r="CC146" i="2"/>
  <c r="AQ146" i="2"/>
  <c r="F146" i="2"/>
  <c r="U146" i="2"/>
  <c r="G146" i="2"/>
  <c r="C146" i="2"/>
  <c r="BE146" i="2"/>
  <c r="CH146" i="2"/>
  <c r="Y146" i="2"/>
  <c r="BT146" i="2"/>
  <c r="BL146" i="2"/>
  <c r="AO146" i="2"/>
  <c r="BP145" i="2"/>
  <c r="BO145" i="2"/>
  <c r="I145" i="2"/>
  <c r="AH145" i="2"/>
  <c r="AC144" i="2"/>
  <c r="CB144" i="2"/>
  <c r="AW144" i="2"/>
  <c r="AD144" i="2"/>
  <c r="AZ144" i="2" s="1"/>
  <c r="BM144" i="2" s="1"/>
  <c r="AV144" i="2"/>
  <c r="AK144" i="2"/>
  <c r="AI144" i="2"/>
  <c r="BA144" i="2" s="1"/>
  <c r="CD145" i="2"/>
  <c r="W145" i="2"/>
  <c r="AX144" i="2" l="1"/>
  <c r="AP146" i="2"/>
  <c r="BU144" i="2"/>
  <c r="BX144" i="2" s="1"/>
  <c r="BY144" i="2" s="1"/>
  <c r="AH146" i="2"/>
  <c r="I146" i="2"/>
  <c r="AJ146" i="2" s="1"/>
  <c r="BV146" i="2"/>
  <c r="AJ145" i="2"/>
  <c r="BP146" i="2"/>
  <c r="BO146" i="2"/>
  <c r="AY146" i="2"/>
  <c r="CD146" i="2"/>
  <c r="W146" i="2"/>
  <c r="BW146" i="2"/>
  <c r="CB145" i="2"/>
  <c r="AW145" i="2"/>
  <c r="AC145" i="2"/>
  <c r="AD145" i="2"/>
  <c r="AZ145" i="2" s="1"/>
  <c r="BM145" i="2" s="1"/>
  <c r="AV145" i="2"/>
  <c r="AK145" i="2"/>
  <c r="AI145" i="2"/>
  <c r="CA144" i="2"/>
  <c r="CC147" i="2"/>
  <c r="AO147" i="2"/>
  <c r="BT147" i="2"/>
  <c r="BE147" i="2"/>
  <c r="AQ147" i="2"/>
  <c r="Y147" i="2"/>
  <c r="H147" i="2"/>
  <c r="B148" i="2"/>
  <c r="BD147" i="2"/>
  <c r="V147" i="2"/>
  <c r="G147" i="2"/>
  <c r="CH147" i="2"/>
  <c r="BC147" i="2"/>
  <c r="AN147" i="2"/>
  <c r="U147" i="2"/>
  <c r="F147" i="2"/>
  <c r="CG147" i="2"/>
  <c r="AM147" i="2"/>
  <c r="S147" i="2"/>
  <c r="E147" i="2"/>
  <c r="R147" i="2"/>
  <c r="D147" i="2"/>
  <c r="BI147" i="2"/>
  <c r="AU147" i="2"/>
  <c r="M147" i="2"/>
  <c r="BH147" i="2"/>
  <c r="AT147" i="2"/>
  <c r="L147" i="2"/>
  <c r="J147" i="2"/>
  <c r="AS147" i="2"/>
  <c r="C147" i="2"/>
  <c r="AR147" i="2"/>
  <c r="AA147" i="2"/>
  <c r="BG147" i="2"/>
  <c r="BF147" i="2"/>
  <c r="BL147" i="2"/>
  <c r="BK147" i="2"/>
  <c r="AB147" i="2"/>
  <c r="Q147" i="2"/>
  <c r="O147" i="2"/>
  <c r="N147" i="2"/>
  <c r="K147" i="2"/>
  <c r="BN144" i="2"/>
  <c r="BQ144" i="2" s="1"/>
  <c r="BR144" i="2" s="1"/>
  <c r="BA145" i="2" l="1"/>
  <c r="BU145" i="2" s="1"/>
  <c r="BX145" i="2" s="1"/>
  <c r="BY145" i="2" s="1"/>
  <c r="AP147" i="2"/>
  <c r="CA145" i="2"/>
  <c r="BW147" i="2"/>
  <c r="I147" i="2"/>
  <c r="AJ147" i="2" s="1"/>
  <c r="AH147" i="2"/>
  <c r="BO147" i="2"/>
  <c r="BP147" i="2"/>
  <c r="AX145" i="2"/>
  <c r="AY147" i="2"/>
  <c r="CC148" i="2"/>
  <c r="CG148" i="2"/>
  <c r="BC148" i="2"/>
  <c r="Y148" i="2"/>
  <c r="J148" i="2"/>
  <c r="Q148" i="2"/>
  <c r="C148" i="2"/>
  <c r="BL148" i="2"/>
  <c r="O148" i="2"/>
  <c r="BK148" i="2"/>
  <c r="N148" i="2"/>
  <c r="BI148" i="2"/>
  <c r="AU148" i="2"/>
  <c r="M148" i="2"/>
  <c r="BH148" i="2"/>
  <c r="AT148" i="2"/>
  <c r="L148" i="2"/>
  <c r="BD148" i="2"/>
  <c r="AO148" i="2"/>
  <c r="V148" i="2"/>
  <c r="G148" i="2"/>
  <c r="B149" i="2"/>
  <c r="AN148" i="2"/>
  <c r="U148" i="2"/>
  <c r="F148" i="2"/>
  <c r="AM148" i="2"/>
  <c r="BT148" i="2"/>
  <c r="AB148" i="2"/>
  <c r="BG148" i="2"/>
  <c r="K148" i="2"/>
  <c r="BF148" i="2"/>
  <c r="H148" i="2"/>
  <c r="D148" i="2"/>
  <c r="AA148" i="2"/>
  <c r="CH148" i="2"/>
  <c r="S148" i="2"/>
  <c r="R148" i="2"/>
  <c r="AR148" i="2"/>
  <c r="AQ148" i="2"/>
  <c r="E148" i="2"/>
  <c r="BE148" i="2"/>
  <c r="AS148" i="2"/>
  <c r="BV147" i="2"/>
  <c r="W147" i="2"/>
  <c r="CD147" i="2"/>
  <c r="CB146" i="2"/>
  <c r="AV146" i="2"/>
  <c r="AD146" i="2"/>
  <c r="AZ146" i="2" s="1"/>
  <c r="BM146" i="2" s="1"/>
  <c r="AC146" i="2"/>
  <c r="AW146" i="2"/>
  <c r="AI146" i="2"/>
  <c r="AK146" i="2"/>
  <c r="BN145" i="2"/>
  <c r="BQ145" i="2" s="1"/>
  <c r="BR145" i="2" s="1"/>
  <c r="AP148" i="2" l="1"/>
  <c r="BA146" i="2"/>
  <c r="BU146" i="2" s="1"/>
  <c r="BX146" i="2" s="1"/>
  <c r="BY146" i="2" s="1"/>
  <c r="CA146" i="2"/>
  <c r="AX146" i="2"/>
  <c r="W148" i="2"/>
  <c r="CD148" i="2"/>
  <c r="AH148" i="2"/>
  <c r="I148" i="2"/>
  <c r="BC149" i="2"/>
  <c r="Y149" i="2"/>
  <c r="J149" i="2"/>
  <c r="BI149" i="2"/>
  <c r="AU149" i="2"/>
  <c r="M149" i="2"/>
  <c r="CC149" i="2"/>
  <c r="L149" i="2"/>
  <c r="BL149" i="2"/>
  <c r="K149" i="2"/>
  <c r="BK149" i="2"/>
  <c r="AT149" i="2"/>
  <c r="AB149" i="2"/>
  <c r="BH149" i="2"/>
  <c r="AS149" i="2"/>
  <c r="AA149" i="2"/>
  <c r="H149" i="2"/>
  <c r="BG149" i="2"/>
  <c r="AR149" i="2"/>
  <c r="G149" i="2"/>
  <c r="AM149" i="2"/>
  <c r="R149" i="2"/>
  <c r="C149" i="2"/>
  <c r="B150" i="2"/>
  <c r="Q149" i="2"/>
  <c r="BT149" i="2"/>
  <c r="V149" i="2"/>
  <c r="U149" i="2"/>
  <c r="BE149" i="2"/>
  <c r="O149" i="2"/>
  <c r="AQ149" i="2"/>
  <c r="AO149" i="2"/>
  <c r="BF149" i="2"/>
  <c r="D149" i="2"/>
  <c r="BD149" i="2"/>
  <c r="AN149" i="2"/>
  <c r="S149" i="2"/>
  <c r="N149" i="2"/>
  <c r="F149" i="2"/>
  <c r="E149" i="2"/>
  <c r="CH149" i="2"/>
  <c r="CG149" i="2"/>
  <c r="BV148" i="2"/>
  <c r="AY148" i="2"/>
  <c r="BW148" i="2"/>
  <c r="BP148" i="2"/>
  <c r="BO148" i="2"/>
  <c r="AD147" i="2"/>
  <c r="AZ147" i="2" s="1"/>
  <c r="BM147" i="2" s="1"/>
  <c r="AC147" i="2"/>
  <c r="CB147" i="2"/>
  <c r="AV147" i="2"/>
  <c r="AW147" i="2"/>
  <c r="AK147" i="2"/>
  <c r="AI147" i="2"/>
  <c r="BN146" i="2"/>
  <c r="BQ146" i="2" s="1"/>
  <c r="BR146" i="2" s="1"/>
  <c r="AP149" i="2" l="1"/>
  <c r="AX147" i="2"/>
  <c r="BA147" i="2"/>
  <c r="BU147" i="2" s="1"/>
  <c r="BX147" i="2" s="1"/>
  <c r="BY147" i="2" s="1"/>
  <c r="CD149" i="2"/>
  <c r="W149" i="2"/>
  <c r="BV149" i="2"/>
  <c r="AH149" i="2"/>
  <c r="I149" i="2"/>
  <c r="AJ149" i="2" s="1"/>
  <c r="CG150" i="2"/>
  <c r="BD150" i="2"/>
  <c r="AQ150" i="2"/>
  <c r="AA150" i="2"/>
  <c r="K150" i="2"/>
  <c r="B151" i="2"/>
  <c r="BC150" i="2"/>
  <c r="AO150" i="2"/>
  <c r="V150" i="2"/>
  <c r="G150" i="2"/>
  <c r="CC150" i="2"/>
  <c r="M150" i="2"/>
  <c r="BL150" i="2"/>
  <c r="L150" i="2"/>
  <c r="BK150" i="2"/>
  <c r="AU150" i="2"/>
  <c r="J150" i="2"/>
  <c r="BI150" i="2"/>
  <c r="AT150" i="2"/>
  <c r="AB150" i="2"/>
  <c r="BH150" i="2"/>
  <c r="AS150" i="2"/>
  <c r="Y150" i="2"/>
  <c r="H150" i="2"/>
  <c r="BT150" i="2"/>
  <c r="AM150" i="2"/>
  <c r="R150" i="2"/>
  <c r="C150" i="2"/>
  <c r="Q150" i="2"/>
  <c r="U150" i="2"/>
  <c r="BG150" i="2"/>
  <c r="S150" i="2"/>
  <c r="BE150" i="2"/>
  <c r="N150" i="2"/>
  <c r="CH150" i="2"/>
  <c r="O150" i="2"/>
  <c r="F150" i="2"/>
  <c r="D150" i="2"/>
  <c r="AN150" i="2"/>
  <c r="BF150" i="2"/>
  <c r="E150" i="2"/>
  <c r="AR150" i="2"/>
  <c r="BW149" i="2"/>
  <c r="CB148" i="2"/>
  <c r="AW148" i="2"/>
  <c r="AV148" i="2"/>
  <c r="AD148" i="2"/>
  <c r="AZ148" i="2" s="1"/>
  <c r="BM148" i="2" s="1"/>
  <c r="AC148" i="2"/>
  <c r="AK148" i="2"/>
  <c r="AI148" i="2"/>
  <c r="AY149" i="2"/>
  <c r="CA147" i="2"/>
  <c r="AJ148" i="2"/>
  <c r="BP149" i="2"/>
  <c r="BO149" i="2"/>
  <c r="BN147" i="2"/>
  <c r="BQ147" i="2" s="1"/>
  <c r="BR147" i="2" s="1"/>
  <c r="AP150" i="2" l="1"/>
  <c r="BW150" i="2"/>
  <c r="AY150" i="2"/>
  <c r="AX148" i="2"/>
  <c r="AH150" i="2"/>
  <c r="I150" i="2"/>
  <c r="AJ150" i="2" s="1"/>
  <c r="BV150" i="2"/>
  <c r="CA148" i="2"/>
  <c r="AD149" i="2"/>
  <c r="AZ149" i="2" s="1"/>
  <c r="AW149" i="2"/>
  <c r="CB149" i="2"/>
  <c r="AV149" i="2"/>
  <c r="AC149" i="2"/>
  <c r="AK149" i="2"/>
  <c r="AI149" i="2"/>
  <c r="W150" i="2"/>
  <c r="CD150" i="2"/>
  <c r="BP150" i="2"/>
  <c r="BO150" i="2"/>
  <c r="BA148" i="2"/>
  <c r="BU148" i="2" s="1"/>
  <c r="BX148" i="2" s="1"/>
  <c r="BY148" i="2" s="1"/>
  <c r="CH151" i="2"/>
  <c r="BE151" i="2"/>
  <c r="AR151" i="2"/>
  <c r="AB151" i="2"/>
  <c r="L151" i="2"/>
  <c r="BL151" i="2"/>
  <c r="O151" i="2"/>
  <c r="BG151" i="2"/>
  <c r="AS151" i="2"/>
  <c r="AA151" i="2"/>
  <c r="M151" i="2"/>
  <c r="K151" i="2"/>
  <c r="B152" i="2"/>
  <c r="J151" i="2"/>
  <c r="CG151" i="2"/>
  <c r="AU151" i="2"/>
  <c r="Y151" i="2"/>
  <c r="H151" i="2"/>
  <c r="BF151" i="2"/>
  <c r="AO151" i="2"/>
  <c r="S151" i="2"/>
  <c r="D151" i="2"/>
  <c r="BD151" i="2"/>
  <c r="AN151" i="2"/>
  <c r="R151" i="2"/>
  <c r="C151" i="2"/>
  <c r="BT151" i="2"/>
  <c r="V151" i="2"/>
  <c r="BK151" i="2"/>
  <c r="U151" i="2"/>
  <c r="BI151" i="2"/>
  <c r="Q151" i="2"/>
  <c r="BC151" i="2"/>
  <c r="G151" i="2"/>
  <c r="BH151" i="2"/>
  <c r="AQ151" i="2"/>
  <c r="CC151" i="2"/>
  <c r="N151" i="2"/>
  <c r="F151" i="2"/>
  <c r="E151" i="2"/>
  <c r="AT151" i="2"/>
  <c r="AM151" i="2"/>
  <c r="BN148" i="2"/>
  <c r="BQ148" i="2" s="1"/>
  <c r="BR148" i="2" s="1"/>
  <c r="BA149" i="2" l="1"/>
  <c r="BU149" i="2" s="1"/>
  <c r="BX149" i="2" s="1"/>
  <c r="BY149" i="2" s="1"/>
  <c r="CD151" i="2"/>
  <c r="W151" i="2"/>
  <c r="BV151" i="2"/>
  <c r="BM149" i="2"/>
  <c r="BN149" i="2"/>
  <c r="BQ149" i="2" s="1"/>
  <c r="BR149" i="2" s="1"/>
  <c r="BW151" i="2"/>
  <c r="AW150" i="2"/>
  <c r="CB150" i="2"/>
  <c r="AV150" i="2"/>
  <c r="AD150" i="2"/>
  <c r="AZ150" i="2" s="1"/>
  <c r="BM150" i="2" s="1"/>
  <c r="AC150" i="2"/>
  <c r="AK150" i="2"/>
  <c r="AI150" i="2"/>
  <c r="BP151" i="2"/>
  <c r="BO151" i="2"/>
  <c r="CA149" i="2"/>
  <c r="AY151" i="2"/>
  <c r="B153" i="2"/>
  <c r="BT152" i="2"/>
  <c r="BF152" i="2"/>
  <c r="AS152" i="2"/>
  <c r="M152" i="2"/>
  <c r="BE152" i="2"/>
  <c r="AQ152" i="2"/>
  <c r="Y152" i="2"/>
  <c r="AM152" i="2"/>
  <c r="S152" i="2"/>
  <c r="E152" i="2"/>
  <c r="BI152" i="2"/>
  <c r="AR152" i="2"/>
  <c r="V152" i="2"/>
  <c r="D152" i="2"/>
  <c r="BH152" i="2"/>
  <c r="U152" i="2"/>
  <c r="C152" i="2"/>
  <c r="BG152" i="2"/>
  <c r="AO152" i="2"/>
  <c r="R152" i="2"/>
  <c r="BD152" i="2"/>
  <c r="AN152" i="2"/>
  <c r="Q152" i="2"/>
  <c r="BC152" i="2"/>
  <c r="O152" i="2"/>
  <c r="CH152" i="2"/>
  <c r="J152" i="2"/>
  <c r="CG152" i="2"/>
  <c r="AB152" i="2"/>
  <c r="H152" i="2"/>
  <c r="AA152" i="2"/>
  <c r="BK152" i="2"/>
  <c r="L152" i="2"/>
  <c r="AU152" i="2"/>
  <c r="AT152" i="2"/>
  <c r="BL152" i="2"/>
  <c r="CC152" i="2"/>
  <c r="F152" i="2"/>
  <c r="K152" i="2"/>
  <c r="G152" i="2"/>
  <c r="N152" i="2"/>
  <c r="AH151" i="2"/>
  <c r="I151" i="2"/>
  <c r="AP151" i="2"/>
  <c r="AX149" i="2"/>
  <c r="AP152" i="2" l="1"/>
  <c r="BN150" i="2"/>
  <c r="BQ150" i="2" s="1"/>
  <c r="BR150" i="2" s="1"/>
  <c r="BW152" i="2"/>
  <c r="BA150" i="2"/>
  <c r="BU150" i="2" s="1"/>
  <c r="BX150" i="2" s="1"/>
  <c r="BY150" i="2" s="1"/>
  <c r="BG153" i="2"/>
  <c r="AT153" i="2"/>
  <c r="N153" i="2"/>
  <c r="CC153" i="2"/>
  <c r="R153" i="2"/>
  <c r="D153" i="2"/>
  <c r="BI153" i="2"/>
  <c r="AU153" i="2"/>
  <c r="L153" i="2"/>
  <c r="K153" i="2"/>
  <c r="B154" i="2"/>
  <c r="J153" i="2"/>
  <c r="CH153" i="2"/>
  <c r="AB153" i="2"/>
  <c r="CG153" i="2"/>
  <c r="AA153" i="2"/>
  <c r="H153" i="2"/>
  <c r="BL153" i="2"/>
  <c r="AS153" i="2"/>
  <c r="Y153" i="2"/>
  <c r="G153" i="2"/>
  <c r="BE153" i="2"/>
  <c r="AO153" i="2"/>
  <c r="S153" i="2"/>
  <c r="BD153" i="2"/>
  <c r="AN153" i="2"/>
  <c r="Q153" i="2"/>
  <c r="AM153" i="2"/>
  <c r="BT153" i="2"/>
  <c r="BK153" i="2"/>
  <c r="U153" i="2"/>
  <c r="V153" i="2"/>
  <c r="O153" i="2"/>
  <c r="F153" i="2"/>
  <c r="BC153" i="2"/>
  <c r="AR153" i="2"/>
  <c r="AQ153" i="2"/>
  <c r="E153" i="2"/>
  <c r="C153" i="2"/>
  <c r="BH153" i="2"/>
  <c r="BF153" i="2"/>
  <c r="M153" i="2"/>
  <c r="AX150" i="2"/>
  <c r="AW151" i="2"/>
  <c r="AD151" i="2"/>
  <c r="AZ151" i="2" s="1"/>
  <c r="BM151" i="2" s="1"/>
  <c r="AV151" i="2"/>
  <c r="AC151" i="2"/>
  <c r="CB151" i="2"/>
  <c r="AK151" i="2"/>
  <c r="AI151" i="2"/>
  <c r="CA150" i="2"/>
  <c r="AY152" i="2"/>
  <c r="CD152" i="2"/>
  <c r="W152" i="2"/>
  <c r="AJ151" i="2"/>
  <c r="BV152" i="2"/>
  <c r="BO152" i="2"/>
  <c r="BP152" i="2"/>
  <c r="I152" i="2"/>
  <c r="AJ152" i="2" s="1"/>
  <c r="AH152" i="2"/>
  <c r="AP153" i="2" l="1"/>
  <c r="BA151" i="2"/>
  <c r="BU151" i="2" s="1"/>
  <c r="BX151" i="2" s="1"/>
  <c r="BY151" i="2" s="1"/>
  <c r="CA151" i="2"/>
  <c r="BV153" i="2"/>
  <c r="AC152" i="2"/>
  <c r="AW152" i="2"/>
  <c r="AD152" i="2"/>
  <c r="AZ152" i="2" s="1"/>
  <c r="BM152" i="2" s="1"/>
  <c r="AV152" i="2"/>
  <c r="CB152" i="2"/>
  <c r="AI152" i="2"/>
  <c r="AK152" i="2"/>
  <c r="AH153" i="2"/>
  <c r="I153" i="2"/>
  <c r="AJ153" i="2" s="1"/>
  <c r="AY153" i="2"/>
  <c r="BP153" i="2"/>
  <c r="BO153" i="2"/>
  <c r="CD153" i="2"/>
  <c r="W153" i="2"/>
  <c r="BW153" i="2"/>
  <c r="AX151" i="2"/>
  <c r="BH154" i="2"/>
  <c r="AU154" i="2"/>
  <c r="O154" i="2"/>
  <c r="C154" i="2"/>
  <c r="BG154" i="2"/>
  <c r="AS154" i="2"/>
  <c r="AB154" i="2"/>
  <c r="K154" i="2"/>
  <c r="CH154" i="2"/>
  <c r="BC154" i="2"/>
  <c r="AO154" i="2"/>
  <c r="V154" i="2"/>
  <c r="G154" i="2"/>
  <c r="BI154" i="2"/>
  <c r="AQ154" i="2"/>
  <c r="U154" i="2"/>
  <c r="D154" i="2"/>
  <c r="BF154" i="2"/>
  <c r="S154" i="2"/>
  <c r="BE154" i="2"/>
  <c r="AN154" i="2"/>
  <c r="R154" i="2"/>
  <c r="BD154" i="2"/>
  <c r="AM154" i="2"/>
  <c r="Q154" i="2"/>
  <c r="BT154" i="2"/>
  <c r="N154" i="2"/>
  <c r="CG154" i="2"/>
  <c r="AA154" i="2"/>
  <c r="H154" i="2"/>
  <c r="B155" i="2"/>
  <c r="AR154" i="2"/>
  <c r="CC154" i="2"/>
  <c r="Y154" i="2"/>
  <c r="L154" i="2"/>
  <c r="J154" i="2"/>
  <c r="F154" i="2"/>
  <c r="BK154" i="2"/>
  <c r="AT154" i="2"/>
  <c r="M154" i="2"/>
  <c r="BL154" i="2"/>
  <c r="E154" i="2"/>
  <c r="BN151" i="2"/>
  <c r="BQ151" i="2" s="1"/>
  <c r="BR151" i="2" s="1"/>
  <c r="BW154" i="2" l="1"/>
  <c r="AX152" i="2"/>
  <c r="AP154" i="2"/>
  <c r="CD154" i="2"/>
  <c r="W154" i="2"/>
  <c r="BV154" i="2"/>
  <c r="BP154" i="2"/>
  <c r="BO154" i="2"/>
  <c r="AH154" i="2"/>
  <c r="I154" i="2"/>
  <c r="AJ154" i="2" s="1"/>
  <c r="CA152" i="2"/>
  <c r="BI155" i="2"/>
  <c r="Q155" i="2"/>
  <c r="D155" i="2"/>
  <c r="CG155" i="2"/>
  <c r="AN155" i="2"/>
  <c r="U155" i="2"/>
  <c r="F155" i="2"/>
  <c r="BL155" i="2"/>
  <c r="N155" i="2"/>
  <c r="K155" i="2"/>
  <c r="B156" i="2"/>
  <c r="J155" i="2"/>
  <c r="CH155" i="2"/>
  <c r="AU155" i="2"/>
  <c r="AB155" i="2"/>
  <c r="AT155" i="2"/>
  <c r="AA155" i="2"/>
  <c r="H155" i="2"/>
  <c r="CC155" i="2"/>
  <c r="BK155" i="2"/>
  <c r="AS155" i="2"/>
  <c r="Y155" i="2"/>
  <c r="G155" i="2"/>
  <c r="BE155" i="2"/>
  <c r="AO155" i="2"/>
  <c r="R155" i="2"/>
  <c r="BD155" i="2"/>
  <c r="AM155" i="2"/>
  <c r="O155" i="2"/>
  <c r="AR155" i="2"/>
  <c r="AQ155" i="2"/>
  <c r="BH155" i="2"/>
  <c r="C155" i="2"/>
  <c r="BG155" i="2"/>
  <c r="BF155" i="2"/>
  <c r="S155" i="2"/>
  <c r="M155" i="2"/>
  <c r="BT155" i="2"/>
  <c r="L155" i="2"/>
  <c r="E155" i="2"/>
  <c r="V155" i="2"/>
  <c r="BC155" i="2"/>
  <c r="AY154" i="2"/>
  <c r="BA152" i="2"/>
  <c r="BU152" i="2" s="1"/>
  <c r="BX152" i="2" s="1"/>
  <c r="BY152" i="2" s="1"/>
  <c r="AD153" i="2"/>
  <c r="AZ153" i="2" s="1"/>
  <c r="CA153" i="2" s="1"/>
  <c r="AC153" i="2"/>
  <c r="AW153" i="2"/>
  <c r="AV153" i="2"/>
  <c r="CB153" i="2"/>
  <c r="AK153" i="2"/>
  <c r="AI153" i="2"/>
  <c r="BN152" i="2"/>
  <c r="BQ152" i="2" s="1"/>
  <c r="BR152" i="2" s="1"/>
  <c r="AX153" i="2" l="1"/>
  <c r="BW155" i="2"/>
  <c r="BA153" i="2"/>
  <c r="BU153" i="2" s="1"/>
  <c r="BX153" i="2" s="1"/>
  <c r="BY153" i="2" s="1"/>
  <c r="AY155" i="2"/>
  <c r="BV155" i="2"/>
  <c r="AW154" i="2"/>
  <c r="AC154" i="2"/>
  <c r="AV154" i="2"/>
  <c r="CB154" i="2"/>
  <c r="AD154" i="2"/>
  <c r="AZ154" i="2" s="1"/>
  <c r="CA154" i="2" s="1"/>
  <c r="AK154" i="2"/>
  <c r="AI154" i="2"/>
  <c r="BK156" i="2"/>
  <c r="R156" i="2"/>
  <c r="E156" i="2"/>
  <c r="BI156" i="2"/>
  <c r="AU156" i="2"/>
  <c r="M156" i="2"/>
  <c r="BT156" i="2"/>
  <c r="BE156" i="2"/>
  <c r="AQ156" i="2"/>
  <c r="Y156" i="2"/>
  <c r="BG156" i="2"/>
  <c r="U156" i="2"/>
  <c r="C156" i="2"/>
  <c r="BF156" i="2"/>
  <c r="AO156" i="2"/>
  <c r="S156" i="2"/>
  <c r="BD156" i="2"/>
  <c r="AN156" i="2"/>
  <c r="Q156" i="2"/>
  <c r="BC156" i="2"/>
  <c r="AM156" i="2"/>
  <c r="O156" i="2"/>
  <c r="N156" i="2"/>
  <c r="CG156" i="2"/>
  <c r="AB156" i="2"/>
  <c r="H156" i="2"/>
  <c r="AT156" i="2"/>
  <c r="AA156" i="2"/>
  <c r="G156" i="2"/>
  <c r="F156" i="2"/>
  <c r="D156" i="2"/>
  <c r="B157" i="2"/>
  <c r="AS156" i="2"/>
  <c r="CC156" i="2"/>
  <c r="BL156" i="2"/>
  <c r="AR156" i="2"/>
  <c r="J156" i="2"/>
  <c r="BH156" i="2"/>
  <c r="V156" i="2"/>
  <c r="L156" i="2"/>
  <c r="K156" i="2"/>
  <c r="CH156" i="2"/>
  <c r="BP155" i="2"/>
  <c r="BO155" i="2"/>
  <c r="AP155" i="2"/>
  <c r="AH155" i="2"/>
  <c r="I155" i="2"/>
  <c r="AJ155" i="2" s="1"/>
  <c r="BM153" i="2"/>
  <c r="BN153" i="2"/>
  <c r="BQ153" i="2" s="1"/>
  <c r="BR153" i="2" s="1"/>
  <c r="CD155" i="2"/>
  <c r="W155" i="2"/>
  <c r="AP156" i="2" l="1"/>
  <c r="AX154" i="2"/>
  <c r="BL157" i="2"/>
  <c r="S157" i="2"/>
  <c r="F157" i="2"/>
  <c r="BD157" i="2"/>
  <c r="H157" i="2"/>
  <c r="Q157" i="2"/>
  <c r="C157" i="2"/>
  <c r="K157" i="2"/>
  <c r="B158" i="2"/>
  <c r="J157" i="2"/>
  <c r="CH157" i="2"/>
  <c r="AU157" i="2"/>
  <c r="AB157" i="2"/>
  <c r="CG157" i="2"/>
  <c r="BK157" i="2"/>
  <c r="AT157" i="2"/>
  <c r="AA157" i="2"/>
  <c r="G157" i="2"/>
  <c r="CC157" i="2"/>
  <c r="BI157" i="2"/>
  <c r="AS157" i="2"/>
  <c r="Y157" i="2"/>
  <c r="E157" i="2"/>
  <c r="BE157" i="2"/>
  <c r="AN157" i="2"/>
  <c r="O157" i="2"/>
  <c r="BC157" i="2"/>
  <c r="AM157" i="2"/>
  <c r="N157" i="2"/>
  <c r="BF157" i="2"/>
  <c r="L157" i="2"/>
  <c r="D157" i="2"/>
  <c r="AQ157" i="2"/>
  <c r="BT157" i="2"/>
  <c r="V157" i="2"/>
  <c r="U157" i="2"/>
  <c r="BG157" i="2"/>
  <c r="AR157" i="2"/>
  <c r="AO157" i="2"/>
  <c r="BH157" i="2"/>
  <c r="R157" i="2"/>
  <c r="M157" i="2"/>
  <c r="I156" i="2"/>
  <c r="AJ156" i="2" s="1"/>
  <c r="AH156" i="2"/>
  <c r="BW156" i="2"/>
  <c r="CD156" i="2"/>
  <c r="W156" i="2"/>
  <c r="BM154" i="2"/>
  <c r="BN154" i="2"/>
  <c r="BQ154" i="2" s="1"/>
  <c r="BR154" i="2" s="1"/>
  <c r="BV156" i="2"/>
  <c r="AV155" i="2"/>
  <c r="AW155" i="2"/>
  <c r="AD155" i="2"/>
  <c r="AZ155" i="2" s="1"/>
  <c r="BM155" i="2" s="1"/>
  <c r="AC155" i="2"/>
  <c r="CB155" i="2"/>
  <c r="AI155" i="2"/>
  <c r="AK155" i="2"/>
  <c r="BP156" i="2"/>
  <c r="AY156" i="2"/>
  <c r="BA154" i="2"/>
  <c r="BU154" i="2" s="1"/>
  <c r="BX154" i="2" s="1"/>
  <c r="BY154" i="2" s="1"/>
  <c r="AP157" i="2" l="1"/>
  <c r="AY157" i="2"/>
  <c r="BN155" i="2"/>
  <c r="BQ155" i="2" s="1"/>
  <c r="BR155" i="2" s="1"/>
  <c r="I157" i="2"/>
  <c r="AH157" i="2"/>
  <c r="BW157" i="2"/>
  <c r="BV157" i="2"/>
  <c r="CA155" i="2"/>
  <c r="BA155" i="2"/>
  <c r="BU155" i="2" s="1"/>
  <c r="BX155" i="2" s="1"/>
  <c r="BY155" i="2" s="1"/>
  <c r="BP157" i="2"/>
  <c r="BO157" i="2"/>
  <c r="W157" i="2"/>
  <c r="CD157" i="2"/>
  <c r="AW156" i="2"/>
  <c r="AD156" i="2"/>
  <c r="AZ156" i="2" s="1"/>
  <c r="BM156" i="2" s="1"/>
  <c r="AV156" i="2"/>
  <c r="CB156" i="2"/>
  <c r="AC156" i="2"/>
  <c r="AK156" i="2"/>
  <c r="AI156" i="2"/>
  <c r="AM158" i="2"/>
  <c r="U158" i="2"/>
  <c r="G158" i="2"/>
  <c r="B159" i="2"/>
  <c r="BD158" i="2"/>
  <c r="H158" i="2"/>
  <c r="BT158" i="2"/>
  <c r="BC158" i="2"/>
  <c r="AN158" i="2"/>
  <c r="R158" i="2"/>
  <c r="C158" i="2"/>
  <c r="M158" i="2"/>
  <c r="CH158" i="2"/>
  <c r="BL158" i="2"/>
  <c r="AT158" i="2"/>
  <c r="Y158" i="2"/>
  <c r="D158" i="2"/>
  <c r="CG158" i="2"/>
  <c r="BK158" i="2"/>
  <c r="AS158" i="2"/>
  <c r="V158" i="2"/>
  <c r="CC158" i="2"/>
  <c r="BI158" i="2"/>
  <c r="AR158" i="2"/>
  <c r="S158" i="2"/>
  <c r="BH158" i="2"/>
  <c r="AQ158" i="2"/>
  <c r="Q158" i="2"/>
  <c r="BG158" i="2"/>
  <c r="AO158" i="2"/>
  <c r="O158" i="2"/>
  <c r="J158" i="2"/>
  <c r="N158" i="2"/>
  <c r="L158" i="2"/>
  <c r="BF158" i="2"/>
  <c r="K158" i="2"/>
  <c r="E158" i="2"/>
  <c r="BE158" i="2"/>
  <c r="AB158" i="2"/>
  <c r="AA158" i="2"/>
  <c r="F158" i="2"/>
  <c r="AU158" i="2"/>
  <c r="AX155" i="2"/>
  <c r="AX156" i="2" l="1"/>
  <c r="AP158" i="2"/>
  <c r="CA156" i="2"/>
  <c r="BN156" i="2"/>
  <c r="AH158" i="2"/>
  <c r="I158" i="2"/>
  <c r="AJ158" i="2" s="1"/>
  <c r="AN159" i="2"/>
  <c r="V159" i="2"/>
  <c r="H159" i="2"/>
  <c r="BL159" i="2"/>
  <c r="O159" i="2"/>
  <c r="BT159" i="2"/>
  <c r="BD159" i="2"/>
  <c r="AO159" i="2"/>
  <c r="S159" i="2"/>
  <c r="D159" i="2"/>
  <c r="CG159" i="2"/>
  <c r="M159" i="2"/>
  <c r="BI159" i="2"/>
  <c r="AR159" i="2"/>
  <c r="U159" i="2"/>
  <c r="CC159" i="2"/>
  <c r="BH159" i="2"/>
  <c r="AQ159" i="2"/>
  <c r="R159" i="2"/>
  <c r="BG159" i="2"/>
  <c r="Q159" i="2"/>
  <c r="BF159" i="2"/>
  <c r="AM159" i="2"/>
  <c r="N159" i="2"/>
  <c r="BE159" i="2"/>
  <c r="L159" i="2"/>
  <c r="AB159" i="2"/>
  <c r="G159" i="2"/>
  <c r="AU159" i="2"/>
  <c r="AA159" i="2"/>
  <c r="F159" i="2"/>
  <c r="CH159" i="2"/>
  <c r="Y159" i="2"/>
  <c r="K159" i="2"/>
  <c r="C159" i="2"/>
  <c r="AT159" i="2"/>
  <c r="B160" i="2"/>
  <c r="BK159" i="2"/>
  <c r="J159" i="2"/>
  <c r="E159" i="2"/>
  <c r="AS159" i="2"/>
  <c r="BC159" i="2"/>
  <c r="BW158" i="2"/>
  <c r="AW157" i="2"/>
  <c r="AD157" i="2"/>
  <c r="AZ157" i="2" s="1"/>
  <c r="BM157" i="2" s="1"/>
  <c r="AV157" i="2"/>
  <c r="AC157" i="2"/>
  <c r="CB157" i="2"/>
  <c r="AK157" i="2"/>
  <c r="AI157" i="2"/>
  <c r="AJ157" i="2"/>
  <c r="W158" i="2"/>
  <c r="CD158" i="2"/>
  <c r="BV158" i="2"/>
  <c r="BP158" i="2"/>
  <c r="BA156" i="2"/>
  <c r="BU156" i="2" s="1"/>
  <c r="BX156" i="2" s="1"/>
  <c r="BY156" i="2" s="1"/>
  <c r="AY158" i="2"/>
  <c r="BA157" i="2" l="1"/>
  <c r="BU157" i="2" s="1"/>
  <c r="BX157" i="2" s="1"/>
  <c r="BY157" i="2" s="1"/>
  <c r="BN157" i="2"/>
  <c r="BQ157" i="2" s="1"/>
  <c r="BR157" i="2" s="1"/>
  <c r="CC160" i="2"/>
  <c r="AO160" i="2"/>
  <c r="BF160" i="2"/>
  <c r="AR160" i="2"/>
  <c r="AA160" i="2"/>
  <c r="J160" i="2"/>
  <c r="BT160" i="2"/>
  <c r="BD160" i="2"/>
  <c r="AN160" i="2"/>
  <c r="S160" i="2"/>
  <c r="D160" i="2"/>
  <c r="CG160" i="2"/>
  <c r="N160" i="2"/>
  <c r="BH160" i="2"/>
  <c r="Q160" i="2"/>
  <c r="BG160" i="2"/>
  <c r="AM160" i="2"/>
  <c r="O160" i="2"/>
  <c r="BE160" i="2"/>
  <c r="M160" i="2"/>
  <c r="BC160" i="2"/>
  <c r="L160" i="2"/>
  <c r="K160" i="2"/>
  <c r="B161" i="2"/>
  <c r="AU160" i="2"/>
  <c r="Y160" i="2"/>
  <c r="E160" i="2"/>
  <c r="CH160" i="2"/>
  <c r="BL160" i="2"/>
  <c r="AT160" i="2"/>
  <c r="V160" i="2"/>
  <c r="C160" i="2"/>
  <c r="AS160" i="2"/>
  <c r="AQ160" i="2"/>
  <c r="BK160" i="2"/>
  <c r="H160" i="2"/>
  <c r="BI160" i="2"/>
  <c r="G160" i="2"/>
  <c r="F160" i="2"/>
  <c r="AB160" i="2"/>
  <c r="U160" i="2"/>
  <c r="R160" i="2"/>
  <c r="BW159" i="2"/>
  <c r="BV159" i="2"/>
  <c r="CA157" i="2"/>
  <c r="AY159" i="2"/>
  <c r="AP159" i="2"/>
  <c r="BO159" i="2"/>
  <c r="BP159" i="2"/>
  <c r="AX157" i="2"/>
  <c r="AH159" i="2"/>
  <c r="I159" i="2"/>
  <c r="AW158" i="2"/>
  <c r="CB158" i="2"/>
  <c r="AD158" i="2"/>
  <c r="AZ158" i="2" s="1"/>
  <c r="CA158" i="2" s="1"/>
  <c r="AC158" i="2"/>
  <c r="AV158" i="2"/>
  <c r="AI158" i="2"/>
  <c r="AK158" i="2"/>
  <c r="CD159" i="2"/>
  <c r="W159" i="2"/>
  <c r="BO156" i="2"/>
  <c r="BQ156" i="2"/>
  <c r="BR156" i="2" s="1"/>
  <c r="AP160" i="2" l="1"/>
  <c r="CB159" i="2"/>
  <c r="AW159" i="2"/>
  <c r="AV159" i="2"/>
  <c r="AD159" i="2"/>
  <c r="AZ159" i="2" s="1"/>
  <c r="BM159" i="2" s="1"/>
  <c r="AC159" i="2"/>
  <c r="AI159" i="2"/>
  <c r="AK159" i="2"/>
  <c r="BV160" i="2"/>
  <c r="AY160" i="2"/>
  <c r="BA158" i="2"/>
  <c r="BU158" i="2" s="1"/>
  <c r="BX158" i="2" s="1"/>
  <c r="BY158" i="2" s="1"/>
  <c r="W160" i="2"/>
  <c r="CD160" i="2"/>
  <c r="BW160" i="2"/>
  <c r="AX158" i="2"/>
  <c r="AJ159" i="2"/>
  <c r="BO160" i="2"/>
  <c r="BP160" i="2"/>
  <c r="BM158" i="2"/>
  <c r="BN158" i="2"/>
  <c r="I160" i="2"/>
  <c r="AJ160" i="2" s="1"/>
  <c r="AH160" i="2"/>
  <c r="BC161" i="2"/>
  <c r="Y161" i="2"/>
  <c r="J161" i="2"/>
  <c r="CC161" i="2"/>
  <c r="R161" i="2"/>
  <c r="D161" i="2"/>
  <c r="BK161" i="2"/>
  <c r="N161" i="2"/>
  <c r="BT161" i="2"/>
  <c r="BE161" i="2"/>
  <c r="AQ161" i="2"/>
  <c r="B162" i="2"/>
  <c r="AT161" i="2"/>
  <c r="V161" i="2"/>
  <c r="E161" i="2"/>
  <c r="BG161" i="2"/>
  <c r="AN161" i="2"/>
  <c r="O161" i="2"/>
  <c r="AR161" i="2"/>
  <c r="M161" i="2"/>
  <c r="BL161" i="2"/>
  <c r="AO161" i="2"/>
  <c r="L161" i="2"/>
  <c r="BI161" i="2"/>
  <c r="AM161" i="2"/>
  <c r="K161" i="2"/>
  <c r="CH161" i="2"/>
  <c r="BH161" i="2"/>
  <c r="CG161" i="2"/>
  <c r="BF161" i="2"/>
  <c r="H161" i="2"/>
  <c r="AA161" i="2"/>
  <c r="U161" i="2"/>
  <c r="G161" i="2"/>
  <c r="F161" i="2"/>
  <c r="BD161" i="2"/>
  <c r="C161" i="2"/>
  <c r="AB161" i="2"/>
  <c r="AS161" i="2"/>
  <c r="S161" i="2"/>
  <c r="AU161" i="2"/>
  <c r="Q161" i="2"/>
  <c r="AX159" i="2" l="1"/>
  <c r="BN159" i="2"/>
  <c r="BQ159" i="2" s="1"/>
  <c r="BR159" i="2" s="1"/>
  <c r="BA159" i="2"/>
  <c r="BU159" i="2" s="1"/>
  <c r="BX159" i="2" s="1"/>
  <c r="BY159" i="2" s="1"/>
  <c r="AP161" i="2"/>
  <c r="BV161" i="2"/>
  <c r="AY161" i="2"/>
  <c r="BW161" i="2"/>
  <c r="AH161" i="2"/>
  <c r="I161" i="2"/>
  <c r="CG162" i="2"/>
  <c r="BD162" i="2"/>
  <c r="AQ162" i="2"/>
  <c r="AA162" i="2"/>
  <c r="K162" i="2"/>
  <c r="BH162" i="2"/>
  <c r="AT162" i="2"/>
  <c r="L162" i="2"/>
  <c r="BT162" i="2"/>
  <c r="BE162" i="2"/>
  <c r="H162" i="2"/>
  <c r="Q162" i="2"/>
  <c r="C162" i="2"/>
  <c r="CH162" i="2"/>
  <c r="BL162" i="2"/>
  <c r="AS162" i="2"/>
  <c r="U162" i="2"/>
  <c r="BF162" i="2"/>
  <c r="AM162" i="2"/>
  <c r="N162" i="2"/>
  <c r="CC162" i="2"/>
  <c r="BC162" i="2"/>
  <c r="F162" i="2"/>
  <c r="E162" i="2"/>
  <c r="AB162" i="2"/>
  <c r="D162" i="2"/>
  <c r="Y162" i="2"/>
  <c r="V162" i="2"/>
  <c r="AO162" i="2"/>
  <c r="M162" i="2"/>
  <c r="BK162" i="2"/>
  <c r="AN162" i="2"/>
  <c r="J162" i="2"/>
  <c r="AU162" i="2"/>
  <c r="AR162" i="2"/>
  <c r="B163" i="2"/>
  <c r="S162" i="2"/>
  <c r="G162" i="2"/>
  <c r="BI162" i="2"/>
  <c r="BG162" i="2"/>
  <c r="R162" i="2"/>
  <c r="O162" i="2"/>
  <c r="BQ158" i="2"/>
  <c r="BR158" i="2" s="1"/>
  <c r="BO158" i="2"/>
  <c r="CD161" i="2"/>
  <c r="W161" i="2"/>
  <c r="CA159" i="2"/>
  <c r="BP161" i="2"/>
  <c r="BO161" i="2"/>
  <c r="AV160" i="2"/>
  <c r="AD160" i="2"/>
  <c r="AZ160" i="2" s="1"/>
  <c r="CA160" i="2" s="1"/>
  <c r="CB160" i="2"/>
  <c r="AC160" i="2"/>
  <c r="AW160" i="2"/>
  <c r="AI160" i="2"/>
  <c r="AK160" i="2"/>
  <c r="AX160" i="2" l="1"/>
  <c r="AY162" i="2"/>
  <c r="BV162" i="2"/>
  <c r="AH162" i="2"/>
  <c r="I162" i="2"/>
  <c r="BA160" i="2"/>
  <c r="BU160" i="2" s="1"/>
  <c r="BX160" i="2" s="1"/>
  <c r="BY160" i="2" s="1"/>
  <c r="AV161" i="2"/>
  <c r="AW161" i="2"/>
  <c r="AC161" i="2"/>
  <c r="CB161" i="2"/>
  <c r="AD161" i="2"/>
  <c r="AZ161" i="2" s="1"/>
  <c r="BM161" i="2" s="1"/>
  <c r="AI161" i="2"/>
  <c r="AK161" i="2"/>
  <c r="BO162" i="2"/>
  <c r="BP162" i="2"/>
  <c r="AJ161" i="2"/>
  <c r="CH163" i="2"/>
  <c r="BE163" i="2"/>
  <c r="AR163" i="2"/>
  <c r="AB163" i="2"/>
  <c r="L163" i="2"/>
  <c r="CG163" i="2"/>
  <c r="AN163" i="2"/>
  <c r="U163" i="2"/>
  <c r="F163" i="2"/>
  <c r="Q163" i="2"/>
  <c r="C163" i="2"/>
  <c r="BG163" i="2"/>
  <c r="AS163" i="2"/>
  <c r="AA163" i="2"/>
  <c r="J163" i="2"/>
  <c r="BK163" i="2"/>
  <c r="AQ163" i="2"/>
  <c r="S163" i="2"/>
  <c r="BD163" i="2"/>
  <c r="M163" i="2"/>
  <c r="BT163" i="2"/>
  <c r="V163" i="2"/>
  <c r="AU163" i="2"/>
  <c r="R163" i="2"/>
  <c r="AT163" i="2"/>
  <c r="O163" i="2"/>
  <c r="N163" i="2"/>
  <c r="BL163" i="2"/>
  <c r="AO163" i="2"/>
  <c r="K163" i="2"/>
  <c r="BC163" i="2"/>
  <c r="E163" i="2"/>
  <c r="D163" i="2"/>
  <c r="CC163" i="2"/>
  <c r="H163" i="2"/>
  <c r="BI163" i="2"/>
  <c r="G163" i="2"/>
  <c r="BH163" i="2"/>
  <c r="AM163" i="2"/>
  <c r="Y163" i="2"/>
  <c r="BF163" i="2"/>
  <c r="B164" i="2"/>
  <c r="BM160" i="2"/>
  <c r="BN160" i="2"/>
  <c r="BQ160" i="2" s="1"/>
  <c r="BR160" i="2" s="1"/>
  <c r="AP162" i="2"/>
  <c r="W162" i="2"/>
  <c r="CD162" i="2"/>
  <c r="BW162" i="2"/>
  <c r="BW163" i="2" l="1"/>
  <c r="BA161" i="2"/>
  <c r="BU161" i="2" s="1"/>
  <c r="BX161" i="2" s="1"/>
  <c r="BY161" i="2" s="1"/>
  <c r="CA161" i="2"/>
  <c r="BN161" i="2"/>
  <c r="BQ161" i="2" s="1"/>
  <c r="BR161" i="2" s="1"/>
  <c r="AX161" i="2"/>
  <c r="BP163" i="2"/>
  <c r="BO163" i="2"/>
  <c r="AC162" i="2"/>
  <c r="CB162" i="2"/>
  <c r="AD162" i="2"/>
  <c r="AZ162" i="2" s="1"/>
  <c r="BM162" i="2" s="1"/>
  <c r="AW162" i="2"/>
  <c r="AV162" i="2"/>
  <c r="AK162" i="2"/>
  <c r="AI162" i="2"/>
  <c r="BV163" i="2"/>
  <c r="I163" i="2"/>
  <c r="AH163" i="2"/>
  <c r="AY163" i="2"/>
  <c r="CG164" i="2"/>
  <c r="BD164" i="2"/>
  <c r="AQ164" i="2"/>
  <c r="AA164" i="2"/>
  <c r="K164" i="2"/>
  <c r="BK164" i="2"/>
  <c r="N164" i="2"/>
  <c r="CH164" i="2"/>
  <c r="O164" i="2"/>
  <c r="BL164" i="2"/>
  <c r="AU164" i="2"/>
  <c r="J164" i="2"/>
  <c r="BE164" i="2"/>
  <c r="AO164" i="2"/>
  <c r="U164" i="2"/>
  <c r="E164" i="2"/>
  <c r="AS164" i="2"/>
  <c r="S164" i="2"/>
  <c r="CC164" i="2"/>
  <c r="BG164" i="2"/>
  <c r="AM164" i="2"/>
  <c r="L164" i="2"/>
  <c r="AN164" i="2"/>
  <c r="H164" i="2"/>
  <c r="BI164" i="2"/>
  <c r="G164" i="2"/>
  <c r="BH164" i="2"/>
  <c r="F164" i="2"/>
  <c r="B165" i="2"/>
  <c r="BF164" i="2"/>
  <c r="D164" i="2"/>
  <c r="V164" i="2"/>
  <c r="R164" i="2"/>
  <c r="BC164" i="2"/>
  <c r="AT164" i="2"/>
  <c r="AR164" i="2"/>
  <c r="Q164" i="2"/>
  <c r="M164" i="2"/>
  <c r="BT164" i="2"/>
  <c r="Y164" i="2"/>
  <c r="C164" i="2"/>
  <c r="AB164" i="2"/>
  <c r="AJ162" i="2"/>
  <c r="AP163" i="2"/>
  <c r="CD163" i="2"/>
  <c r="W163" i="2"/>
  <c r="AX162" i="2" l="1"/>
  <c r="BW164" i="2"/>
  <c r="BN162" i="2"/>
  <c r="BQ162" i="2" s="1"/>
  <c r="BR162" i="2" s="1"/>
  <c r="AP164" i="2"/>
  <c r="CA162" i="2"/>
  <c r="BO164" i="2"/>
  <c r="BP164" i="2"/>
  <c r="AH164" i="2"/>
  <c r="I164" i="2"/>
  <c r="CB163" i="2"/>
  <c r="AV163" i="2"/>
  <c r="AD163" i="2"/>
  <c r="AZ163" i="2" s="1"/>
  <c r="BM163" i="2" s="1"/>
  <c r="AC163" i="2"/>
  <c r="AW163" i="2"/>
  <c r="AI163" i="2"/>
  <c r="AK163" i="2"/>
  <c r="AJ163" i="2"/>
  <c r="AY164" i="2"/>
  <c r="CH165" i="2"/>
  <c r="BE165" i="2"/>
  <c r="AR165" i="2"/>
  <c r="AB165" i="2"/>
  <c r="L165" i="2"/>
  <c r="CG165" i="2"/>
  <c r="BT165" i="2"/>
  <c r="BD165" i="2"/>
  <c r="H165" i="2"/>
  <c r="B166" i="2"/>
  <c r="O165" i="2"/>
  <c r="BL165" i="2"/>
  <c r="K165" i="2"/>
  <c r="BK165" i="2"/>
  <c r="AU165" i="2"/>
  <c r="BF165" i="2"/>
  <c r="AO165" i="2"/>
  <c r="U165" i="2"/>
  <c r="E165" i="2"/>
  <c r="AA165" i="2"/>
  <c r="D165" i="2"/>
  <c r="AT165" i="2"/>
  <c r="R165" i="2"/>
  <c r="AN165" i="2"/>
  <c r="AM165" i="2"/>
  <c r="G165" i="2"/>
  <c r="F165" i="2"/>
  <c r="BI165" i="2"/>
  <c r="C165" i="2"/>
  <c r="BH165" i="2"/>
  <c r="CC165" i="2"/>
  <c r="Q165" i="2"/>
  <c r="N165" i="2"/>
  <c r="AS165" i="2"/>
  <c r="AQ165" i="2"/>
  <c r="Y165" i="2"/>
  <c r="V165" i="2"/>
  <c r="S165" i="2"/>
  <c r="BG165" i="2"/>
  <c r="BC165" i="2"/>
  <c r="M165" i="2"/>
  <c r="J165" i="2"/>
  <c r="CD164" i="2"/>
  <c r="W164" i="2"/>
  <c r="BV164" i="2"/>
  <c r="BA162" i="2"/>
  <c r="BU162" i="2" s="1"/>
  <c r="BX162" i="2" s="1"/>
  <c r="BY162" i="2" s="1"/>
  <c r="AX163" i="2" l="1"/>
  <c r="AJ164" i="2"/>
  <c r="I165" i="2"/>
  <c r="AH165" i="2"/>
  <c r="BV165" i="2"/>
  <c r="AV164" i="2"/>
  <c r="CB164" i="2"/>
  <c r="AC164" i="2"/>
  <c r="AD164" i="2"/>
  <c r="AZ164" i="2" s="1"/>
  <c r="BM164" i="2" s="1"/>
  <c r="AW164" i="2"/>
  <c r="AI164" i="2"/>
  <c r="AK164" i="2"/>
  <c r="BW165" i="2"/>
  <c r="BA163" i="2"/>
  <c r="BU163" i="2" s="1"/>
  <c r="BX163" i="2" s="1"/>
  <c r="BY163" i="2" s="1"/>
  <c r="AP165" i="2"/>
  <c r="B167" i="2"/>
  <c r="BT166" i="2"/>
  <c r="BF166" i="2"/>
  <c r="AS166" i="2"/>
  <c r="M166" i="2"/>
  <c r="BK166" i="2"/>
  <c r="N166" i="2"/>
  <c r="BC166" i="2"/>
  <c r="AN166" i="2"/>
  <c r="S166" i="2"/>
  <c r="D166" i="2"/>
  <c r="BE166" i="2"/>
  <c r="AO166" i="2"/>
  <c r="R166" i="2"/>
  <c r="L166" i="2"/>
  <c r="K166" i="2"/>
  <c r="CC166" i="2"/>
  <c r="BL166" i="2"/>
  <c r="AT166" i="2"/>
  <c r="Y166" i="2"/>
  <c r="G166" i="2"/>
  <c r="V166" i="2"/>
  <c r="AQ166" i="2"/>
  <c r="J166" i="2"/>
  <c r="CG166" i="2"/>
  <c r="Q166" i="2"/>
  <c r="O166" i="2"/>
  <c r="AU166" i="2"/>
  <c r="AR166" i="2"/>
  <c r="H166" i="2"/>
  <c r="F166" i="2"/>
  <c r="BI166" i="2"/>
  <c r="AB166" i="2"/>
  <c r="BH166" i="2"/>
  <c r="AA166" i="2"/>
  <c r="U166" i="2"/>
  <c r="E166" i="2"/>
  <c r="BG166" i="2"/>
  <c r="AM166" i="2"/>
  <c r="CH166" i="2"/>
  <c r="BD166" i="2"/>
  <c r="C166" i="2"/>
  <c r="AY165" i="2"/>
  <c r="W165" i="2"/>
  <c r="CD165" i="2"/>
  <c r="BO165" i="2"/>
  <c r="BP165" i="2"/>
  <c r="CA163" i="2"/>
  <c r="BN163" i="2"/>
  <c r="BQ163" i="2" s="1"/>
  <c r="BR163" i="2" s="1"/>
  <c r="AX164" i="2" l="1"/>
  <c r="BV166" i="2"/>
  <c r="AH166" i="2"/>
  <c r="I166" i="2"/>
  <c r="BG167" i="2"/>
  <c r="AT167" i="2"/>
  <c r="N167" i="2"/>
  <c r="B168" i="2"/>
  <c r="BD167" i="2"/>
  <c r="H167" i="2"/>
  <c r="BT167" i="2"/>
  <c r="BC167" i="2"/>
  <c r="AN167" i="2"/>
  <c r="S167" i="2"/>
  <c r="D167" i="2"/>
  <c r="AB167" i="2"/>
  <c r="BI167" i="2"/>
  <c r="AR167" i="2"/>
  <c r="V167" i="2"/>
  <c r="E167" i="2"/>
  <c r="BH167" i="2"/>
  <c r="AQ167" i="2"/>
  <c r="U167" i="2"/>
  <c r="C167" i="2"/>
  <c r="M167" i="2"/>
  <c r="R167" i="2"/>
  <c r="AO167" i="2"/>
  <c r="K167" i="2"/>
  <c r="BL167" i="2"/>
  <c r="BK167" i="2"/>
  <c r="BF167" i="2"/>
  <c r="AA167" i="2"/>
  <c r="BE167" i="2"/>
  <c r="Y167" i="2"/>
  <c r="AU167" i="2"/>
  <c r="J167" i="2"/>
  <c r="AS167" i="2"/>
  <c r="G167" i="2"/>
  <c r="Q167" i="2"/>
  <c r="O167" i="2"/>
  <c r="CH167" i="2"/>
  <c r="L167" i="2"/>
  <c r="CG167" i="2"/>
  <c r="F167" i="2"/>
  <c r="AM167" i="2"/>
  <c r="CC167" i="2"/>
  <c r="CD166" i="2"/>
  <c r="W166" i="2"/>
  <c r="AP166" i="2"/>
  <c r="CB165" i="2"/>
  <c r="AV165" i="2"/>
  <c r="AD165" i="2"/>
  <c r="AZ165" i="2" s="1"/>
  <c r="BM165" i="2" s="1"/>
  <c r="AC165" i="2"/>
  <c r="AW165" i="2"/>
  <c r="AK165" i="2"/>
  <c r="AI165" i="2"/>
  <c r="BA165" i="2" s="1"/>
  <c r="AY166" i="2"/>
  <c r="BW166" i="2"/>
  <c r="BA164" i="2"/>
  <c r="BU164" i="2" s="1"/>
  <c r="BX164" i="2" s="1"/>
  <c r="BY164" i="2" s="1"/>
  <c r="AJ165" i="2"/>
  <c r="CA164" i="2"/>
  <c r="BP166" i="2"/>
  <c r="BN164" i="2"/>
  <c r="BQ164" i="2" s="1"/>
  <c r="BR164" i="2" s="1"/>
  <c r="BU165" i="2" l="1"/>
  <c r="BX165" i="2" s="1"/>
  <c r="BY165" i="2" s="1"/>
  <c r="BW167" i="2"/>
  <c r="AP167" i="2"/>
  <c r="BH168" i="2"/>
  <c r="AU168" i="2"/>
  <c r="O168" i="2"/>
  <c r="C168" i="2"/>
  <c r="Q168" i="2"/>
  <c r="BT168" i="2"/>
  <c r="BD168" i="2"/>
  <c r="AO168" i="2"/>
  <c r="U168" i="2"/>
  <c r="E168" i="2"/>
  <c r="BC168" i="2"/>
  <c r="AM168" i="2"/>
  <c r="N168" i="2"/>
  <c r="B169" i="2"/>
  <c r="K168" i="2"/>
  <c r="CH168" i="2"/>
  <c r="J168" i="2"/>
  <c r="BI168" i="2"/>
  <c r="AR168" i="2"/>
  <c r="F168" i="2"/>
  <c r="S168" i="2"/>
  <c r="CG168" i="2"/>
  <c r="M168" i="2"/>
  <c r="CC168" i="2"/>
  <c r="AT168" i="2"/>
  <c r="L168" i="2"/>
  <c r="AS168" i="2"/>
  <c r="H168" i="2"/>
  <c r="AQ168" i="2"/>
  <c r="G168" i="2"/>
  <c r="AN168" i="2"/>
  <c r="D168" i="2"/>
  <c r="BG168" i="2"/>
  <c r="AA168" i="2"/>
  <c r="BF168" i="2"/>
  <c r="Y168" i="2"/>
  <c r="AB168" i="2"/>
  <c r="V168" i="2"/>
  <c r="R168" i="2"/>
  <c r="BE168" i="2"/>
  <c r="BK168" i="2"/>
  <c r="BL168" i="2"/>
  <c r="CA165" i="2"/>
  <c r="AX165" i="2"/>
  <c r="AC166" i="2"/>
  <c r="AV166" i="2"/>
  <c r="AW166" i="2"/>
  <c r="CB166" i="2"/>
  <c r="AD166" i="2"/>
  <c r="AZ166" i="2" s="1"/>
  <c r="BM166" i="2" s="1"/>
  <c r="AI166" i="2"/>
  <c r="AK166" i="2"/>
  <c r="BO167" i="2"/>
  <c r="BP167" i="2"/>
  <c r="I167" i="2"/>
  <c r="AH167" i="2"/>
  <c r="AJ166" i="2"/>
  <c r="BV167" i="2"/>
  <c r="W167" i="2"/>
  <c r="CD167" i="2"/>
  <c r="AY167" i="2"/>
  <c r="BN165" i="2"/>
  <c r="BQ165" i="2" s="1"/>
  <c r="BR165" i="2" s="1"/>
  <c r="AP168" i="2" l="1"/>
  <c r="BA166" i="2"/>
  <c r="BU166" i="2" s="1"/>
  <c r="BX166" i="2" s="1"/>
  <c r="BY166" i="2" s="1"/>
  <c r="W168" i="2"/>
  <c r="CD168" i="2"/>
  <c r="AY168" i="2"/>
  <c r="AH168" i="2"/>
  <c r="I168" i="2"/>
  <c r="AJ168" i="2" s="1"/>
  <c r="BV168" i="2"/>
  <c r="BI169" i="2"/>
  <c r="Q169" i="2"/>
  <c r="D169" i="2"/>
  <c r="BF169" i="2"/>
  <c r="AR169" i="2"/>
  <c r="BH169" i="2"/>
  <c r="AS169" i="2"/>
  <c r="AA169" i="2"/>
  <c r="J169" i="2"/>
  <c r="BE169" i="2"/>
  <c r="AO169" i="2"/>
  <c r="U169" i="2"/>
  <c r="E169" i="2"/>
  <c r="CH169" i="2"/>
  <c r="AU169" i="2"/>
  <c r="Y169" i="2"/>
  <c r="G169" i="2"/>
  <c r="CC169" i="2"/>
  <c r="BK169" i="2"/>
  <c r="S169" i="2"/>
  <c r="BG169" i="2"/>
  <c r="AN169" i="2"/>
  <c r="R169" i="2"/>
  <c r="L169" i="2"/>
  <c r="O169" i="2"/>
  <c r="AM169" i="2"/>
  <c r="B170" i="2"/>
  <c r="BC169" i="2"/>
  <c r="AB169" i="2"/>
  <c r="BT169" i="2"/>
  <c r="K169" i="2"/>
  <c r="H169" i="2"/>
  <c r="V169" i="2"/>
  <c r="N169" i="2"/>
  <c r="M169" i="2"/>
  <c r="F169" i="2"/>
  <c r="C169" i="2"/>
  <c r="BD169" i="2"/>
  <c r="AQ169" i="2"/>
  <c r="CG169" i="2"/>
  <c r="BL169" i="2"/>
  <c r="AT169" i="2"/>
  <c r="CA166" i="2"/>
  <c r="BW168" i="2"/>
  <c r="AD167" i="2"/>
  <c r="AZ167" i="2" s="1"/>
  <c r="BM167" i="2" s="1"/>
  <c r="AV167" i="2"/>
  <c r="AC167" i="2"/>
  <c r="CB167" i="2"/>
  <c r="AW167" i="2"/>
  <c r="AK167" i="2"/>
  <c r="AI167" i="2"/>
  <c r="BP168" i="2"/>
  <c r="BO168" i="2"/>
  <c r="AJ167" i="2"/>
  <c r="AX166" i="2"/>
  <c r="BN166" i="2"/>
  <c r="BA167" i="2" l="1"/>
  <c r="BU167" i="2" s="1"/>
  <c r="BX167" i="2" s="1"/>
  <c r="BY167" i="2" s="1"/>
  <c r="BW169" i="2"/>
  <c r="AX167" i="2"/>
  <c r="AP169" i="2"/>
  <c r="W169" i="2"/>
  <c r="CD169" i="2"/>
  <c r="BP169" i="2"/>
  <c r="BO169" i="2"/>
  <c r="CB168" i="2"/>
  <c r="AD168" i="2"/>
  <c r="AZ168" i="2" s="1"/>
  <c r="BM168" i="2" s="1"/>
  <c r="AW168" i="2"/>
  <c r="AC168" i="2"/>
  <c r="AV168" i="2"/>
  <c r="AK168" i="2"/>
  <c r="AI168" i="2"/>
  <c r="BV169" i="2"/>
  <c r="BK170" i="2"/>
  <c r="R170" i="2"/>
  <c r="E170" i="2"/>
  <c r="AM170" i="2"/>
  <c r="S170" i="2"/>
  <c r="D170" i="2"/>
  <c r="BH170" i="2"/>
  <c r="AS170" i="2"/>
  <c r="AA170" i="2"/>
  <c r="CH170" i="2"/>
  <c r="J170" i="2"/>
  <c r="CC170" i="2"/>
  <c r="BI170" i="2"/>
  <c r="AQ170" i="2"/>
  <c r="U170" i="2"/>
  <c r="BE170" i="2"/>
  <c r="AN170" i="2"/>
  <c r="N170" i="2"/>
  <c r="BD170" i="2"/>
  <c r="M170" i="2"/>
  <c r="AB170" i="2"/>
  <c r="G170" i="2"/>
  <c r="B171" i="2"/>
  <c r="BC170" i="2"/>
  <c r="AT170" i="2"/>
  <c r="L170" i="2"/>
  <c r="BL170" i="2"/>
  <c r="BT170" i="2"/>
  <c r="Y170" i="2"/>
  <c r="V170" i="2"/>
  <c r="BG170" i="2"/>
  <c r="Q170" i="2"/>
  <c r="AU170" i="2"/>
  <c r="F170" i="2"/>
  <c r="CG170" i="2"/>
  <c r="AR170" i="2"/>
  <c r="C170" i="2"/>
  <c r="AO170" i="2"/>
  <c r="O170" i="2"/>
  <c r="K170" i="2"/>
  <c r="H170" i="2"/>
  <c r="BF170" i="2"/>
  <c r="AH169" i="2"/>
  <c r="I169" i="2"/>
  <c r="AJ169" i="2" s="1"/>
  <c r="AY169" i="2"/>
  <c r="CA167" i="2"/>
  <c r="BN167" i="2"/>
  <c r="BQ167" i="2" s="1"/>
  <c r="BR167" i="2" s="1"/>
  <c r="BO166" i="2"/>
  <c r="BQ166" i="2"/>
  <c r="BR166" i="2" s="1"/>
  <c r="BA168" i="2" l="1"/>
  <c r="BU168" i="2" s="1"/>
  <c r="BX168" i="2" s="1"/>
  <c r="BY168" i="2" s="1"/>
  <c r="AP170" i="2"/>
  <c r="BW170" i="2"/>
  <c r="BN168" i="2"/>
  <c r="BQ168" i="2" s="1"/>
  <c r="BR168" i="2" s="1"/>
  <c r="BO170" i="2"/>
  <c r="BP170" i="2"/>
  <c r="BL171" i="2"/>
  <c r="S171" i="2"/>
  <c r="F171" i="2"/>
  <c r="BG171" i="2"/>
  <c r="BI171" i="2"/>
  <c r="AT171" i="2"/>
  <c r="L171" i="2"/>
  <c r="CC171" i="2"/>
  <c r="BK171" i="2"/>
  <c r="AS171" i="2"/>
  <c r="AA171" i="2"/>
  <c r="BD171" i="2"/>
  <c r="AN171" i="2"/>
  <c r="Q171" i="2"/>
  <c r="BF171" i="2"/>
  <c r="AO171" i="2"/>
  <c r="O171" i="2"/>
  <c r="K171" i="2"/>
  <c r="BT171" i="2"/>
  <c r="J171" i="2"/>
  <c r="AU171" i="2"/>
  <c r="D171" i="2"/>
  <c r="CH171" i="2"/>
  <c r="U171" i="2"/>
  <c r="G171" i="2"/>
  <c r="AB171" i="2"/>
  <c r="Y171" i="2"/>
  <c r="V171" i="2"/>
  <c r="BH171" i="2"/>
  <c r="R171" i="2"/>
  <c r="BE171" i="2"/>
  <c r="N171" i="2"/>
  <c r="B172" i="2"/>
  <c r="AR171" i="2"/>
  <c r="C171" i="2"/>
  <c r="CG171" i="2"/>
  <c r="AQ171" i="2"/>
  <c r="AM171" i="2"/>
  <c r="M171" i="2"/>
  <c r="BC171" i="2"/>
  <c r="H171" i="2"/>
  <c r="E171" i="2"/>
  <c r="AV169" i="2"/>
  <c r="CB169" i="2"/>
  <c r="AD169" i="2"/>
  <c r="AZ169" i="2" s="1"/>
  <c r="BM169" i="2" s="1"/>
  <c r="AC169" i="2"/>
  <c r="AW169" i="2"/>
  <c r="AI169" i="2"/>
  <c r="AK169" i="2"/>
  <c r="CD170" i="2"/>
  <c r="W170" i="2"/>
  <c r="AY170" i="2"/>
  <c r="BV170" i="2"/>
  <c r="AX168" i="2"/>
  <c r="I170" i="2"/>
  <c r="AJ170" i="2" s="1"/>
  <c r="AH170" i="2"/>
  <c r="CA168" i="2"/>
  <c r="AX169" i="2" l="1"/>
  <c r="BW171" i="2"/>
  <c r="BA169" i="2"/>
  <c r="BU169" i="2" s="1"/>
  <c r="BX169" i="2" s="1"/>
  <c r="BY169" i="2" s="1"/>
  <c r="AP171" i="2"/>
  <c r="CD171" i="2"/>
  <c r="W171" i="2"/>
  <c r="BO171" i="2"/>
  <c r="BP171" i="2"/>
  <c r="I171" i="2"/>
  <c r="AJ171" i="2" s="1"/>
  <c r="AH171" i="2"/>
  <c r="AW170" i="2"/>
  <c r="AV170" i="2"/>
  <c r="AC170" i="2"/>
  <c r="AD170" i="2"/>
  <c r="AZ170" i="2" s="1"/>
  <c r="BM170" i="2" s="1"/>
  <c r="CB170" i="2"/>
  <c r="AI170" i="2"/>
  <c r="AK170" i="2"/>
  <c r="AY171" i="2"/>
  <c r="CA169" i="2"/>
  <c r="AM172" i="2"/>
  <c r="U172" i="2"/>
  <c r="G172" i="2"/>
  <c r="BT172" i="2"/>
  <c r="CH172" i="2"/>
  <c r="AN172" i="2"/>
  <c r="S172" i="2"/>
  <c r="E172" i="2"/>
  <c r="BI172" i="2"/>
  <c r="AT172" i="2"/>
  <c r="AB172" i="2"/>
  <c r="J172" i="2"/>
  <c r="M172" i="2"/>
  <c r="BC172" i="2"/>
  <c r="K172" i="2"/>
  <c r="BK172" i="2"/>
  <c r="AQ172" i="2"/>
  <c r="Q172" i="2"/>
  <c r="CG172" i="2"/>
  <c r="BF172" i="2"/>
  <c r="L172" i="2"/>
  <c r="BE172" i="2"/>
  <c r="Y172" i="2"/>
  <c r="C172" i="2"/>
  <c r="CC172" i="2"/>
  <c r="AS172" i="2"/>
  <c r="H172" i="2"/>
  <c r="R172" i="2"/>
  <c r="AA172" i="2"/>
  <c r="BL172" i="2"/>
  <c r="V172" i="2"/>
  <c r="BH172" i="2"/>
  <c r="O172" i="2"/>
  <c r="AU172" i="2"/>
  <c r="AR172" i="2"/>
  <c r="B173" i="2"/>
  <c r="BG172" i="2"/>
  <c r="BD172" i="2"/>
  <c r="D172" i="2"/>
  <c r="F172" i="2"/>
  <c r="AO172" i="2"/>
  <c r="N172" i="2"/>
  <c r="BV171" i="2"/>
  <c r="BN169" i="2"/>
  <c r="BQ169" i="2" s="1"/>
  <c r="BR169" i="2" s="1"/>
  <c r="BW172" i="2" l="1"/>
  <c r="BA170" i="2"/>
  <c r="BU170" i="2" s="1"/>
  <c r="BX170" i="2" s="1"/>
  <c r="BY170" i="2" s="1"/>
  <c r="BP172" i="2"/>
  <c r="BO172" i="2"/>
  <c r="AC171" i="2"/>
  <c r="AD171" i="2"/>
  <c r="AZ171" i="2" s="1"/>
  <c r="AW171" i="2"/>
  <c r="AV171" i="2"/>
  <c r="CB171" i="2"/>
  <c r="AI171" i="2"/>
  <c r="AK171" i="2"/>
  <c r="CD172" i="2"/>
  <c r="W172" i="2"/>
  <c r="AP172" i="2"/>
  <c r="CA170" i="2"/>
  <c r="BV172" i="2"/>
  <c r="AH172" i="2"/>
  <c r="I172" i="2"/>
  <c r="AN173" i="2"/>
  <c r="V173" i="2"/>
  <c r="H173" i="2"/>
  <c r="CC173" i="2"/>
  <c r="Q173" i="2"/>
  <c r="C173" i="2"/>
  <c r="B174" i="2"/>
  <c r="O173" i="2"/>
  <c r="L173" i="2"/>
  <c r="CH173" i="2"/>
  <c r="AU173" i="2"/>
  <c r="AA173" i="2"/>
  <c r="F173" i="2"/>
  <c r="BL173" i="2"/>
  <c r="AT173" i="2"/>
  <c r="Y173" i="2"/>
  <c r="E173" i="2"/>
  <c r="CG173" i="2"/>
  <c r="BK173" i="2"/>
  <c r="AS173" i="2"/>
  <c r="D173" i="2"/>
  <c r="R173" i="2"/>
  <c r="AO173" i="2"/>
  <c r="BG173" i="2"/>
  <c r="BF173" i="2"/>
  <c r="N173" i="2"/>
  <c r="AQ173" i="2"/>
  <c r="AB173" i="2"/>
  <c r="BD173" i="2"/>
  <c r="J173" i="2"/>
  <c r="BE173" i="2"/>
  <c r="BC173" i="2"/>
  <c r="AR173" i="2"/>
  <c r="AM173" i="2"/>
  <c r="M173" i="2"/>
  <c r="BT173" i="2"/>
  <c r="K173" i="2"/>
  <c r="U173" i="2"/>
  <c r="G173" i="2"/>
  <c r="BH173" i="2"/>
  <c r="S173" i="2"/>
  <c r="BI173" i="2"/>
  <c r="AY172" i="2"/>
  <c r="AX170" i="2"/>
  <c r="BN170" i="2"/>
  <c r="BQ170" i="2" s="1"/>
  <c r="BR170" i="2" s="1"/>
  <c r="AX171" i="2" l="1"/>
  <c r="BW173" i="2"/>
  <c r="AP173" i="2"/>
  <c r="BA171" i="2"/>
  <c r="BU171" i="2" s="1"/>
  <c r="BX171" i="2" s="1"/>
  <c r="BY171" i="2" s="1"/>
  <c r="CB172" i="2"/>
  <c r="AV172" i="2"/>
  <c r="AD172" i="2"/>
  <c r="AZ172" i="2" s="1"/>
  <c r="BM172" i="2" s="1"/>
  <c r="AC172" i="2"/>
  <c r="AW172" i="2"/>
  <c r="AI172" i="2"/>
  <c r="AK172" i="2"/>
  <c r="AJ172" i="2"/>
  <c r="AH173" i="2"/>
  <c r="I173" i="2"/>
  <c r="AJ173" i="2" s="1"/>
  <c r="BV173" i="2"/>
  <c r="BO173" i="2"/>
  <c r="BP173" i="2"/>
  <c r="BM171" i="2"/>
  <c r="BN171" i="2"/>
  <c r="BQ171" i="2" s="1"/>
  <c r="BR171" i="2" s="1"/>
  <c r="W173" i="2"/>
  <c r="CD173" i="2"/>
  <c r="CC174" i="2"/>
  <c r="AO174" i="2"/>
  <c r="BG174" i="2"/>
  <c r="AS174" i="2"/>
  <c r="AB174" i="2"/>
  <c r="K174" i="2"/>
  <c r="B175" i="2"/>
  <c r="Q174" i="2"/>
  <c r="BH174" i="2"/>
  <c r="AQ174" i="2"/>
  <c r="U174" i="2"/>
  <c r="D174" i="2"/>
  <c r="BE174" i="2"/>
  <c r="AN174" i="2"/>
  <c r="R174" i="2"/>
  <c r="AA174" i="2"/>
  <c r="E174" i="2"/>
  <c r="Y174" i="2"/>
  <c r="C174" i="2"/>
  <c r="AU174" i="2"/>
  <c r="V174" i="2"/>
  <c r="N174" i="2"/>
  <c r="AT174" i="2"/>
  <c r="L174" i="2"/>
  <c r="BT174" i="2"/>
  <c r="AM174" i="2"/>
  <c r="G174" i="2"/>
  <c r="F174" i="2"/>
  <c r="BF174" i="2"/>
  <c r="BC174" i="2"/>
  <c r="AR174" i="2"/>
  <c r="CG174" i="2"/>
  <c r="BK174" i="2"/>
  <c r="M174" i="2"/>
  <c r="S174" i="2"/>
  <c r="CH174" i="2"/>
  <c r="O174" i="2"/>
  <c r="BL174" i="2"/>
  <c r="BI174" i="2"/>
  <c r="BD174" i="2"/>
  <c r="J174" i="2"/>
  <c r="H174" i="2"/>
  <c r="CA171" i="2"/>
  <c r="AY173" i="2"/>
  <c r="BW174" i="2" l="1"/>
  <c r="AP174" i="2"/>
  <c r="BO174" i="2"/>
  <c r="BP174" i="2"/>
  <c r="BC175" i="2"/>
  <c r="Y175" i="2"/>
  <c r="J175" i="2"/>
  <c r="CH175" i="2"/>
  <c r="AN175" i="2"/>
  <c r="CG175" i="2"/>
  <c r="AM175" i="2"/>
  <c r="BF175" i="2"/>
  <c r="AO175" i="2"/>
  <c r="S175" i="2"/>
  <c r="E175" i="2"/>
  <c r="BG175" i="2"/>
  <c r="Q175" i="2"/>
  <c r="K175" i="2"/>
  <c r="BT175" i="2"/>
  <c r="AB175" i="2"/>
  <c r="H175" i="2"/>
  <c r="BI175" i="2"/>
  <c r="G175" i="2"/>
  <c r="BH175" i="2"/>
  <c r="F175" i="2"/>
  <c r="B176" i="2"/>
  <c r="BE175" i="2"/>
  <c r="AA175" i="2"/>
  <c r="D175" i="2"/>
  <c r="BK175" i="2"/>
  <c r="U175" i="2"/>
  <c r="BD175" i="2"/>
  <c r="O175" i="2"/>
  <c r="N175" i="2"/>
  <c r="AR175" i="2"/>
  <c r="C175" i="2"/>
  <c r="M175" i="2"/>
  <c r="AU175" i="2"/>
  <c r="V175" i="2"/>
  <c r="R175" i="2"/>
  <c r="L175" i="2"/>
  <c r="BL175" i="2"/>
  <c r="AT175" i="2"/>
  <c r="AS175" i="2"/>
  <c r="AQ175" i="2"/>
  <c r="CC175" i="2"/>
  <c r="AY174" i="2"/>
  <c r="BA172" i="2"/>
  <c r="BU172" i="2" s="1"/>
  <c r="BX172" i="2" s="1"/>
  <c r="BY172" i="2" s="1"/>
  <c r="BN172" i="2"/>
  <c r="BQ172" i="2" s="1"/>
  <c r="BR172" i="2" s="1"/>
  <c r="BV174" i="2"/>
  <c r="AX172" i="2"/>
  <c r="W174" i="2"/>
  <c r="CD174" i="2"/>
  <c r="I174" i="2"/>
  <c r="AJ174" i="2" s="1"/>
  <c r="AH174" i="2"/>
  <c r="CB173" i="2"/>
  <c r="AV173" i="2"/>
  <c r="AD173" i="2"/>
  <c r="AZ173" i="2" s="1"/>
  <c r="BM173" i="2" s="1"/>
  <c r="AC173" i="2"/>
  <c r="AW173" i="2"/>
  <c r="AI173" i="2"/>
  <c r="AK173" i="2"/>
  <c r="CA172" i="2"/>
  <c r="CA173" i="2" l="1"/>
  <c r="AP175" i="2"/>
  <c r="AX173" i="2"/>
  <c r="AW174" i="2"/>
  <c r="AV174" i="2"/>
  <c r="CB174" i="2"/>
  <c r="AC174" i="2"/>
  <c r="AD174" i="2"/>
  <c r="AZ174" i="2" s="1"/>
  <c r="BM174" i="2" s="1"/>
  <c r="AI174" i="2"/>
  <c r="AK174" i="2"/>
  <c r="BA173" i="2"/>
  <c r="BU173" i="2" s="1"/>
  <c r="BX173" i="2" s="1"/>
  <c r="BY173" i="2" s="1"/>
  <c r="AH175" i="2"/>
  <c r="I175" i="2"/>
  <c r="AJ175" i="2" s="1"/>
  <c r="CG176" i="2"/>
  <c r="BD176" i="2"/>
  <c r="AQ176" i="2"/>
  <c r="AA176" i="2"/>
  <c r="K176" i="2"/>
  <c r="BK176" i="2"/>
  <c r="N176" i="2"/>
  <c r="BI176" i="2"/>
  <c r="AU176" i="2"/>
  <c r="M176" i="2"/>
  <c r="CH176" i="2"/>
  <c r="AB176" i="2"/>
  <c r="H176" i="2"/>
  <c r="BC176" i="2"/>
  <c r="L176" i="2"/>
  <c r="BF176" i="2"/>
  <c r="AM176" i="2"/>
  <c r="J176" i="2"/>
  <c r="BE176" i="2"/>
  <c r="G176" i="2"/>
  <c r="AN176" i="2"/>
  <c r="D176" i="2"/>
  <c r="BL176" i="2"/>
  <c r="C176" i="2"/>
  <c r="BH176" i="2"/>
  <c r="Y176" i="2"/>
  <c r="Q176" i="2"/>
  <c r="V176" i="2"/>
  <c r="BG176" i="2"/>
  <c r="R176" i="2"/>
  <c r="O176" i="2"/>
  <c r="AR176" i="2"/>
  <c r="AS176" i="2"/>
  <c r="AO176" i="2"/>
  <c r="BT176" i="2"/>
  <c r="E176" i="2"/>
  <c r="U176" i="2"/>
  <c r="S176" i="2"/>
  <c r="F176" i="2"/>
  <c r="B177" i="2"/>
  <c r="CC176" i="2"/>
  <c r="AT176" i="2"/>
  <c r="BV175" i="2"/>
  <c r="BW175" i="2"/>
  <c r="CD175" i="2"/>
  <c r="W175" i="2"/>
  <c r="AY175" i="2"/>
  <c r="BP175" i="2"/>
  <c r="BO175" i="2"/>
  <c r="BN173" i="2"/>
  <c r="BQ173" i="2" s="1"/>
  <c r="BR173" i="2" s="1"/>
  <c r="CA174" i="2" l="1"/>
  <c r="BA174" i="2"/>
  <c r="BU174" i="2" s="1"/>
  <c r="BX174" i="2" s="1"/>
  <c r="BY174" i="2" s="1"/>
  <c r="BN174" i="2"/>
  <c r="BQ174" i="2" s="1"/>
  <c r="BR174" i="2" s="1"/>
  <c r="AD175" i="2"/>
  <c r="AZ175" i="2" s="1"/>
  <c r="BM175" i="2" s="1"/>
  <c r="AW175" i="2"/>
  <c r="AC175" i="2"/>
  <c r="AV175" i="2"/>
  <c r="CB175" i="2"/>
  <c r="AI175" i="2"/>
  <c r="AK175" i="2"/>
  <c r="BV176" i="2"/>
  <c r="CH177" i="2"/>
  <c r="BE177" i="2"/>
  <c r="AR177" i="2"/>
  <c r="AB177" i="2"/>
  <c r="L177" i="2"/>
  <c r="B178" i="2"/>
  <c r="BC177" i="2"/>
  <c r="AO177" i="2"/>
  <c r="V177" i="2"/>
  <c r="G177" i="2"/>
  <c r="BI177" i="2"/>
  <c r="AT177" i="2"/>
  <c r="AA177" i="2"/>
  <c r="BH177" i="2"/>
  <c r="AS177" i="2"/>
  <c r="Y177" i="2"/>
  <c r="H177" i="2"/>
  <c r="CC177" i="2"/>
  <c r="BK177" i="2"/>
  <c r="R177" i="2"/>
  <c r="BD177" i="2"/>
  <c r="K177" i="2"/>
  <c r="AU177" i="2"/>
  <c r="Q177" i="2"/>
  <c r="AQ177" i="2"/>
  <c r="O177" i="2"/>
  <c r="AN177" i="2"/>
  <c r="N177" i="2"/>
  <c r="F177" i="2"/>
  <c r="AM177" i="2"/>
  <c r="E177" i="2"/>
  <c r="BT177" i="2"/>
  <c r="D177" i="2"/>
  <c r="J177" i="2"/>
  <c r="BL177" i="2"/>
  <c r="U177" i="2"/>
  <c r="BG177" i="2"/>
  <c r="S177" i="2"/>
  <c r="M177" i="2"/>
  <c r="BF177" i="2"/>
  <c r="C177" i="2"/>
  <c r="CG177" i="2"/>
  <c r="CD176" i="2"/>
  <c r="W176" i="2"/>
  <c r="AP176" i="2"/>
  <c r="BW176" i="2"/>
  <c r="AY176" i="2"/>
  <c r="AH176" i="2"/>
  <c r="I176" i="2"/>
  <c r="AJ176" i="2" s="1"/>
  <c r="BP176" i="2"/>
  <c r="BO176" i="2"/>
  <c r="AX174" i="2"/>
  <c r="BW177" i="2" l="1"/>
  <c r="BN175" i="2"/>
  <c r="BQ175" i="2" s="1"/>
  <c r="BR175" i="2" s="1"/>
  <c r="CA175" i="2"/>
  <c r="BA175" i="2"/>
  <c r="BU175" i="2" s="1"/>
  <c r="BX175" i="2" s="1"/>
  <c r="BY175" i="2" s="1"/>
  <c r="AY177" i="2"/>
  <c r="AV176" i="2"/>
  <c r="AD176" i="2"/>
  <c r="AZ176" i="2" s="1"/>
  <c r="CA176" i="2" s="1"/>
  <c r="AW176" i="2"/>
  <c r="CB176" i="2"/>
  <c r="AC176" i="2"/>
  <c r="AK176" i="2"/>
  <c r="AI176" i="2"/>
  <c r="B179" i="2"/>
  <c r="BT178" i="2"/>
  <c r="BF178" i="2"/>
  <c r="AS178" i="2"/>
  <c r="M178" i="2"/>
  <c r="BL178" i="2"/>
  <c r="O178" i="2"/>
  <c r="BI178" i="2"/>
  <c r="AT178" i="2"/>
  <c r="AA178" i="2"/>
  <c r="BH178" i="2"/>
  <c r="AR178" i="2"/>
  <c r="Y178" i="2"/>
  <c r="H178" i="2"/>
  <c r="BE178" i="2"/>
  <c r="AN178" i="2"/>
  <c r="Q178" i="2"/>
  <c r="CG178" i="2"/>
  <c r="BK178" i="2"/>
  <c r="AO178" i="2"/>
  <c r="N178" i="2"/>
  <c r="CC178" i="2"/>
  <c r="BC178" i="2"/>
  <c r="F178" i="2"/>
  <c r="E178" i="2"/>
  <c r="AB178" i="2"/>
  <c r="D178" i="2"/>
  <c r="BD178" i="2"/>
  <c r="U178" i="2"/>
  <c r="S178" i="2"/>
  <c r="CH178" i="2"/>
  <c r="R178" i="2"/>
  <c r="BG178" i="2"/>
  <c r="J178" i="2"/>
  <c r="AM178" i="2"/>
  <c r="G178" i="2"/>
  <c r="V178" i="2"/>
  <c r="L178" i="2"/>
  <c r="C178" i="2"/>
  <c r="AQ178" i="2"/>
  <c r="K178" i="2"/>
  <c r="AU178" i="2"/>
  <c r="AX175" i="2"/>
  <c r="I177" i="2"/>
  <c r="AH177" i="2"/>
  <c r="W177" i="2"/>
  <c r="CD177" i="2"/>
  <c r="AP177" i="2"/>
  <c r="BV177" i="2"/>
  <c r="BO177" i="2"/>
  <c r="BP177" i="2"/>
  <c r="BW178" i="2" l="1"/>
  <c r="AP178" i="2"/>
  <c r="BM176" i="2"/>
  <c r="BN176" i="2"/>
  <c r="BQ176" i="2" s="1"/>
  <c r="BR176" i="2" s="1"/>
  <c r="I178" i="2"/>
  <c r="AJ178" i="2" s="1"/>
  <c r="AH178" i="2"/>
  <c r="BV178" i="2"/>
  <c r="AX176" i="2"/>
  <c r="AV177" i="2"/>
  <c r="CB177" i="2"/>
  <c r="AD177" i="2"/>
  <c r="AZ177" i="2" s="1"/>
  <c r="BM177" i="2" s="1"/>
  <c r="AC177" i="2"/>
  <c r="AW177" i="2"/>
  <c r="AI177" i="2"/>
  <c r="AK177" i="2"/>
  <c r="BP178" i="2"/>
  <c r="BO178" i="2"/>
  <c r="BG179" i="2"/>
  <c r="AT179" i="2"/>
  <c r="N179" i="2"/>
  <c r="BT179" i="2"/>
  <c r="BE179" i="2"/>
  <c r="AQ179" i="2"/>
  <c r="Y179" i="2"/>
  <c r="BK179" i="2"/>
  <c r="AU179" i="2"/>
  <c r="AB179" i="2"/>
  <c r="J179" i="2"/>
  <c r="BI179" i="2"/>
  <c r="AS179" i="2"/>
  <c r="AA179" i="2"/>
  <c r="H179" i="2"/>
  <c r="BC179" i="2"/>
  <c r="M179" i="2"/>
  <c r="B180" i="2"/>
  <c r="AR179" i="2"/>
  <c r="S179" i="2"/>
  <c r="R179" i="2"/>
  <c r="Q179" i="2"/>
  <c r="AO179" i="2"/>
  <c r="O179" i="2"/>
  <c r="D179" i="2"/>
  <c r="BL179" i="2"/>
  <c r="C179" i="2"/>
  <c r="BH179" i="2"/>
  <c r="K179" i="2"/>
  <c r="CC179" i="2"/>
  <c r="AN179" i="2"/>
  <c r="BD179" i="2"/>
  <c r="F179" i="2"/>
  <c r="E179" i="2"/>
  <c r="CH179" i="2"/>
  <c r="V179" i="2"/>
  <c r="AM179" i="2"/>
  <c r="L179" i="2"/>
  <c r="BF179" i="2"/>
  <c r="U179" i="2"/>
  <c r="G179" i="2"/>
  <c r="CG179" i="2"/>
  <c r="AJ177" i="2"/>
  <c r="CD178" i="2"/>
  <c r="W178" i="2"/>
  <c r="AY178" i="2"/>
  <c r="BA176" i="2"/>
  <c r="BU176" i="2" s="1"/>
  <c r="BX176" i="2" s="1"/>
  <c r="BY176" i="2" s="1"/>
  <c r="BW179" i="2" l="1"/>
  <c r="AX177" i="2"/>
  <c r="CA177" i="2"/>
  <c r="BN177" i="2"/>
  <c r="BQ177" i="2" s="1"/>
  <c r="BR177" i="2" s="1"/>
  <c r="I179" i="2"/>
  <c r="AJ179" i="2" s="1"/>
  <c r="AH179" i="2"/>
  <c r="BV179" i="2"/>
  <c r="BP179" i="2"/>
  <c r="BO179" i="2"/>
  <c r="BI180" i="2"/>
  <c r="Q180" i="2"/>
  <c r="D180" i="2"/>
  <c r="CC180" i="2"/>
  <c r="R180" i="2"/>
  <c r="C180" i="2"/>
  <c r="BT180" i="2"/>
  <c r="BD180" i="2"/>
  <c r="AO180" i="2"/>
  <c r="U180" i="2"/>
  <c r="E180" i="2"/>
  <c r="B181" i="2"/>
  <c r="K180" i="2"/>
  <c r="CH180" i="2"/>
  <c r="J180" i="2"/>
  <c r="BF180" i="2"/>
  <c r="AM180" i="2"/>
  <c r="L180" i="2"/>
  <c r="BC180" i="2"/>
  <c r="AB180" i="2"/>
  <c r="F180" i="2"/>
  <c r="AA180" i="2"/>
  <c r="AQ180" i="2"/>
  <c r="H180" i="2"/>
  <c r="BL180" i="2"/>
  <c r="AN180" i="2"/>
  <c r="G180" i="2"/>
  <c r="BG180" i="2"/>
  <c r="S180" i="2"/>
  <c r="BE180" i="2"/>
  <c r="O180" i="2"/>
  <c r="N180" i="2"/>
  <c r="V180" i="2"/>
  <c r="AT180" i="2"/>
  <c r="Y180" i="2"/>
  <c r="CG180" i="2"/>
  <c r="M180" i="2"/>
  <c r="BH180" i="2"/>
  <c r="AU180" i="2"/>
  <c r="BK180" i="2"/>
  <c r="AS180" i="2"/>
  <c r="AR180" i="2"/>
  <c r="BA177" i="2"/>
  <c r="BU177" i="2" s="1"/>
  <c r="BX177" i="2" s="1"/>
  <c r="BY177" i="2" s="1"/>
  <c r="W179" i="2"/>
  <c r="CD179" i="2"/>
  <c r="AC178" i="2"/>
  <c r="AW178" i="2"/>
  <c r="CB178" i="2"/>
  <c r="AD178" i="2"/>
  <c r="AZ178" i="2" s="1"/>
  <c r="AV178" i="2"/>
  <c r="AK178" i="2"/>
  <c r="AI178" i="2"/>
  <c r="AY179" i="2"/>
  <c r="AP179" i="2"/>
  <c r="BA178" i="2" l="1"/>
  <c r="BU178" i="2" s="1"/>
  <c r="BX178" i="2" s="1"/>
  <c r="BY178" i="2" s="1"/>
  <c r="AX178" i="2"/>
  <c r="AP180" i="2"/>
  <c r="I180" i="2"/>
  <c r="AJ180" i="2" s="1"/>
  <c r="AH180" i="2"/>
  <c r="BK181" i="2"/>
  <c r="R181" i="2"/>
  <c r="E181" i="2"/>
  <c r="BG181" i="2"/>
  <c r="AS181" i="2"/>
  <c r="AB181" i="2"/>
  <c r="K181" i="2"/>
  <c r="BT181" i="2"/>
  <c r="BD181" i="2"/>
  <c r="AO181" i="2"/>
  <c r="U181" i="2"/>
  <c r="D181" i="2"/>
  <c r="BF181" i="2"/>
  <c r="S181" i="2"/>
  <c r="BE181" i="2"/>
  <c r="AN181" i="2"/>
  <c r="Q181" i="2"/>
  <c r="CG181" i="2"/>
  <c r="BL181" i="2"/>
  <c r="AQ181" i="2"/>
  <c r="N181" i="2"/>
  <c r="AT181" i="2"/>
  <c r="O181" i="2"/>
  <c r="AR181" i="2"/>
  <c r="M181" i="2"/>
  <c r="AU181" i="2"/>
  <c r="J181" i="2"/>
  <c r="AM181" i="2"/>
  <c r="H181" i="2"/>
  <c r="B182" i="2"/>
  <c r="L181" i="2"/>
  <c r="CH181" i="2"/>
  <c r="G181" i="2"/>
  <c r="F181" i="2"/>
  <c r="CC181" i="2"/>
  <c r="Y181" i="2"/>
  <c r="V181" i="2"/>
  <c r="C181" i="2"/>
  <c r="BI181" i="2"/>
  <c r="AA181" i="2"/>
  <c r="BH181" i="2"/>
  <c r="BC181" i="2"/>
  <c r="BP180" i="2"/>
  <c r="BO180" i="2"/>
  <c r="BV180" i="2"/>
  <c r="CD180" i="2"/>
  <c r="W180" i="2"/>
  <c r="BM178" i="2"/>
  <c r="BN178" i="2"/>
  <c r="BQ178" i="2" s="1"/>
  <c r="BR178" i="2" s="1"/>
  <c r="CA178" i="2"/>
  <c r="BW180" i="2"/>
  <c r="AY180" i="2"/>
  <c r="AD179" i="2"/>
  <c r="AZ179" i="2" s="1"/>
  <c r="BM179" i="2" s="1"/>
  <c r="AV179" i="2"/>
  <c r="AW179" i="2"/>
  <c r="AC179" i="2"/>
  <c r="CB179" i="2"/>
  <c r="AI179" i="2"/>
  <c r="AK179" i="2"/>
  <c r="AP181" i="2" l="1"/>
  <c r="AX179" i="2"/>
  <c r="BA179" i="2"/>
  <c r="BU179" i="2" s="1"/>
  <c r="BX179" i="2" s="1"/>
  <c r="BY179" i="2" s="1"/>
  <c r="BV181" i="2"/>
  <c r="BH182" i="2"/>
  <c r="AU182" i="2"/>
  <c r="O182" i="2"/>
  <c r="C182" i="2"/>
  <c r="CH182" i="2"/>
  <c r="BC182" i="2"/>
  <c r="AO182" i="2"/>
  <c r="V182" i="2"/>
  <c r="G182" i="2"/>
  <c r="BF182" i="2"/>
  <c r="AQ182" i="2"/>
  <c r="F182" i="2"/>
  <c r="BK182" i="2"/>
  <c r="AS182" i="2"/>
  <c r="Y182" i="2"/>
  <c r="E182" i="2"/>
  <c r="BT182" i="2"/>
  <c r="K182" i="2"/>
  <c r="J182" i="2"/>
  <c r="U182" i="2"/>
  <c r="B183" i="2"/>
  <c r="BI182" i="2"/>
  <c r="H182" i="2"/>
  <c r="CG182" i="2"/>
  <c r="BG182" i="2"/>
  <c r="D182" i="2"/>
  <c r="CC182" i="2"/>
  <c r="Q182" i="2"/>
  <c r="N182" i="2"/>
  <c r="AT182" i="2"/>
  <c r="M182" i="2"/>
  <c r="AR182" i="2"/>
  <c r="S182" i="2"/>
  <c r="AM182" i="2"/>
  <c r="BL182" i="2"/>
  <c r="BE182" i="2"/>
  <c r="AB182" i="2"/>
  <c r="AA182" i="2"/>
  <c r="BD182" i="2"/>
  <c r="AN182" i="2"/>
  <c r="R182" i="2"/>
  <c r="L182" i="2"/>
  <c r="AY181" i="2"/>
  <c r="CD181" i="2"/>
  <c r="W181" i="2"/>
  <c r="CA179" i="2"/>
  <c r="I181" i="2"/>
  <c r="AH181" i="2"/>
  <c r="BO181" i="2"/>
  <c r="BP181" i="2"/>
  <c r="BW181" i="2"/>
  <c r="AV180" i="2"/>
  <c r="AD180" i="2"/>
  <c r="AZ180" i="2" s="1"/>
  <c r="BM180" i="2" s="1"/>
  <c r="AW180" i="2"/>
  <c r="AC180" i="2"/>
  <c r="CB180" i="2"/>
  <c r="AK180" i="2"/>
  <c r="AI180" i="2"/>
  <c r="BN179" i="2"/>
  <c r="BQ179" i="2" s="1"/>
  <c r="BR179" i="2" s="1"/>
  <c r="AJ181" i="2" l="1"/>
  <c r="BN181" i="2"/>
  <c r="BQ181" i="2" s="1"/>
  <c r="BR181" i="2" s="1"/>
  <c r="BW182" i="2"/>
  <c r="CA180" i="2"/>
  <c r="BN180" i="2"/>
  <c r="BQ180" i="2" s="1"/>
  <c r="BR180" i="2" s="1"/>
  <c r="BA180" i="2"/>
  <c r="BU180" i="2" s="1"/>
  <c r="BX180" i="2" s="1"/>
  <c r="BY180" i="2" s="1"/>
  <c r="AP182" i="2"/>
  <c r="BV182" i="2"/>
  <c r="AY182" i="2"/>
  <c r="AW181" i="2"/>
  <c r="CB181" i="2"/>
  <c r="CA181" i="2"/>
  <c r="AD181" i="2"/>
  <c r="AZ181" i="2" s="1"/>
  <c r="BM181" i="2" s="1"/>
  <c r="AC181" i="2"/>
  <c r="AV181" i="2"/>
  <c r="AK181" i="2"/>
  <c r="AI181" i="2"/>
  <c r="AH182" i="2"/>
  <c r="I182" i="2"/>
  <c r="W182" i="2"/>
  <c r="CD182" i="2"/>
  <c r="AX180" i="2"/>
  <c r="BP182" i="2"/>
  <c r="BO182" i="2"/>
  <c r="BI183" i="2"/>
  <c r="Q183" i="2"/>
  <c r="D183" i="2"/>
  <c r="BL183" i="2"/>
  <c r="N183" i="2"/>
  <c r="BF183" i="2"/>
  <c r="AQ183" i="2"/>
  <c r="G183" i="2"/>
  <c r="L183" i="2"/>
  <c r="AB183" i="2"/>
  <c r="H183" i="2"/>
  <c r="B184" i="2"/>
  <c r="AU183" i="2"/>
  <c r="AA183" i="2"/>
  <c r="F183" i="2"/>
  <c r="CG183" i="2"/>
  <c r="BH183" i="2"/>
  <c r="AN183" i="2"/>
  <c r="K183" i="2"/>
  <c r="CC183" i="2"/>
  <c r="BD183" i="2"/>
  <c r="BC183" i="2"/>
  <c r="Y183" i="2"/>
  <c r="BK183" i="2"/>
  <c r="BG183" i="2"/>
  <c r="V183" i="2"/>
  <c r="BE183" i="2"/>
  <c r="U183" i="2"/>
  <c r="AT183" i="2"/>
  <c r="CH183" i="2"/>
  <c r="AS183" i="2"/>
  <c r="E183" i="2"/>
  <c r="AR183" i="2"/>
  <c r="C183" i="2"/>
  <c r="AM183" i="2"/>
  <c r="M183" i="2"/>
  <c r="BT183" i="2"/>
  <c r="R183" i="2"/>
  <c r="O183" i="2"/>
  <c r="S183" i="2"/>
  <c r="J183" i="2"/>
  <c r="AO183" i="2"/>
  <c r="BW183" i="2" l="1"/>
  <c r="AX181" i="2"/>
  <c r="AY183" i="2"/>
  <c r="BP183" i="2"/>
  <c r="BO183" i="2"/>
  <c r="BV183" i="2"/>
  <c r="AP183" i="2"/>
  <c r="CB182" i="2"/>
  <c r="AD182" i="2"/>
  <c r="AZ182" i="2" s="1"/>
  <c r="BM182" i="2" s="1"/>
  <c r="AW182" i="2"/>
  <c r="CA182" i="2"/>
  <c r="AV182" i="2"/>
  <c r="AC182" i="2"/>
  <c r="AK182" i="2"/>
  <c r="AI182" i="2"/>
  <c r="BN182" i="2"/>
  <c r="BQ182" i="2" s="1"/>
  <c r="BR182" i="2" s="1"/>
  <c r="W183" i="2"/>
  <c r="CD183" i="2"/>
  <c r="AJ182" i="2"/>
  <c r="AH183" i="2"/>
  <c r="I183" i="2"/>
  <c r="AJ183" i="2" s="1"/>
  <c r="BK184" i="2"/>
  <c r="R184" i="2"/>
  <c r="E184" i="2"/>
  <c r="BT184" i="2"/>
  <c r="BE184" i="2"/>
  <c r="AQ184" i="2"/>
  <c r="Y184" i="2"/>
  <c r="BG184" i="2"/>
  <c r="AR184" i="2"/>
  <c r="G184" i="2"/>
  <c r="BH184" i="2"/>
  <c r="U184" i="2"/>
  <c r="C184" i="2"/>
  <c r="CH184" i="2"/>
  <c r="AU184" i="2"/>
  <c r="AA184" i="2"/>
  <c r="D184" i="2"/>
  <c r="CG184" i="2"/>
  <c r="AT184" i="2"/>
  <c r="V184" i="2"/>
  <c r="AB184" i="2"/>
  <c r="S184" i="2"/>
  <c r="Q184" i="2"/>
  <c r="AN184" i="2"/>
  <c r="J184" i="2"/>
  <c r="AM184" i="2"/>
  <c r="H184" i="2"/>
  <c r="F184" i="2"/>
  <c r="K184" i="2"/>
  <c r="B185" i="2"/>
  <c r="AS184" i="2"/>
  <c r="O184" i="2"/>
  <c r="BI184" i="2"/>
  <c r="L184" i="2"/>
  <c r="BF184" i="2"/>
  <c r="BD184" i="2"/>
  <c r="BC184" i="2"/>
  <c r="AO184" i="2"/>
  <c r="M184" i="2"/>
  <c r="CC184" i="2"/>
  <c r="N184" i="2"/>
  <c r="BL184" i="2"/>
  <c r="BA181" i="2"/>
  <c r="BU181" i="2" s="1"/>
  <c r="BX181" i="2" s="1"/>
  <c r="BY181" i="2" s="1"/>
  <c r="AP184" i="2" l="1"/>
  <c r="BP184" i="2"/>
  <c r="BO184" i="2"/>
  <c r="AV183" i="2"/>
  <c r="CA183" i="2"/>
  <c r="AW183" i="2"/>
  <c r="AC183" i="2"/>
  <c r="CB183" i="2"/>
  <c r="AD183" i="2"/>
  <c r="AZ183" i="2" s="1"/>
  <c r="BM183" i="2" s="1"/>
  <c r="AK183" i="2"/>
  <c r="AI183" i="2"/>
  <c r="BL185" i="2"/>
  <c r="S185" i="2"/>
  <c r="F185" i="2"/>
  <c r="CC185" i="2"/>
  <c r="Q185" i="2"/>
  <c r="C185" i="2"/>
  <c r="BG185" i="2"/>
  <c r="AR185" i="2"/>
  <c r="Y185" i="2"/>
  <c r="H185" i="2"/>
  <c r="B186" i="2"/>
  <c r="K185" i="2"/>
  <c r="BI185" i="2"/>
  <c r="AQ185" i="2"/>
  <c r="U185" i="2"/>
  <c r="BH185" i="2"/>
  <c r="R185" i="2"/>
  <c r="BK185" i="2"/>
  <c r="AN185" i="2"/>
  <c r="L185" i="2"/>
  <c r="BT185" i="2"/>
  <c r="AU185" i="2"/>
  <c r="O185" i="2"/>
  <c r="AT185" i="2"/>
  <c r="N185" i="2"/>
  <c r="CG185" i="2"/>
  <c r="V185" i="2"/>
  <c r="M185" i="2"/>
  <c r="J185" i="2"/>
  <c r="BC185" i="2"/>
  <c r="E185" i="2"/>
  <c r="AS185" i="2"/>
  <c r="D185" i="2"/>
  <c r="AO185" i="2"/>
  <c r="BD185" i="2"/>
  <c r="BE185" i="2"/>
  <c r="AM185" i="2"/>
  <c r="AB185" i="2"/>
  <c r="BF185" i="2"/>
  <c r="AA185" i="2"/>
  <c r="CH185" i="2"/>
  <c r="G185" i="2"/>
  <c r="BW184" i="2"/>
  <c r="I184" i="2"/>
  <c r="AH184" i="2"/>
  <c r="BA182" i="2"/>
  <c r="BU182" i="2" s="1"/>
  <c r="BX182" i="2" s="1"/>
  <c r="BY182" i="2" s="1"/>
  <c r="BV184" i="2"/>
  <c r="W184" i="2"/>
  <c r="CD184" i="2"/>
  <c r="AX182" i="2"/>
  <c r="BN183" i="2"/>
  <c r="BQ183" i="2" s="1"/>
  <c r="BR183" i="2" s="1"/>
  <c r="AY184" i="2"/>
  <c r="BA183" i="2" l="1"/>
  <c r="BU183" i="2" s="1"/>
  <c r="BX183" i="2" s="1"/>
  <c r="BY183" i="2" s="1"/>
  <c r="AW184" i="2"/>
  <c r="CA184" i="2"/>
  <c r="AV184" i="2"/>
  <c r="CB184" i="2"/>
  <c r="AC184" i="2"/>
  <c r="AD184" i="2"/>
  <c r="AZ184" i="2" s="1"/>
  <c r="BM184" i="2" s="1"/>
  <c r="AK184" i="2"/>
  <c r="AI184" i="2"/>
  <c r="AJ184" i="2"/>
  <c r="BP185" i="2"/>
  <c r="BO185" i="2"/>
  <c r="BN184" i="2"/>
  <c r="BQ184" i="2" s="1"/>
  <c r="BR184" i="2" s="1"/>
  <c r="AY185" i="2"/>
  <c r="AM186" i="2"/>
  <c r="U186" i="2"/>
  <c r="G186" i="2"/>
  <c r="BG186" i="2"/>
  <c r="AS186" i="2"/>
  <c r="AB186" i="2"/>
  <c r="K186" i="2"/>
  <c r="BH186" i="2"/>
  <c r="AR186" i="2"/>
  <c r="Y186" i="2"/>
  <c r="H186" i="2"/>
  <c r="BE186" i="2"/>
  <c r="AO186" i="2"/>
  <c r="R186" i="2"/>
  <c r="BF186" i="2"/>
  <c r="AN186" i="2"/>
  <c r="O186" i="2"/>
  <c r="BD186" i="2"/>
  <c r="N186" i="2"/>
  <c r="BT186" i="2"/>
  <c r="AA186" i="2"/>
  <c r="C186" i="2"/>
  <c r="AQ186" i="2"/>
  <c r="L186" i="2"/>
  <c r="J186" i="2"/>
  <c r="BK186" i="2"/>
  <c r="BI186" i="2"/>
  <c r="B187" i="2"/>
  <c r="BC186" i="2"/>
  <c r="AU186" i="2"/>
  <c r="BL186" i="2"/>
  <c r="M186" i="2"/>
  <c r="F186" i="2"/>
  <c r="E186" i="2"/>
  <c r="CH186" i="2"/>
  <c r="CC186" i="2"/>
  <c r="Q186" i="2"/>
  <c r="AT186" i="2"/>
  <c r="V186" i="2"/>
  <c r="D186" i="2"/>
  <c r="S186" i="2"/>
  <c r="CG186" i="2"/>
  <c r="AH185" i="2"/>
  <c r="I185" i="2"/>
  <c r="BV185" i="2"/>
  <c r="AP185" i="2"/>
  <c r="AX183" i="2"/>
  <c r="CD185" i="2"/>
  <c r="W185" i="2"/>
  <c r="BW185" i="2"/>
  <c r="AP186" i="2" l="1"/>
  <c r="AX184" i="2"/>
  <c r="W186" i="2"/>
  <c r="CD186" i="2"/>
  <c r="I186" i="2"/>
  <c r="AJ186" i="2" s="1"/>
  <c r="AH186" i="2"/>
  <c r="BH187" i="2"/>
  <c r="AU187" i="2"/>
  <c r="CG187" i="2"/>
  <c r="AN187" i="2"/>
  <c r="V187" i="2"/>
  <c r="H187" i="2"/>
  <c r="BC187" i="2"/>
  <c r="AM187" i="2"/>
  <c r="S187" i="2"/>
  <c r="E187" i="2"/>
  <c r="BK187" i="2"/>
  <c r="AS187" i="2"/>
  <c r="AA187" i="2"/>
  <c r="J187" i="2"/>
  <c r="BE187" i="2"/>
  <c r="M187" i="2"/>
  <c r="BD187" i="2"/>
  <c r="L187" i="2"/>
  <c r="N187" i="2"/>
  <c r="BL187" i="2"/>
  <c r="F187" i="2"/>
  <c r="BI187" i="2"/>
  <c r="D187" i="2"/>
  <c r="AR187" i="2"/>
  <c r="G187" i="2"/>
  <c r="AQ187" i="2"/>
  <c r="C187" i="2"/>
  <c r="BT187" i="2"/>
  <c r="AO187" i="2"/>
  <c r="B188" i="2"/>
  <c r="U187" i="2"/>
  <c r="R187" i="2"/>
  <c r="Q187" i="2"/>
  <c r="CC187" i="2"/>
  <c r="AB187" i="2"/>
  <c r="AT187" i="2"/>
  <c r="Y187" i="2"/>
  <c r="CH187" i="2"/>
  <c r="BG187" i="2"/>
  <c r="BF187" i="2"/>
  <c r="K187" i="2"/>
  <c r="O187" i="2"/>
  <c r="BV186" i="2"/>
  <c r="BA184" i="2"/>
  <c r="BU184" i="2" s="1"/>
  <c r="BX184" i="2" s="1"/>
  <c r="BY184" i="2" s="1"/>
  <c r="BW186" i="2"/>
  <c r="AW185" i="2"/>
  <c r="AD185" i="2"/>
  <c r="AZ185" i="2" s="1"/>
  <c r="BM185" i="2" s="1"/>
  <c r="CB185" i="2"/>
  <c r="CA185" i="2"/>
  <c r="AV185" i="2"/>
  <c r="AC185" i="2"/>
  <c r="AK185" i="2"/>
  <c r="AI185" i="2"/>
  <c r="AY186" i="2"/>
  <c r="BN185" i="2"/>
  <c r="BQ185" i="2" s="1"/>
  <c r="BR185" i="2" s="1"/>
  <c r="AJ185" i="2"/>
  <c r="BO186" i="2"/>
  <c r="BP186" i="2"/>
  <c r="BW187" i="2" l="1"/>
  <c r="BN186" i="2"/>
  <c r="BQ186" i="2" s="1"/>
  <c r="BR186" i="2" s="1"/>
  <c r="AX185" i="2"/>
  <c r="BA185" i="2"/>
  <c r="BU185" i="2" s="1"/>
  <c r="BX185" i="2" s="1"/>
  <c r="BY185" i="2" s="1"/>
  <c r="AY187" i="2"/>
  <c r="AP187" i="2"/>
  <c r="BP187" i="2"/>
  <c r="BO187" i="2"/>
  <c r="I187" i="2"/>
  <c r="AJ187" i="2" s="1"/>
  <c r="AH187" i="2"/>
  <c r="BV187" i="2"/>
  <c r="CA186" i="2"/>
  <c r="CB186" i="2"/>
  <c r="AD186" i="2"/>
  <c r="AZ186" i="2" s="1"/>
  <c r="BM186" i="2" s="1"/>
  <c r="AC186" i="2"/>
  <c r="AV186" i="2"/>
  <c r="AW186" i="2"/>
  <c r="AI186" i="2"/>
  <c r="AK186" i="2"/>
  <c r="W187" i="2"/>
  <c r="CD187" i="2"/>
  <c r="BI188" i="2"/>
  <c r="Q188" i="2"/>
  <c r="D188" i="2"/>
  <c r="BK188" i="2"/>
  <c r="AU188" i="2"/>
  <c r="M188" i="2"/>
  <c r="BC188" i="2"/>
  <c r="AN188" i="2"/>
  <c r="S188" i="2"/>
  <c r="C188" i="2"/>
  <c r="L188" i="2"/>
  <c r="CG188" i="2"/>
  <c r="AS188" i="2"/>
  <c r="E188" i="2"/>
  <c r="CC188" i="2"/>
  <c r="BG188" i="2"/>
  <c r="AO188" i="2"/>
  <c r="N188" i="2"/>
  <c r="BF188" i="2"/>
  <c r="AM188" i="2"/>
  <c r="K188" i="2"/>
  <c r="B189" i="2"/>
  <c r="BH188" i="2"/>
  <c r="G188" i="2"/>
  <c r="H188" i="2"/>
  <c r="F188" i="2"/>
  <c r="BE188" i="2"/>
  <c r="Y188" i="2"/>
  <c r="BD188" i="2"/>
  <c r="V188" i="2"/>
  <c r="U188" i="2"/>
  <c r="AR188" i="2"/>
  <c r="AT188" i="2"/>
  <c r="CH188" i="2"/>
  <c r="AQ188" i="2"/>
  <c r="BL188" i="2"/>
  <c r="J188" i="2"/>
  <c r="AB188" i="2"/>
  <c r="AA188" i="2"/>
  <c r="BT188" i="2"/>
  <c r="R188" i="2"/>
  <c r="O188" i="2"/>
  <c r="BW188" i="2" l="1"/>
  <c r="BA186" i="2"/>
  <c r="BU186" i="2" s="1"/>
  <c r="BX186" i="2" s="1"/>
  <c r="BY186" i="2" s="1"/>
  <c r="AP188" i="2"/>
  <c r="BK189" i="2"/>
  <c r="R189" i="2"/>
  <c r="E189" i="2"/>
  <c r="B190" i="2"/>
  <c r="BD189" i="2"/>
  <c r="H189" i="2"/>
  <c r="BT189" i="2"/>
  <c r="BC189" i="2"/>
  <c r="AN189" i="2"/>
  <c r="S189" i="2"/>
  <c r="C189" i="2"/>
  <c r="BH189" i="2"/>
  <c r="AR189" i="2"/>
  <c r="V189" i="2"/>
  <c r="D189" i="2"/>
  <c r="CC189" i="2"/>
  <c r="BI189" i="2"/>
  <c r="AQ189" i="2"/>
  <c r="Q189" i="2"/>
  <c r="CH189" i="2"/>
  <c r="AS189" i="2"/>
  <c r="O189" i="2"/>
  <c r="CG189" i="2"/>
  <c r="BL189" i="2"/>
  <c r="AO189" i="2"/>
  <c r="N189" i="2"/>
  <c r="AM189" i="2"/>
  <c r="J189" i="2"/>
  <c r="K189" i="2"/>
  <c r="AU189" i="2"/>
  <c r="G189" i="2"/>
  <c r="AT189" i="2"/>
  <c r="F189" i="2"/>
  <c r="BF189" i="2"/>
  <c r="AA189" i="2"/>
  <c r="BG189" i="2"/>
  <c r="L189" i="2"/>
  <c r="BE189" i="2"/>
  <c r="AB189" i="2"/>
  <c r="M189" i="2"/>
  <c r="Y189" i="2"/>
  <c r="U189" i="2"/>
  <c r="AY188" i="2"/>
  <c r="BO188" i="2"/>
  <c r="BP188" i="2"/>
  <c r="W188" i="2"/>
  <c r="CD188" i="2"/>
  <c r="AX186" i="2"/>
  <c r="CB187" i="2"/>
  <c r="AW187" i="2"/>
  <c r="AC187" i="2"/>
  <c r="CA187" i="2"/>
  <c r="AV187" i="2"/>
  <c r="AD187" i="2"/>
  <c r="AZ187" i="2" s="1"/>
  <c r="BM187" i="2" s="1"/>
  <c r="AK187" i="2"/>
  <c r="AI187" i="2"/>
  <c r="AH188" i="2"/>
  <c r="I188" i="2"/>
  <c r="AJ188" i="2" s="1"/>
  <c r="BN187" i="2"/>
  <c r="BQ187" i="2" s="1"/>
  <c r="BR187" i="2" s="1"/>
  <c r="BV188" i="2"/>
  <c r="BN188" i="2" l="1"/>
  <c r="BQ188" i="2" s="1"/>
  <c r="BR188" i="2" s="1"/>
  <c r="AP189" i="2"/>
  <c r="AX187" i="2"/>
  <c r="BV189" i="2"/>
  <c r="W189" i="2"/>
  <c r="CD189" i="2"/>
  <c r="AY189" i="2"/>
  <c r="AV188" i="2"/>
  <c r="AD188" i="2"/>
  <c r="AZ188" i="2" s="1"/>
  <c r="BM188" i="2" s="1"/>
  <c r="CB188" i="2"/>
  <c r="AC188" i="2"/>
  <c r="AW188" i="2"/>
  <c r="CA188" i="2"/>
  <c r="AI188" i="2"/>
  <c r="AK188" i="2"/>
  <c r="BW189" i="2"/>
  <c r="BL190" i="2"/>
  <c r="S190" i="2"/>
  <c r="F190" i="2"/>
  <c r="O190" i="2"/>
  <c r="BT190" i="2"/>
  <c r="BD190" i="2"/>
  <c r="AO190" i="2"/>
  <c r="U190" i="2"/>
  <c r="D190" i="2"/>
  <c r="B191" i="2"/>
  <c r="K190" i="2"/>
  <c r="BF190" i="2"/>
  <c r="AN190" i="2"/>
  <c r="N190" i="2"/>
  <c r="AT190" i="2"/>
  <c r="AS190" i="2"/>
  <c r="V190" i="2"/>
  <c r="Y190" i="2"/>
  <c r="AQ190" i="2"/>
  <c r="J190" i="2"/>
  <c r="BI190" i="2"/>
  <c r="BH190" i="2"/>
  <c r="AB190" i="2"/>
  <c r="BG190" i="2"/>
  <c r="AA190" i="2"/>
  <c r="CC190" i="2"/>
  <c r="AU190" i="2"/>
  <c r="H190" i="2"/>
  <c r="R190" i="2"/>
  <c r="Q190" i="2"/>
  <c r="CG190" i="2"/>
  <c r="G190" i="2"/>
  <c r="BK190" i="2"/>
  <c r="BE190" i="2"/>
  <c r="BC190" i="2"/>
  <c r="L190" i="2"/>
  <c r="E190" i="2"/>
  <c r="AR190" i="2"/>
  <c r="AM190" i="2"/>
  <c r="M190" i="2"/>
  <c r="CH190" i="2"/>
  <c r="C190" i="2"/>
  <c r="I189" i="2"/>
  <c r="BN189" i="2" s="1"/>
  <c r="BQ189" i="2" s="1"/>
  <c r="BR189" i="2" s="1"/>
  <c r="AH189" i="2"/>
  <c r="BA187" i="2"/>
  <c r="BU187" i="2" s="1"/>
  <c r="BX187" i="2" s="1"/>
  <c r="BY187" i="2" s="1"/>
  <c r="BP189" i="2"/>
  <c r="BO189" i="2"/>
  <c r="AJ189" i="2" l="1"/>
  <c r="BA188" i="2"/>
  <c r="BU188" i="2" s="1"/>
  <c r="BX188" i="2" s="1"/>
  <c r="BY188" i="2" s="1"/>
  <c r="AP190" i="2"/>
  <c r="BP190" i="2"/>
  <c r="BO190" i="2"/>
  <c r="W190" i="2"/>
  <c r="CD190" i="2"/>
  <c r="AX188" i="2"/>
  <c r="BV190" i="2"/>
  <c r="BW190" i="2"/>
  <c r="AM191" i="2"/>
  <c r="U191" i="2"/>
  <c r="G191" i="2"/>
  <c r="BF191" i="2"/>
  <c r="AR191" i="2"/>
  <c r="AA191" i="2"/>
  <c r="J191" i="2"/>
  <c r="BT191" i="2"/>
  <c r="BD191" i="2"/>
  <c r="AO191" i="2"/>
  <c r="S191" i="2"/>
  <c r="D191" i="2"/>
  <c r="BG191" i="2"/>
  <c r="R191" i="2"/>
  <c r="L191" i="2"/>
  <c r="AB191" i="2"/>
  <c r="E191" i="2"/>
  <c r="Y191" i="2"/>
  <c r="C191" i="2"/>
  <c r="AT191" i="2"/>
  <c r="O191" i="2"/>
  <c r="AS191" i="2"/>
  <c r="M191" i="2"/>
  <c r="AQ191" i="2"/>
  <c r="K191" i="2"/>
  <c r="CG191" i="2"/>
  <c r="N191" i="2"/>
  <c r="CC191" i="2"/>
  <c r="AU191" i="2"/>
  <c r="H191" i="2"/>
  <c r="BK191" i="2"/>
  <c r="BC191" i="2"/>
  <c r="AN191" i="2"/>
  <c r="Q191" i="2"/>
  <c r="BL191" i="2"/>
  <c r="CH191" i="2"/>
  <c r="BI191" i="2"/>
  <c r="BH191" i="2"/>
  <c r="V191" i="2"/>
  <c r="F191" i="2"/>
  <c r="BE191" i="2"/>
  <c r="B192" i="2"/>
  <c r="I190" i="2"/>
  <c r="BN190" i="2" s="1"/>
  <c r="BQ190" i="2" s="1"/>
  <c r="BR190" i="2" s="1"/>
  <c r="AH190" i="2"/>
  <c r="AW189" i="2"/>
  <c r="CA189" i="2"/>
  <c r="CB189" i="2"/>
  <c r="AC189" i="2"/>
  <c r="AV189" i="2"/>
  <c r="AD189" i="2"/>
  <c r="AZ189" i="2" s="1"/>
  <c r="BM189" i="2" s="1"/>
  <c r="AI189" i="2"/>
  <c r="AK189" i="2"/>
  <c r="AY190" i="2"/>
  <c r="AJ190" i="2" l="1"/>
  <c r="I191" i="2"/>
  <c r="AJ191" i="2" s="1"/>
  <c r="AH191" i="2"/>
  <c r="CD191" i="2"/>
  <c r="W191" i="2"/>
  <c r="CB190" i="2"/>
  <c r="AW190" i="2"/>
  <c r="AD190" i="2"/>
  <c r="AZ190" i="2" s="1"/>
  <c r="BM190" i="2" s="1"/>
  <c r="AC190" i="2"/>
  <c r="CA190" i="2"/>
  <c r="AV190" i="2"/>
  <c r="AK190" i="2"/>
  <c r="AI190" i="2"/>
  <c r="BW191" i="2"/>
  <c r="AP191" i="2"/>
  <c r="AN192" i="2"/>
  <c r="V192" i="2"/>
  <c r="H192" i="2"/>
  <c r="R192" i="2"/>
  <c r="D192" i="2"/>
  <c r="BE192" i="2"/>
  <c r="U192" i="2"/>
  <c r="E192" i="2"/>
  <c r="CH192" i="2"/>
  <c r="J192" i="2"/>
  <c r="BC192" i="2"/>
  <c r="G192" i="2"/>
  <c r="AB192" i="2"/>
  <c r="F192" i="2"/>
  <c r="BL192" i="2"/>
  <c r="AQ192" i="2"/>
  <c r="M192" i="2"/>
  <c r="AT192" i="2"/>
  <c r="O192" i="2"/>
  <c r="BT192" i="2"/>
  <c r="AS192" i="2"/>
  <c r="N192" i="2"/>
  <c r="BK192" i="2"/>
  <c r="BI192" i="2"/>
  <c r="AA192" i="2"/>
  <c r="CG192" i="2"/>
  <c r="L192" i="2"/>
  <c r="Q192" i="2"/>
  <c r="BH192" i="2"/>
  <c r="K192" i="2"/>
  <c r="BG192" i="2"/>
  <c r="C192" i="2"/>
  <c r="AU192" i="2"/>
  <c r="B193" i="2"/>
  <c r="CC192" i="2"/>
  <c r="BF192" i="2"/>
  <c r="AM192" i="2"/>
  <c r="Y192" i="2"/>
  <c r="BD192" i="2"/>
  <c r="AR192" i="2"/>
  <c r="AO192" i="2"/>
  <c r="S192" i="2"/>
  <c r="AY191" i="2"/>
  <c r="BA189" i="2"/>
  <c r="BU189" i="2" s="1"/>
  <c r="BX189" i="2" s="1"/>
  <c r="BY189" i="2" s="1"/>
  <c r="BV191" i="2"/>
  <c r="BP191" i="2"/>
  <c r="BO191" i="2"/>
  <c r="AX189" i="2"/>
  <c r="BN191" i="2" l="1"/>
  <c r="BQ191" i="2" s="1"/>
  <c r="BR191" i="2" s="1"/>
  <c r="AX190" i="2"/>
  <c r="BW192" i="2"/>
  <c r="CD192" i="2"/>
  <c r="W192" i="2"/>
  <c r="AP192" i="2"/>
  <c r="BO192" i="2"/>
  <c r="BP192" i="2"/>
  <c r="CC193" i="2"/>
  <c r="AO193" i="2"/>
  <c r="BH193" i="2"/>
  <c r="AT193" i="2"/>
  <c r="L193" i="2"/>
  <c r="BE193" i="2"/>
  <c r="U193" i="2"/>
  <c r="E193" i="2"/>
  <c r="BD193" i="2"/>
  <c r="AM193" i="2"/>
  <c r="Q193" i="2"/>
  <c r="B194" i="2"/>
  <c r="AA193" i="2"/>
  <c r="F193" i="2"/>
  <c r="BF193" i="2"/>
  <c r="K193" i="2"/>
  <c r="BC193" i="2"/>
  <c r="J193" i="2"/>
  <c r="BK193" i="2"/>
  <c r="G193" i="2"/>
  <c r="R193" i="2"/>
  <c r="BT193" i="2"/>
  <c r="AU193" i="2"/>
  <c r="O193" i="2"/>
  <c r="S193" i="2"/>
  <c r="CH193" i="2"/>
  <c r="N193" i="2"/>
  <c r="CG193" i="2"/>
  <c r="M193" i="2"/>
  <c r="AN193" i="2"/>
  <c r="AB193" i="2"/>
  <c r="BG193" i="2"/>
  <c r="AQ193" i="2"/>
  <c r="C193" i="2"/>
  <c r="D193" i="2"/>
  <c r="AR193" i="2"/>
  <c r="Y193" i="2"/>
  <c r="V193" i="2"/>
  <c r="H193" i="2"/>
  <c r="BL193" i="2"/>
  <c r="AS193" i="2"/>
  <c r="BI193" i="2"/>
  <c r="AY192" i="2"/>
  <c r="BV192" i="2"/>
  <c r="BA190" i="2"/>
  <c r="BU190" i="2" s="1"/>
  <c r="BX190" i="2" s="1"/>
  <c r="BY190" i="2" s="1"/>
  <c r="I192" i="2"/>
  <c r="AJ192" i="2" s="1"/>
  <c r="AH192" i="2"/>
  <c r="CA191" i="2"/>
  <c r="AW191" i="2"/>
  <c r="AV191" i="2"/>
  <c r="AD191" i="2"/>
  <c r="AZ191" i="2" s="1"/>
  <c r="BM191" i="2" s="1"/>
  <c r="CB191" i="2"/>
  <c r="AC191" i="2"/>
  <c r="AK191" i="2"/>
  <c r="AI191" i="2"/>
  <c r="BA191" i="2" l="1"/>
  <c r="BU191" i="2" s="1"/>
  <c r="BX191" i="2" s="1"/>
  <c r="BY191" i="2" s="1"/>
  <c r="AP193" i="2"/>
  <c r="AX191" i="2"/>
  <c r="BW193" i="2"/>
  <c r="W193" i="2"/>
  <c r="CD193" i="2"/>
  <c r="CB192" i="2"/>
  <c r="AV192" i="2"/>
  <c r="AC192" i="2"/>
  <c r="AD192" i="2"/>
  <c r="AZ192" i="2" s="1"/>
  <c r="BM192" i="2" s="1"/>
  <c r="AW192" i="2"/>
  <c r="CA192" i="2"/>
  <c r="AI192" i="2"/>
  <c r="AK192" i="2"/>
  <c r="BO193" i="2"/>
  <c r="BP193" i="2"/>
  <c r="AY193" i="2"/>
  <c r="BC194" i="2"/>
  <c r="Y194" i="2"/>
  <c r="J194" i="2"/>
  <c r="CH194" i="2"/>
  <c r="CH15" i="2" s="1"/>
  <c r="AN194" i="2"/>
  <c r="U194" i="2"/>
  <c r="F194" i="2"/>
  <c r="BF194" i="2"/>
  <c r="AQ194" i="2"/>
  <c r="V194" i="2"/>
  <c r="E194" i="2"/>
  <c r="CC194" i="2"/>
  <c r="BL194" i="2"/>
  <c r="AU194" i="2"/>
  <c r="AB194" i="2"/>
  <c r="H194" i="2"/>
  <c r="CG194" i="2"/>
  <c r="CG15" i="2" s="1"/>
  <c r="BK194" i="2"/>
  <c r="AS194" i="2"/>
  <c r="S194" i="2"/>
  <c r="BH194" i="2"/>
  <c r="AM194" i="2"/>
  <c r="N194" i="2"/>
  <c r="BG194" i="2"/>
  <c r="M194" i="2"/>
  <c r="BD194" i="2"/>
  <c r="C194" i="2"/>
  <c r="R194" i="2"/>
  <c r="Q194" i="2"/>
  <c r="BT194" i="2"/>
  <c r="AO194" i="2"/>
  <c r="AO13" i="2" s="1" a="1"/>
  <c r="D194" i="2"/>
  <c r="O194" i="2"/>
  <c r="BE194" i="2"/>
  <c r="G194" i="2"/>
  <c r="L194" i="2"/>
  <c r="K194" i="2"/>
  <c r="AT194" i="2"/>
  <c r="AR194" i="2"/>
  <c r="AA194" i="2"/>
  <c r="BI194" i="2"/>
  <c r="I193" i="2"/>
  <c r="AH193" i="2"/>
  <c r="BN192" i="2"/>
  <c r="BQ192" i="2" s="1"/>
  <c r="BR192" i="2" s="1"/>
  <c r="BV193" i="2"/>
  <c r="AP194" i="2" l="1"/>
  <c r="AO12" i="2" a="1"/>
  <c r="AY194" i="2"/>
  <c r="AX192" i="2"/>
  <c r="AC193" i="2"/>
  <c r="AV193" i="2"/>
  <c r="CA193" i="2"/>
  <c r="AW193" i="2"/>
  <c r="AD193" i="2"/>
  <c r="AZ193" i="2" s="1"/>
  <c r="BM193" i="2" s="1"/>
  <c r="CB193" i="2"/>
  <c r="AI193" i="2"/>
  <c r="AK193" i="2"/>
  <c r="BP194" i="2"/>
  <c r="BO194" i="2"/>
  <c r="C24" i="1"/>
  <c r="U24" i="1" s="1"/>
  <c r="C30" i="1"/>
  <c r="C43" i="1"/>
  <c r="U43" i="1" s="1"/>
  <c r="C33" i="1"/>
  <c r="U33" i="1" s="1"/>
  <c r="C19" i="1"/>
  <c r="U19" i="1" s="1"/>
  <c r="C20" i="1"/>
  <c r="U20" i="1" s="1"/>
  <c r="C22" i="1"/>
  <c r="U22" i="1" s="1"/>
  <c r="C25" i="1"/>
  <c r="U25" i="1" s="1"/>
  <c r="C18" i="1"/>
  <c r="U18" i="1" s="1"/>
  <c r="C21" i="1"/>
  <c r="U21" i="1" s="1"/>
  <c r="C31" i="1"/>
  <c r="U31" i="1" s="1"/>
  <c r="C40" i="1"/>
  <c r="C32" i="1"/>
  <c r="U32" i="1" s="1"/>
  <c r="C42" i="1"/>
  <c r="U42" i="1" s="1"/>
  <c r="C34" i="1"/>
  <c r="U34" i="1" s="1"/>
  <c r="C17" i="1"/>
  <c r="C35" i="1"/>
  <c r="U35" i="1" s="1"/>
  <c r="C23" i="1"/>
  <c r="U23" i="1" s="1"/>
  <c r="BN193" i="2"/>
  <c r="BQ193" i="2" s="1"/>
  <c r="BR193" i="2" s="1"/>
  <c r="BA192" i="2"/>
  <c r="BU192" i="2" s="1"/>
  <c r="BX192" i="2" s="1"/>
  <c r="BY192" i="2" s="1"/>
  <c r="BW194" i="2"/>
  <c r="C44" i="1"/>
  <c r="U44" i="1" s="1"/>
  <c r="AT4" i="2" a="1"/>
  <c r="C41" i="1"/>
  <c r="U41" i="1" s="1"/>
  <c r="AT10" i="2" a="1"/>
  <c r="AT5" i="2" a="1"/>
  <c r="AT6" i="2" a="1"/>
  <c r="AT11" i="2" a="1"/>
  <c r="AT12" i="2" a="1"/>
  <c r="AT13" i="2" a="1"/>
  <c r="AT8" i="2" a="1"/>
  <c r="AT9" i="2" a="1"/>
  <c r="AT7" i="2" a="1"/>
  <c r="C11" i="1"/>
  <c r="U11" i="1" s="1"/>
  <c r="C9" i="1"/>
  <c r="C12" i="1"/>
  <c r="U12" i="1" s="1"/>
  <c r="C10" i="1"/>
  <c r="U10" i="1" s="1"/>
  <c r="CD194" i="2"/>
  <c r="W194" i="2"/>
  <c r="BV194" i="2"/>
  <c r="C68" i="1"/>
  <c r="C69" i="1"/>
  <c r="U69" i="1" s="1"/>
  <c r="C70" i="1"/>
  <c r="U70" i="1" s="1"/>
  <c r="C71" i="1"/>
  <c r="U71" i="1" s="1"/>
  <c r="AJ193" i="2"/>
  <c r="AH194" i="2"/>
  <c r="I194" i="2"/>
  <c r="AJ194" i="2" s="1"/>
  <c r="U17" i="1" l="1"/>
  <c r="C26" i="1"/>
  <c r="U26" i="1" s="1"/>
  <c r="C36" i="1"/>
  <c r="U36" i="1" s="1"/>
  <c r="U30" i="1"/>
  <c r="AX193" i="2"/>
  <c r="CB194" i="2"/>
  <c r="CB15" i="2" s="1"/>
  <c r="CA194" i="2"/>
  <c r="CA15" i="2" s="1"/>
  <c r="AD194" i="2"/>
  <c r="AZ194" i="2" s="1"/>
  <c r="BM194" i="2" s="1"/>
  <c r="AW194" i="2"/>
  <c r="AV194" i="2"/>
  <c r="AC194" i="2"/>
  <c r="C51" i="1"/>
  <c r="U51" i="1" s="1"/>
  <c r="C50" i="1"/>
  <c r="U50" i="1" s="1"/>
  <c r="C63" i="1"/>
  <c r="U63" i="1" s="1"/>
  <c r="C62" i="1"/>
  <c r="U62" i="1" s="1"/>
  <c r="C61" i="1"/>
  <c r="U61" i="1" s="1"/>
  <c r="C53" i="1"/>
  <c r="U53" i="1" s="1"/>
  <c r="C60" i="1"/>
  <c r="C52" i="1"/>
  <c r="U52" i="1" s="1"/>
  <c r="C58" i="1"/>
  <c r="U58" i="1" s="1"/>
  <c r="C59" i="1"/>
  <c r="U59" i="1" s="1"/>
  <c r="C49" i="1"/>
  <c r="AI194" i="2"/>
  <c r="AK194" i="2"/>
  <c r="C45" i="1"/>
  <c r="U45" i="1" s="1"/>
  <c r="U40" i="1"/>
  <c r="U9" i="1"/>
  <c r="C13" i="1"/>
  <c r="U13" i="1" s="1"/>
  <c r="C72" i="1"/>
  <c r="U72" i="1" s="1"/>
  <c r="U68" i="1"/>
  <c r="BN194" i="2"/>
  <c r="BQ194" i="2" s="1"/>
  <c r="BR194" i="2" s="1"/>
  <c r="BA193" i="2"/>
  <c r="BU193" i="2" s="1"/>
  <c r="BX193" i="2" s="1"/>
  <c r="BY193" i="2" s="1"/>
  <c r="U49" i="1" l="1"/>
  <c r="C54" i="1"/>
  <c r="U54" i="1" s="1"/>
  <c r="AX194" i="2"/>
  <c r="C4" i="1"/>
  <c r="U4" i="1" s="1"/>
  <c r="C3" i="1"/>
  <c r="AV11" i="2" a="1"/>
  <c r="AV13" i="2" a="1"/>
  <c r="C64" i="1"/>
  <c r="U64" i="1" s="1"/>
  <c r="U60" i="1"/>
  <c r="BA194" i="2"/>
  <c r="BU194" i="2" s="1"/>
  <c r="BX194" i="2" s="1"/>
  <c r="BY194" i="2" s="1"/>
  <c r="AW11" i="2" a="1"/>
  <c r="AW13" i="2" a="1"/>
  <c r="Y33" i="1"/>
  <c r="U3" i="1" l="1"/>
  <c r="C5" i="1"/>
  <c r="U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tc={5930F1ED-DC2F-4F13-8863-600A2606BF0A}</author>
    <author>tc={2574C77A-CFFF-45CF-A779-2FEAC51D6605}</author>
    <author>tc={2C204021-7FA3-4C46-9DA7-3C30E057A360}</author>
    <author>tc={D6D600EC-3E2D-47EF-AD65-E1DC900BB760}</author>
    <author>tc={01DB0284-A499-49C0-9971-65024ABC0F00}</author>
    <author>tc={63B057AE-B2A5-47E4-858F-A645B9B173BF}</author>
    <author>tc={42670597-3265-446D-B228-70FCCC911014}</author>
    <author>tc={7BD33BB7-ECF2-4411-A552-5F8F07578252}</author>
    <author>tc={1DAE26B5-4E6C-4BB4-A8AA-11AFA57B01FE}</author>
    <author>tc={CD03AC6C-787D-4B4F-9FAA-1B0B4131287F}</author>
    <author>tc={E14E6B42-CB0F-4D91-ABE8-F18349089665}</author>
    <author>tc={10CD594F-A054-43D3-AE75-34F71AF1AD1A}</author>
    <author>tc={60A4F518-968E-4554-8324-176BD52EFA59}</author>
    <author>tc={AC0C1CEF-9FFE-4A32-99B9-1C8967D9121B}</author>
    <author>tc={C3E99F28-4592-47D7-9113-422E1AEF5D4D}</author>
    <author>tc={3964D9F3-66E0-492A-9FFE-8A069F2FD9D6}</author>
    <author>tc={F18E35E2-27F5-45DB-8027-8CBB9C01050C}</author>
    <author>tc={F931A4F0-FB27-4960-A976-131D68D94F34}</author>
    <author>tc={EF903CC3-D990-4C15-8F99-7ABDB712E425}</author>
    <author>tc={D3FA68F2-A3A3-4AB7-A430-F234F043CBA4}</author>
    <author>tc={E983C319-0482-4571-96FD-5FF34A7A14CB}</author>
    <author>tc={2BDD5F73-58C0-44CC-BEA3-FA9311A5E5BC}</author>
    <author>tc={0FCC37A9-65BB-49EA-9C11-A66C1D5D9751}</author>
    <author>tc={93ED351D-4371-4D6E-9597-4094D81A9415}</author>
    <author>tc={660A0E4F-C08C-4A73-821F-B9D7300264A5}</author>
    <author>tc={C8AAC333-C824-40C1-9346-0413B9F7FBA0}</author>
    <author>tc={DF2862C7-687D-49D8-999B-91C839C85CD9}</author>
    <author>tc={F4D06D61-ED28-4748-96F6-3530F6C79802}</author>
    <author>tc={B14D853C-A172-4093-843B-4AD640EE8942}</author>
    <author>tc={A6CE8326-B943-4A06-A537-C08A2D0FA846}</author>
    <author>tc={07748AE1-8E84-4723-9234-06DFACDE539F}</author>
    <author>tc={EC3908BA-B622-4276-99D9-2A230326DBCA}</author>
    <author>tc={75A05CCD-2BB6-4B16-A885-45C646DD6FD4}</author>
    <author>tc={1D4F75C9-7ADF-45D0-BE7C-1EB9791E31EE}</author>
    <author>tc={7DE6ADD3-8FAE-46E1-9801-44C04C1EC778}</author>
    <author>tc={D4F5379C-11E6-4CA4-B6C6-D624B5E3484B}</author>
    <author>tc={9D041260-A0B4-4324-B581-1FB1C1EF63C0}</author>
    <author>tc={02ABE6EE-4EC4-418F-AE6E-C126E861AFE7}</author>
    <author>tc={671AF491-4696-4BCE-A5FE-B8AFA8BC768B}</author>
    <author>tc={751CC6FB-F014-418D-B181-BBCAD4F48D44}</author>
    <author>tc={2580E1BB-7566-4A52-BCD0-AA59ECD97C0E}</author>
    <author>tc={425E45E4-CAA5-4C08-A1A4-4B1CF2ECF0CB}</author>
    <author>tc={B3CCAE81-0013-46F7-9000-CC77EF25683E}</author>
    <author>tc={9F3EC953-65FC-42B3-8230-C6F9CF008973}</author>
    <author>tc={9AC23C01-AAE1-446F-833C-67E5BFF79156}</author>
    <author>tc={CA2CDA92-EC3D-47E4-87F6-4A7BB8F66CF1}</author>
    <author>tc={CFD46667-1E39-4B27-A0AE-FA5638A711FC}</author>
    <author>tc={3B8DEC18-7CEE-42CB-ABF0-1541A901CE6D}</author>
    <author>tc={82D3ABB7-4E75-4A37-9244-4B2EDBFA2291}</author>
    <author>tc={770A84D9-0E06-449B-9072-CD69C8D47EE3}</author>
    <author>tc={29752194-A1F9-4F70-B2A1-1C9CF9D230CA}</author>
    <author>tc={0FE90408-457D-4867-8871-EB98005CB5F1}</author>
    <author>tc={FF77ED10-F0E5-4274-BF98-D29608C841A9}</author>
    <author>tc={B095E895-1329-4FFD-9C5A-A64C79555434}</author>
    <author>tc={89C534CA-5C23-4ED1-922A-AFA09B90ED57}</author>
    <author>tc={08A5AD13-79B4-4535-92C2-9036FB6D2EDB}</author>
    <author>tc={392630B1-0095-40B2-8CBA-5A4D5922AE33}</author>
    <author>tc={B9FF2BFF-0271-41C0-92E1-C6EA8314E0F1}</author>
    <author>tc={EBACA3D5-A226-41F4-94A6-E0A102C2A891}</author>
    <author>tc={DF713701-CD55-49B1-9896-BCCFDC5EF752}</author>
    <author>tc={60D63A3D-F851-4773-B6A0-664842454303}</author>
    <author>tc={2C697158-D228-4614-9AAF-17AFDE38ED4B}</author>
    <author>tc={087D466D-C438-4DD0-8C62-561EC9ED0C04}</author>
    <author>tc={FDD436DD-4181-494C-8E7B-6C2D33414F41}</author>
    <author>tc={B0B156AA-9618-487F-BD7A-9B86590FB2DC}</author>
    <author>tc={4B2AD0A4-D60F-4E25-A811-E422B1F8F3A8}</author>
    <author>Merroon Corera</author>
    <author>tc={A8D0EE0B-3C7B-483C-9C9D-9306D96C1D58}</author>
    <author>tc={5CBBC799-CEC9-4509-B8C8-3A07C842672E}</author>
    <author>tc={4C21B5AD-4986-496D-999C-44812A6C5256}</author>
    <author>tc={337F5000-DBE0-4336-B196-41CC29260CE7}</author>
    <author>tc={6C0A4881-BDC7-4119-8A61-C3287A09DD74}</author>
    <author>tc={A75F165A-4B8E-4A2C-9C35-582400D4BF1C}</author>
    <author>tc={B077E006-83B2-45B8-802C-4AE210D42521}</author>
    <author>tc={16B44BFB-2B02-452C-A86D-8C216CCE6D7A}</author>
    <author>tc={01C346E0-BB5F-4846-9BD2-AF2FA695705F}</author>
    <author>tc={631A886F-9EED-4F86-800F-81FFA70F0684}</author>
    <author>tc={89B8800D-E91B-496C-971D-884167130409}</author>
    <author>tc={8B43862E-CAA1-4292-99B0-BF6B9446096C}</author>
    <author>tc={BA89D8BC-E66B-4C1C-9BA8-48B28F346506}</author>
    <author>tc={0ACC8559-4BE6-4B50-8CC7-A2E910D7CE11}</author>
    <author>tc={8B830D0C-4121-470D-A455-BE191A6E5F5B}</author>
    <author>tc={D75C3C7F-4A1E-40EB-93DC-F8F6B6920CF4}</author>
  </authors>
  <commentList>
    <comment ref="BR16" authorId="0" shapeId="0" xr:uid="{5930F1ED-DC2F-4F13-8863-600A2606BF0A}">
      <text>
        <t>[Threaded comment]
Your version of Excel allows you to read this threaded comment; however, any edits to it will get removed if the file is opened in a newer version of Excel. Learn more: https://go.microsoft.com/fwlink/?linkid=870924
Comment:
    Review related to Prolongation Costs to AYC
15-Jan-24: Commercial team to discuss with Claims team (PG)
24-Jan-24: Initial discussions held. Ongoing (entitlement calc)
29-Jan-24: Commercial and Claims to discuss.
12-Feb-24: A meeting was done on (date)with the claims team and need update from Blake. Claims team to revert to Ali with comments on his expert report
26 Feb 24: Commercial to prepare the cost report associated with the EOT
11 Mar 24: cost report under preparation, pending sharing of reports with NSCC for their final comment
25 Mar 24: awaiting confirmation form NSCC regarding the ground conditions. PVO for MLH VE under process
22 Apr 24: letter to the contractor under preparation and approval. An advance copy was issued to the contractor for information. commercial to share the draft letter to claims team for review
06 May 24: Commercial to share the draft with claims team
03 Jun 24: Commercial report issued to claims for review
24 Jun 24: Report sent back to commercial on 20 Jun 24
8-Jul-24: Contractor issued a letter (1TB04400-005C13-NSC-LTR-0403 dated 04 Jul 24) in disagreement to AMAALA's Employer's opinion report on the Unforeseeable Physical Ground Conditions. However, Assessment report in it's final stage
15 Jul 24: Commercial to set up a meeting with David S to discuss regarding the ground condition to close out the assessment</t>
      </text>
    </comment>
    <comment ref="BR17" authorId="1" shapeId="0" xr:uid="{2574C77A-CFFF-45CF-A779-2FEAC51D6605}">
      <text>
        <t>[Threaded comment]
Your version of Excel allows you to read this threaded comment; however, any edits to it will get removed if the file is opened in a newer version of Excel. Learn more: https://go.microsoft.com/fwlink/?linkid=870924
Comment:
    Report and Commercial Assessment reviewed by Claims Team. Commercial team to update the report.
14-Jan-24: Currently with Planning team for review and approval.
15-Jan-24: EOT concluded by Forensic Planner (NDS &amp; SV). Under review by TEE.
29-Jan-24: Draft final report issued to Commercial team. 
20-Feb-24: Assessment report put into WF for approvals
26-Feb-24: Under WF approval (WF-016414)
10 Mar 24: approved by GCEO
11 Mar 24: to be issued to the contractor today
24-Mar-24 - Letter for issuance of Report to Contractor is under approval.</t>
      </text>
    </comment>
    <comment ref="BR18" authorId="2" shapeId="0" xr:uid="{2C204021-7FA3-4C46-9DA7-3C30E057A360}">
      <text>
        <t>[Threaded comment]
Your version of Excel allows you to read this threaded comment; however, any edits to it will get removed if the file is opened in a newer version of Excel. Learn more: https://go.microsoft.com/fwlink/?linkid=870924
Comment:
    Report and Commercial Assessment reviewed by Claims Team. Commercial team to update the report.
14-Jan-24: Currently with Planning team for review and approval.
15-Jan-24: Awaiting conclusion of EOT.
29-Jan-24: Ditto
11 Mar 24: reports to be issued this week
24-Mar-24: Cost Assessment Report is under preparation. Target date for issuance to Claims team for initial review - 25-Mar-24.
6-May-24: Cost Assessment Report is under preparation. Will be updated on receipt of Contractor's revised Claim based on the EOT Assessment Report.
09 May 24: contractor submitted the prolongation cost particulars based on the employer's EoT assessment. Current action with  Commercial team to review the cost and adopt the template shared by PG for the report
19 May 24: Commercial sent the assessment report to PG for review</t>
      </text>
    </comment>
    <comment ref="BR21" authorId="3" shapeId="0" xr:uid="{D6D600EC-3E2D-47EF-AD65-E1DC900BB760}">
      <text>
        <t>[Threaded comment]
Your version of Excel allows you to read this threaded comment; however, any edits to it will get removed if the file is opened in a newer version of Excel. Learn more: https://go.microsoft.com/fwlink/?linkid=870924
Comment:
    Notice of Disatisfaction to RSG's determination.
ALS submitted particulars, AMAALA Responded requesting additonal information
14-Jan-24: EOT determined - Awaiting Contractors Commercial Submission
29-Jan-24: Re-submission is expected from Contractor by end of Jan-24.
12-Feb-24 - Pending with contractor
26-Feb-24: Ditto
10 Mar 24: Ditto</t>
      </text>
    </comment>
    <comment ref="BR22" authorId="4" shapeId="0" xr:uid="{01DB0284-A499-49C0-9971-65024ABC0F00}">
      <text>
        <t>[Threaded comment]
Your version of Excel allows you to read this threaded comment; however, any edits to it will get removed if the file is opened in a newer version of Excel. Learn more: https://go.microsoft.com/fwlink/?linkid=870924
Comment:
    Notice of Disatisfaction to RSG's determination.
ALS submitted particulars, AMAALA Responded requesting additonal information
14-Jan-24: EOT determined - Awaiting Contractors Commercial Submission
29-Jan-24: Re-submission is expected from Contractor by end of Jan-24.
26-Feb-24: Ongoing assessment. Cost substantiation provided by Alsaad on 19 Feb. Responded by RSG on 22 Feb 24, further substantiation requested.
10 Mar 24: Pending with contractor
25 Mar 24: The initial assessment has been discussed with the contractor on 19/Mar/24, and we are awaiting its comments. We have also requested for further information/supporting documents from the contractor
22 Apr 24: Contractor required to submit further particulars
06 May 24: Associated with the above line item 7
03 Jun 24: Ditto
24 Jun 24: Ditto, awaiting response from contractor
15 Jul 24: Ditto
29 Jul 24: Ditto
08 Aug 24: This line item is solely for EOT 1 cost claim
12 Aug 24: Commercial issued a follow up response under Aconex Ref AMA01031-GENCORR-000904 on 06 Aug 24
26 Aug 24: Still waiting for response
8 Sept 24-Waiting for Contractor's Response - Contractor Verbally mentioned, RSG should process the Commercial Assessment based on our value, it can either be accepted or might be rejected by the contractor
07 Oct 2024 Contractor has raised concerns on the Employer's time assessment and has requested to reconsider the compensable days via letter 1TB01031-031C02-ALS-LTR-0299 on 3 Oct 24. Currently with Planning to review the contractor's argument about the Concurrency calculation
23 Oct 24: Planning reviewed the SCL protocol and confirmed that the Contractor’s position on concurrency assessment is unfounded via email on 21 Oct 24. Commercial to draft a response to contractor &amp; proceed with the cost assessment
04 Nov 24: P1 to update (letter issued) Letter ref to be provided
03 Nov 24: Letter still in WF-012085, approval overdue with Fahad
18 Nov 24: Employer's response issued to contractor on 10 Nov 24 via Letter 1TB01031-031C02-AMA-LTR-0029. cost assessment report under process
04 Dec 24: Ditto
15 Dec 24: Ditto
13 Jan 25: need further information from contractor to determine their position. commercial to send a follow up letter to contractor
11 Feb 25: follow up email sent via aconex email AMA01031-GENCORR-000943
24 Feb 25: awaiting submission from contractor
10 Mar 25: Ditto, awaiting contractor's resubmission
24 Mar 25: Ditto
09 Apr 25: Ditto
22 Apr 25: Ditto, commercial to follow up with contractor for resubmission
05 May 25: Reminder letter to ALS is on WF-013446 for Approval
10 May 25: Follow upletter issued to contractor via 1TB01031-031C02-AMA-LTR-0043, awaiting response from the contractor
19 May 25:Reminder letter has been issued to the contractor Ref : 1TB01031-031C02-AMA-LTR-0043 dated 08 May 2025. 
16-June-25: Ditto, awaiting response from contractor
30 Jun 25: Cost Asessment is being discussed with contractor for final Agreement, Final account negotiation going on
03 Jul 25: A final reminder sent to contractor to provide supporting documents to proceed with the employer's assessment via 1TB01031-031C02-AMA-LTR-0044</t>
      </text>
    </comment>
    <comment ref="BR23" authorId="5" shapeId="0" xr:uid="{63B057AE-B2A5-47E4-858F-A645B9B173BF}">
      <text>
        <t>[Threaded comment]
Your version of Excel allows you to read this threaded comment; however, any edits to it will get removed if the file is opened in a newer version of Excel. Learn more: https://go.microsoft.com/fwlink/?linkid=870924
Comment:
    15-Jan-24: Commercial team to provide update
21-Jan-24: Letter sent to Contractor on 21 Jan 24 requesting for further particulars (xer files)
28-Jan-24: xer files provided. Meeting is set on 29 Jan 24 to discuss the provided substantiation.
Meeting held with contractor on 29/1/24 awaiting action
12-Feb-24: Ditto
11-March-24: Awaiting action from Contractor. 
25 Mar 24: Ditto
22 Apr 24: Ditto
06 May 24: Contactor submitted the revised claim on 05 April 2024, with new cut off dates (EOT 4) currently under review with commercial 
16 May 24: Commercial sent the draft assessment to Planning for review
23 May 24: Planning team returned the assessment with comments
03 June 24: Planning sent the report to PG on 28 May 24
24 Jun 24: Report sent back to commercial to update the report on 16 June 24 with comments from PG
15-Jul-24: Contractor latest submission (EOT 5) was rejected by RSG via letter ref 1TB01006-006C03-AMA-LTR-0133. Contractor to resubmit a consolidated claim. awaiting submission from contractor.
29 Jul 24: Still waiting for the contractor
12 Aug 24:  Revised submission of EOT 5 received on 28 July 2024 through letter ref. 1TB01006-006C03-MOO-LTR-0100. commercial to review and respond.
26 Aug 25: Commercial is drafting a letter of rejection. Comments on the previous submission that hasnt been addressed. Draft response sent to Nigel for initial review
08 Sep 24: Letter in WF-015526
11 Sep 24: letter 1TB01006-006C03-AMA-LTR-0138 issued to contractor to resubmit
07 Oct 24: Contractor Submitted updated claim as of 25 Sep 24 via letter ref 1TB01006-006C03-MOO-LTR-0110 on 29 Sep 24
24 Oct 24: Draft of Commercial Report was sent to Nigel for review on 24 Oct 24.
31-Oct 24 - Comments received from Nigel on 29 Oct and commercial is addressing the comments.
10 Nov 2024: Commercial has updated the Commercial Assessment Report, taking Nigel's comments into account and sent back to Nigel on 03 Nov 24.
14 Nov 24 - Received from Nigel on 11 Nov and sent to Paul Gallagher. Returned back on 11 Nov advising to use the latest EOT Report template. Commercial is revising
18 Nov 24: under process with commercial
04 Dec 24 - Draft sent to Paul Gallagher using the new template
15 Dec 24: reviewed and sent back to commercial with comments to be updated
17 Dec 24 -  Revised report sent to Claims team
12 Jan 2025 - Awaiting response from Claims team
13 Jan 2025 - claims provided the comment to commercial for updating
16 Jan 25: Commercial to issue a letter to contractor to submit an updated claim with a cut-off date after the de-scoping was made
21 Jan 25: Draft letter prepared and sent to claims for review.
22 Jan 25: Draft response sent back to commercial with amendments. commercial to address and proceed with the issuance
27 Jan 25: Letter in WF for approval (WF-023328 - 1TB01006-006C03-AMA-LTR-0148). Contractor to resubmit the claim with new cut-off date
12 Feb 25 - Letter issued to Contractor on 29 Jan 25. A workshop with the Contractor was held on 05 Feb 25. awaiting response 
16 Feb 25- Awaiting Contractor's revised submission
24 Feb 25 - Revised submission was received from the Contractor on 20 Feb 25 1TB01006-006C03-MOO-LTR-0118. this submission had 2 new DEs
10 Mar 25: EOT report under preparation with commercial
24 March 25 - As per management decision, an Interim EOT Award without cost would be given to the Contractor by 31 March 2025 based on 2 delay events namely late access and due to additional works. Planning team to determine the EOT to be awarded.
06 Apr 25 - Discretionary EOT is under Workflow for approval (WF-028136) l pending with John Pagano. 
09 Apr 25: DEOT approved on 09 Apr 25, EI to be issued contractor issued an updated claim with new DEs, (Ref &amp; Date to be provided)
16 Apr 25: EI for DEOT was issued on 16 April 2025 (1TB01006-006C03-AMA-EMI-PM-0001)
22 Apr 25: Draft report sent to Claims team for review on 17 Apr 25
04 May 25 - EAR reverted with initial comments from claims team, commercial to update and resubmit 
14 May 25: updated draft report sent to claims team for review
18 May 25 - Revised Report sent to Claims team on 14 May 25
28 May 25: EAR reviewed by claims sent to planning for TIA 
14 June 25 - with Planning team
16 Jun 25: TIA under process, Targeted to revert by 01 Jul 25
23 Jun 25: Ditto
28 June 25: TIA under process. targeted to revert by 01 July 25
30 Jun 25: TIA under process, targeted to revert by 07 Jul 25
08 Jul 25: Targeted to finalise and revert by 09 Jul 25
14 July 25 - TIA Incorporated and sent back to commercial to finalise the report prior to its submission to claims team for final review and approval
21 Jul 25: Final Draft report sent to claims for final review &amp; approval
27 July 25 - With Claims for final approval. 
28 Jul 25: Approved by claims team, commercial to initiate work flow
29 Jul 25: EAR put in workflow WF-034518
11 Aug 25: Ditto
19 Aug 25: EAR cover letter pu in WF (AMA01006-WTRAN-100390)
21 Aug 25:  EAR is approved. Employer's report now in WF-035285
27 Aug 25: Employers Assessment report issued to contractor via 1TB01006-006C03-AMA-LTR-0159
08 Sep 25: Awaiting contractor's acceptance 
04 Oct 25 - Contractor requested for XER file used by the Employer in the EOT Assessment (through e-mail). XER file was provided on 29 Sept 2025 (Ref. AMA01006-GENCORR-003765)
07 Oct 25: Awaiting contractor's response
20 Oct 25: Contractor submitted a Notice of Dissatisfaction with the TIA 1TB01006-006C03-MOO-LTR-0133 () on 16 Oct 25. Planning to respond.</t>
      </text>
    </comment>
    <comment ref="BR24" authorId="6" shapeId="0" xr:uid="{42670597-3265-446D-B228-70FCCC911014}">
      <text>
        <t>[Threaded comment]
Your version of Excel allows you to read this threaded comment; however, any edits to it will get removed if the file is opened in a newer version of Excel. Learn more: https://go.microsoft.com/fwlink/?linkid=870924
Comment:
    31-Jan-24:Project Delivery team was requested to provide draft response to ALS letter
10-Mar-24: Project Delivery Response received
10-Mar-24: Planning Team and Commercial to finalize draft response
25 Mar 24: response letter under preperation and to be sent to claims team for review EOD
22 Apr 24: to be discussed with the senior management &amp; legal
06 May 24: Ditto, Under discussion
03 Jun 24: Discussed with PG and asked delivery to provide details. Commercial to set up a meeting with Claims team to discuss further this week. 
15-Jul-24: Ditto
29 Jul 24: Ditto
12 Aug 24: Sasho to discuss with Al Saad Management to withdraw this letter.
26 Aug  24: No update
08 Sep 24: No Update. commercial to follow up with Sasho
07 Oct 24- Ditto
04 Nov 24: Ditto
04 Dec 24: Ditto
15 Dec 24: Ditto</t>
      </text>
    </comment>
    <comment ref="BR27" authorId="7" shapeId="0" xr:uid="{7BD33BB7-ECF2-4411-A552-5F8F07578252}">
      <text>
        <t xml:space="preserve">[Threaded comment]
Your version of Excel allows you to read this threaded comment; however, any edits to it will get removed if the file is opened in a newer version of Excel. Learn more: https://go.microsoft.com/fwlink/?linkid=870924
Comment:
    11 Mar 24: Employer's response is under preparation.
13 Mar 24: Initial response for additional particulars was requested
25 Mar 24: awaiting particulars from the contractor The contractor did not submit the time impact analysis as well as full substantiation for the prolongation cost. Employer's response is under preparation.
Ongoing resistance from delivery for consideration as VO. Contractor has entitlement, Letter requesting additional info under draft
22 Apr 24: Amaala issued the letter for additional information and is currently waiting for their response. 
01 May 24: Contractor submitted the revised &amp; requested particulars for initial assessment
06 May 24: informal discussion was done between the commercial team and the contractor regarding the EoT &amp; Delay Damages. commercial team to respond to the contractor's latest letter received on 1st of May 24
03 Jun 24: Commercial yet to issue a response to the contractor for their recent submission. commercial to set up a meeting with HASCO
24 Jun 24: A response was made to the contractor rejecting their claim and thus need to revise &amp; resubmit in compliance with the contract
15-Jul-24: Ditto, awaiting resubmission from the contractor.
29 Jul 24: Ditto
12 Aug 24: Ditto
26 Aug 24: Ditto
08 Sep 24: Ditto. commercial to follow up with contractor &amp; to issue a letter
24 Sep 24: Contractor resubmitted the claim on 18 Sep 24. commercial to review. Meeting held with HASCO on 17 Sept 24 and RSG to review costs submitted and provide comments by 28 Sept 24. Further meeting to be arranged to try and conclude.
07 Oct 24: a meeting was arranged with HASCO for October 9, and the outcome will be shared with the Claims team.
20 Oct 24. Meeting and discussions ongoing with HASCO. Proposal to be put forward to claims team by the end October.
01 Nov 24. Meeting took place on 29 Oct and HASCO is reviewing with their CEO. We explained that any EoT entitlement costs are set-off by the damages given the significant delay. They have a new team who dont know the history and seemed keen to resolve the item. We await their feedback.
17 Nov 24: The meeting with HASCO on 12 November 2024, involving RSMLI Senior Directors, was cancelled by HASCO last minute and remains unscheduled. A revised close-out strategy is required, and the Senior Project Director will only be available for a meeting mid-December. 
04 Dec 24 - Meeting arranged for 17th December to agree  a final account.
15 Dec 24: Ditto
22 Dec 24: Ditto
13 Jan 25 - A verbal agreement was reached at the meeting on the 17th December. This wavier all EoT and LAD claims and the account was settled with a variation for foundations. We are chasing HASCO to formally agree to this so paperwork can be processed and the final account agreed. 
27 Jan 25 - Hasco have advised their CEO now wants to speak to HOC prior to formally accepting this position. Once the PVO for additional Works is completed we propose to Determine this matter.
28 Jan 25: Assessment to be completed; target date 6th Feb
12 Feb 25: No response yet from HASCO and assessment draft being finalised. To be issued to planning by end Feb.
23 Feb 25: Target issue date to planning delayed until end Mar 25.
10 Mar 25: Ditto
24 Mar 25: Ditto
07 Apr 25: Target issue date to planning by end Apr 25.
09 Apr 25: EAR is being prepared in the background while awaiting resubmission from the contractor
22 Apr 25: No further submission from HASCO. Internal assessment and report on-going. Commercial to provide a target date
05 May 25: Targeted to finalise the report by end of June 2025.
19 May 25: Ditto
16 June 25: Ditto
</t>
      </text>
    </comment>
    <comment ref="BR28" authorId="8" shapeId="0" xr:uid="{1DAE26B5-4E6C-4BB4-A8AA-11AFA57B01FE}">
      <text>
        <t>[Threaded comment]
Your version of Excel allows you to read this threaded comment; however, any edits to it will get removed if the file is opened in a newer version of Excel. Learn more: https://go.microsoft.com/fwlink/?linkid=870924
Comment:
    11 Mar 24: The contractor did not submit the time impact analysis as well as full substantiation for the prolongation cost. 
11 Mar 24: Ongoing resistance from delivery for consideration as VO. Contractor has entitlement, Letter requesting additional info under draft
24 Mar 24 - Merit of the claim is under Commercial team review. Initial response shall be prepared and shared with the Claims team for comments. 
06 May 24: Associated with the above item
24 Jun 24: Ditto
11-Jul-24: Ditto
11 Aug 24: Ditto
26 Aug 24: Ditto</t>
      </text>
    </comment>
    <comment ref="BR29" authorId="9" shapeId="0" xr:uid="{CD03AC6C-787D-4B4F-9FAA-1B0B4131287F}">
      <text>
        <t>[Threaded comment]
Your version of Excel allows you to read this threaded comment; however, any edits to it will get removed if the file is opened in a newer version of Excel. Learn more: https://go.microsoft.com/fwlink/?linkid=870924
Comment:
    Note: this claim is for the reversal of the delay damages
24 Mar 24 - Merit of the claim is under Commercial team review. Initial response shall be prepared and shared with the Claims team for comments. 
22 Apr 24: associated with the above 2 items
06 May 24: Assosiated with the above item
24 Jun 24: Ditto
11-Jul-24: Ditto
11 Aug 24: Ditto
26 Aug 24: Ditto
08 Sep 24: Ditto</t>
      </text>
    </comment>
    <comment ref="BR30" authorId="10" shapeId="0" xr:uid="{E14E6B42-CB0F-4D91-ABE8-F18349089665}">
      <text>
        <t>[Threaded comment]
Your version of Excel allows you to read this threaded comment; however, any edits to it will get removed if the file is opened in a newer version of Excel. Learn more: https://go.microsoft.com/fwlink/?linkid=870924
Comment:
    11 Mar 24 - Merit of the claim is under Commercial team review. Initial response shall be prepared and shared with the Claims team for comments. 
EOT assessment report is also being prepared and shall be issued to planning for TIA
25 Mar 24: Commerical to respond asking for more particulars
22 Apr 24: On 21st of april contractor submitted further particulars which is under review. 
04 May 24 - Contractor submitted further particulars which is under review. 
06 May 24: contractor's recent submission under review with commercial
23 May 24: Contractor issued a reminder letter for the employers response on their 3 interim reports via letter 1TB01009-009C03-HAM-LTR-0065
03 June 24: commercial to have a meeting with Christopher Burke (Project Director)
05-Jun-24: Interim claim # 4 received
Expecting a latest submission from the contractor
15 Jul 24: Initial response in WF after addressing Nigel's comments. 
29 Jul 24: RFA in preparations to remove the milestones 
12 Aug 24: RFA/CA reviewed by Nigel, Paul and Legal. CA "pre-Approval" WF has been initiated (WF-011690 - CA)
26 Aug 24: RFA/CA for final approval within workflow ref. WF-012260 - RFA.
08 Sep 24: CA and Legal letter for Settlement approved. Legal's Settlement letter (1TB01009-009C03-AMA-LTR-0117) issued to the Contractor for agreement on 4.Sep.24 for acceptance, after which the CA shall be issued.
24 Sep 24: Contractor responded to employer's letter agreement on 09 Sep 24 via letter ref: 1TB01009-009C03-HAM-LTR-0117 and raised concerns towards some  wording specifically, being not aligned with the mentioned agreement. commercial to review and respond
07 Oct 24: Commercial team have repeatedly requested the Contractor for a meeting to discuss and finalize their concerns. The Contractor to date has not made himself available.</t>
      </text>
    </comment>
    <comment ref="BR31" authorId="11" shapeId="0" xr:uid="{10CD594F-A054-43D3-AE75-34F71AF1AD1A}">
      <text>
        <t xml:space="preserve">[Threaded comment]
Your version of Excel allows you to read this threaded comment; however, any edits to it will get removed if the file is opened in a newer version of Excel. Learn more: https://go.microsoft.com/fwlink/?linkid=870924
Comment:
    23 Jan 24: Delay Letter from the Contractor under 1TB01003-003C03-SAB-LTR-0060.
29 Jan 24: Amaala responded under 1TB01003-003C03-AMA-LTR-0123.
30 Jan 24: Contractor responded under 1TB01003-003C03-SAB-LTR-0063.
14 Feb 24: Amaala responded under 1TB01003-003C03-AMA-LTR-0131.
14 Feb 24: Contractor responded under 1TB01003-003C03-SAB-LTR-0071.
26 Feb 24: Amaala responded under 1TB01003-003C03-AMA-LTR-0138.
28 Feb 24: Contractor responded under 1TB01003-003C03-SAB-LTR-0075.
Reply:
    16 Mar 24: Contractor responded under 1TB01003-003C03-AMA-LTR-0142.
18 Mar 24: Contractor issued dispute notice under 1TB01003-003C03-SAB-LTR-0082.
Amaala is preparing a response to the Contractor's Dispute Notice.
22 Apr 24: response letter in WF for approval
25 Apr 24: response letter issued to the contractor, contractor responded back on the same day and has requested for a meeting
06 May 24: response letter under preparation
03 Jun 24: Commercial to issue a letter to the contractor to close this matter
</t>
      </text>
    </comment>
    <comment ref="BR32" authorId="12" shapeId="0" xr:uid="{60A4F518-968E-4554-8324-176BD52EFA59}">
      <text>
        <t>[Threaded comment]
Your version of Excel allows you to read this threaded comment; however, any edits to it will get removed if the file is opened in a newer version of Excel. Learn more: https://go.microsoft.com/fwlink/?linkid=870924
Comment:
    25-Mar-24: Initial response under preparation
16 Apr 24: Amaala rejected the submission via letter ref: 1TB01100-100F02-AMA-LTR-0019
22 Apr 24: contractor to submit further particulars
28 Apr 24: revised submission done by the contractor
06 May 24: response letter under preparation 
Planning Team had numerous meetings with AMB. AMB submission not fully substantiated as they didn't consider concurrency. Employer to issue detailed response/rejection to AMB by 6 Jun 24.
03 June 24: Commercial to issue letter referring to the meeting and asking for further particulars.
25 June 24 :Draft reply letter reviewed by Claims Team, all Delay Events claimed by Contractor to be addressed. Awaiting Planning Team to provide updated information.
15 July 24 :Planning provided their input to commercial on 25 Jun 24. Commercial to incorporate the planning input in the draft letter to the contractor. 
29 Jul 24: Current draft response to be updated to address revised Contractor submission dated 16 July 24
12 Aug 24: Response being placed on WF 08 Aug 24 for original EOT submission incl. planning comments.(WF Ref: WF-007443)
14 Aug 24: Response letter has been issued to contractor. awaiting contractor to resubmit the claim as detailed in the letter
26 Aug 24: AMB responded to AMAALA's request for better and further particulars stating that they have provided all information and to be specific in what is required. Commercial team to make assessment with planning team based on information provided. 
09 Sept 24: Commercial Team discussing with Planning to determine if at all there is entitlement, after which a Report/Rejection will be processed. Target date 18 Sept 24.
24 Sept 24: Discussion between Commercial Team and Contracts held on 17 Sept 24 to reply to AMB last letter, stating that we will issue a determination and also addressing our position contrary to AMB, that we don’t consider the EOT an “Interim” Claim as works are complete. Commercial liaising with Delivery to confirm status of works whether complete.
07 Oct 24. There is contradiction in the last AMB letter ( AMB concluded the EoT is Interim). As agreed between Commercial and Claims Teams (Paul G and Priv), a reply Letter to AMB is under process stating that the Employer will make  a Final Determination based on information available, since the Contractor is not willing to provide further information. Letter to be issued by EOD.
17 Oct 24: Contractor issued letter for Confirmation of Verbal Instruction-Omission of Hardscape Road Base and Substrate COO 10 &amp; 13 (1TB01100-100F02-AMB-LTR-0028 dated 08 Oct 24)
20 Oct 24: Commercial Team issued a letter for additional substantiations on 17 Oct 24 via Letter Ref 1TB01100-100F02-AMA-LTR-0028
Reply:
    04 Nov 24: Contractor`s updated submisson is titled COO 13 and under CommercialTeam review. Team to determine if the updated submission covers COO10. Target to review COO13 updated submission is 10 Nov 2024.
17 Nov 24: Contractor responded via ref: 1TB01100-100F02-AMB-LTR-0030 that the Employer's rejection lacks sufficient substantiation and intends to escalate the matter with AMAALA management &amp; submit it's final claim post-project completion.
04 Dec 24: Contractor responded via ref: 1TB01100-100F02-AMB-LTR-0030 that the Employer's rejection lacks sufficient substantiation and intends to escalate the matter with AMAALA management &amp; submit it's final claim post-project completion.
15 Dec 24 : Employer requested further substantiations on 24 Nov 2024 via ref  1TB01100-100F02-AMA-LTR-0029. We have not received any update from the contractor to date.
22 Dec 24: contractor responded that they are in the process of preparing the final EOT claim upon project completion. Action still remains with the contractor until revised claim is submitted
Contractor responded via ref 1TB01100-100F02-AMA-LTR-0035 on 16 Dec 24.Requesting for formal meeting to discuss claim and will submit a final  EOT claim.
13 Jan 25: Status remains same as at 22 Dec 2024 above.
27 Jan 25: Status remains same as at 13 Jan 2025 above. commercial to follow up with contractor for the final claim
12 Feb 25: Ditto
24 Feb 25: Ditto, awaiting contract response
10 Mar 25: Ditto
24 Mar 25: Ditto
07 Apr 25: Ditto
09 Apr 25: Ditto
22 Apr 25: Ditto, commercial to follow up with the contractor for resubmission
05 May 25: Letter ref. 1TB01100-100F02-AMA-LTR-0031 issued to AMB on 29 April 2025, requesting particulars within 10 days, otherwise Amaala to determine.
18 May 25: Ditto</t>
      </text>
    </comment>
    <comment ref="BR33" authorId="13" shapeId="0" xr:uid="{AC0C1CEF-9FFE-4A32-99B9-1C8967D9121B}">
      <text>
        <t>[Threaded comment]
Your version of Excel allows you to read this threaded comment; however, any edits to it will get removed if the file is opened in a newer version of Excel. Learn more: https://go.microsoft.com/fwlink/?linkid=870924
Comment:
    22-Apr-24: Project Delivery team was requested to provide draft response to Contractor's letter which highlights the completeness of the claims in terms of a planning point of view, whether the information provided by the Contractor is adequate to undertake/ determine the no of days entitlement for EOT claims
06 May 24: Planning had a workshop with the contractor last week. Initial response in WF (WF-008771) - 
29 May 24: still in WF (letter was revised and issued under new letter ref)
03 Jun 24: Initial response (1TB01002-002C23-AMA-LTR-0054) issued to contractor rejecting the claim and resubmit a revised claim on 28 May 24
24 Jun 24: Awaiting response from contractor
15-Jul-24: Commercial to chase the contractor on the resubmission. Commercial to issue a follow-up letter
29 Jul 24: still awaiting revised submission from the contractor.
12-Aug-24:  Contractor resubmitted the claim on 10-Aug-24. Initial review shows lack of substantiation similar to original claim. commercial to review and respond. 
26-Aug-24 Initial response sent via email on 22 Aug 24. Letter to be formalized this week. targeted to issue the letter EoD to revise &amp; resubmit
09 Sep 24 Letter Response in WF-013238 on 05 Sep 24. approval process completed on 07 Sep 24. 
10 Sep 24: Letter issued to the contractor. awaiting response from the contractor
24 Sep 24: contractor submitted the claim with further particulars. Commercial to review 
07 Oct 24 New revision of EOT 1 submission received on  24 Sep, 1TB01002-002C23-STE-LTR-0055, comments from Employer's email/letter not addressed. Employer'sletter response under  review by site legal,.  Intention is to schedule workshop with planning.
17 Oct 24: Employer's response issued via letter ref: 1TB01002-002C23-AMA-LTR-0090 on 17 OCt 24 to revise &amp;  resubmit FDC
4 Nov 24: P1 to update
17 Nov 24: a revised submission was made on 06 Nov 24 via 1TB01002-002C23-STE-LTR-0073. commercial to review
04 Dec 24: RSG's draft Response with Site legal team for review
04 Dec 24: Commercial sent draft response to claims for review on 09 Dec 24.
 15 Dec 24: Letter in the WF. Poor quality claim, rejected by coomercial and planning . WS with Contractor, planning &amp; commercial held on 21 Nov 24 and initail comments shared via email to Contractor on the same date.
31 Dec 24: response issued to contractor for resubmission
13 Jan 25: awaiting response from contractor
27 Jan 25: still awaiting the revised claim. Aconex Gen correspondance reminder to be sent to Contractor. Planning and Commercial to proceed with determination in the background.  commercial to prepare the report and sent to planning for TIA
12 Feb 25: EOT determination is in progress as part of the descoping and termination process
commercial to to proceed with the draft report based on the information available 
23 Feb 25: Transmittal:Revised claim, received on 18 Feb, TIA still not compliant   1TB01002-002C23-STE-LTR-0098 ,commercial finilising report, targeted to be issued to claims by 27 Feb. 
05 Mar 25: Draft response sent to claims for review
06 Mar 25: claims reverted the draft letter to commercial.
10 Mar 25: Response letter for resubmission in WF for approval (WF-022802)
24 Mar 25: Response letter  (1TB01002-002C23-AMA-LTR-0125 dated 06 March 2025) was issued to Contractor on 18 March 2025. This EOT is also progressing with the discretionary EOT list in parallel
07 Apr 25 : Ditto to above.  This EOT is subject to Discretionary EOT route, revised completion date is 10 Feb 2025. (Aconex WF-023852)
09 Apr 25: DEOT approved on 08 Apr 25 by GCEO. EI to be issued
19 Apr 2025 - EI no. 5 - (DEOT)  Extension of Time to the Time for Completion – to 30 November 2024 (AMA01002-EMPI-000016)  was issued to Contractor on 14 April 2025
22 Apr 25: awaiting response from contractor
01 May 2025: Reminder letter will be  issued  to Contractor to submit EOT claim on 05 May 25.
05 May 25: letter in WF (commercial to provide ref)
19 May 25: letter reminder for EOT  referernce  1TB01002-002C23-AMA-LTR-0132 was issued  to Contratcor on 18 May 2025.
01 Jun 25: Contractor submitted revised claim via 1TB01002-002C23-STE-LTR-0107 on 01 Jun 25, under review with commercial
04 Jun 25: draft response sent to claim for review
05 Jun 25: Draft response reviewed and sent back to commercial for issuance
12 June 25 : Rejection Letter issued to Tiejun 1TB01002-002C23-AMA-LTR-0139 on 12 June 2025
16 June 25: Ditto
30 June 25: Ditto, (comm to provide current status)
14 July 25: EOT claims under preparation by Contractor (Target date of submission  on 14 Aug 2025)
28 July 25: Contractor responded to Employer's rejection letter (1TB01002-002C23-AMA-LTR-0139 ) with letter reference 1TB01002-002C23-STE-LTR-0121 dated 21 July 2025. The Contractor accepts the Employer's comments and committed to resubmit the revised EOT claims as soon as possible. (Action still with contractor fore resubmission)
12 Aug 25:The Contractor submitted EOT Claim Rev. 05 (Ref: 1TB01002-002C23-STE-LTR-0126) dated 06 August 2025, which is currently under review by the Commercial and Planning teams. An initial workshop with the Contractor is planned for 14 August 2025 to discuss any review feedback or comments prior to issuing the formal response.
23 Aug 25: An EOT Workshop with STE Planning  scheduled for 24 August 2025. The session will primarily focus on reviewing our initial comments and identifying additional particulars required before issuing the formal response. The target date for issuance of the draft assessment report to be confirmed following the workshop.
25 Aug 25: 
08 Sept  25:  Following the Workshop with STE's planning, comments regarding  the Contractor’s Extension of Time (EOT) Rev. 05  was issued via AMA01002-GENCORR-002757 on 25-Aug-25. Contractor issued its response on 3 Sept 2025  via STE01002-GENCORR-000598 . Under review by Commercail team and trageted to issue a EAR by 11th Sep 25 
23 Sept 25: The EAR is being updated based on EOT Rev. 05, received via Aconex (STE01002-GENCORR-000604) on 09-Sep-2025. Following discussions, the MLH Planning Team requested additional information and the Contractor confirmed that the EOT narrative will be updated and resubmitted within this week.
05 Oct 25: The Contractor was requested via email on 30 Sep 25 to revise and resubmit the EOT claim, following the planning workshop held  on 20 &amp;24 Sep 25. The request was subsequently formalized through Aconex under reference AMA01002-GENCORR-002857 on 5 Oct 25
18 Oct 25: A reminder was sent to the Contractor on 05 Oct 2025  (via AMA01002-GENCORR-002857) to expedite the resubmission of the EOT claims.  No response received from the Contractor till date.
20 Oct 25: Comm to proceed with the EOT assessment with the available data and communicate the same with the contractor
03 Nov 25: Contractor submitted the revised Claim ( EOT 06) on 28 Oct 25 via letter reference 1TB01002-002C23-STE-LTR-0137. Under review by Commercial team, Comm to review &amp; respond within 7 days 
15 Nov 25: Contractor confirmed via email, the EOT claim will be revised and resubmitted following the planning workshop held on 15 Nov 25
17 Nov 25: awaiting contractors resubmission
29 Nov25:  The Contractor to withdraw the previously sumitted EOT claims and will revise and resubmit as per discussion with the planning team as confirmed via letter STE01002-GENCORR-000626 dated 23-Nov-25
01 Dec 25: awaiting contractor's revised submission, Ditto
13 Dec 25: Ditto
12 Jan 26: Ditto,  commercial to issue a follow up letter
27 Jan 26: A reminder to resubmit the EOT claims was issued through AMA01002-GENCORR-003047  on 12-Jan-26
07 Feb 26: Again, a reminder to resubmit the EOT claims was issued through AMA01002-GENCORR-003082  on 03-Feb-26. Further to the discussion with STE Commercial team on 7-Feb-26, the Contractor intended to revise and resubmit the claim with revised cut off date and delay events.
09 Feb 26: Ditto
23 Feb 26: The Contractor via STE01002-GENCORR-000657 dated 11-Feb-2026, comitted to submit the revised EOT claim  on or before 25-Feb-26.
09 Mar 26: An email correspondence ref AMA01002-GENCORR-003131 dated 26-Feb -26, was issued to Contractor to submit the EOT claim  at the earliest since it has failed to submit as comitted on 25-Feb-26
02 Apr 26: An email correspondence ref AMA01002-GENCORR-003165  dated 02-April -26, was issued to the  Contractor to expedite the submission of updated EOT claims. Subsequently via STE01002-RESP-000026 dated 02-April-26, the Contractor has committed to submit the updated EOT claims by 15-Apr-26.
06 Apr 26: Ditto, awaiting revised submission from contractor
12 Apr 26 : Contractor's revised submission received via 1TB01002-002C23-STE-LTR-0148 dated 12 April 2026. 
20 Apr 26: Currently, under commercial review. EAR targeted to be finalised by 15 May 26
04 May 26: Ditto</t>
      </text>
    </comment>
    <comment ref="BR34" authorId="14" shapeId="0" xr:uid="{C3E99F28-4592-47D7-9113-422E1AEF5D4D}">
      <text>
        <t>[Threaded comment]
Your version of Excel allows you to read this threaded comment; however, any edits to it will get removed if the file is opened in a newer version of Excel. Learn more: https://go.microsoft.com/fwlink/?linkid=870924
Comment:
    22-Apr-24: Project Delivery team was requested to provide draft response to Contractor's letter which highlights the completeness of the claims in terms of a planning point of view, whether the information provided by the Contractor is adequate to undertake/ determine the no of days entitlement for EOT claims
06 May 24: Planning sent it back to commercial with comments. Commercial to review
03 Jun 24: letter issued to contractor on 02 Jun 24 requesting for further particulars and to establish regular workshops with the planning and commercial team
24 Jun 24: Awaiting response from contractor
15-Jul-24: Commercial to chase the contractor on the resubmission. Commercial to issue a follow-up letter
29 Jul 24: Still with contractor
12 Aug 24: Ditto
26 Aug 24: Contractor made the resubmission via letter 1TB01002-002C03-MEC-LTR-0056 on 15 Aug 24. commercial to review and respond
09 Sept 24, email response issued to Contractor on 05 Sep 24. Letter with the same content with claims / legal prior to issuing in WF. Targeted to be issued this week
15 Sep 24: AMAALA issued letter to contractor to revise &amp; resubmit via letter 1TB01002-002C03-AMA-LTR-0088
24 Sep 24: contractor submitted the revised claim via letter 1TB01002-002C03-MEC-LTR-0060 on 19 Sep 24. under review with commercial
07 Oct 24, Contractor issued  the letter  1TB01002-002C03-MEC-LTR-0060 in response to  1TB01002-002C23-AMA-LTR-0084. Since the misunderstanding  around methodology continues, a workshop between planning teams is scheduled for Sunday 06 Oct 24. Planning to advise
Meeting was held on 06 Oct 24 between contractor &amp; Amaala Commercial &amp; Planning team. MAS agreed to present the delay analysis for the first two windows to RSG Planning team on 07-Oct-2024
4 Nov 24: P1 to update
17 Nov 24: awaiting contractors submission
04 Dec 24: Ditto. Commercial to issue a follow up letter to MAS
13 Jan 25: commercial to follow up with the contractor for resubmission
27 Jan 25 : Commercial and Planning  will proceed with determination. Additional info required from Contractor, following the Design and Delivery team input. The consolidated info request will be sent on 27 Jan through Aconex as a General Correspondence. This EOT submission lists 29 Nr delay events with 236 subevents, hence disciplines review required long time. commercial to draft the report and sent to Planning for TIA
10 Feb 25: Contractor provided additional information on Jan 30, 2025. Commercial team is proceeding with the assessment of the contractual merits related to the delay events. Targeted to issue to Claims  by 20th Feb.
24 Feb 25: Consolidation with Delivery, QA  still ongoing. AECOM staff to be on site this week. Target date for issuing to Claims 02 Mar 25.  
10 Mar 25: Commercial in process of prepare the draft report. Draft  report to be issued to Claims by the end of  the next week. 
18 Mar 25: Commercial team's preparation of  draft report in progress. Draft  report to be issued to Claims by the end of  the next week. 
24 Mar 25: Ditto
07 Apr 25 : Ditto. This EOT is subject to Discretionary EOT route, revised completion date 09 April  2025.
09 Apr 25: under process with commercial, targeted to be issued to claims by 13 Apr 25 (TBC)
12 Apr 25: commercial sent draft report (Delay events basis of entitlement and chronology/summary) to claims for review
22 Apr 25:  draft report sent back to commercial on 14 Apr 25, to update the table and address claim's comments.
23 Apr 25: Final Draft report sent to claims team for review
25 Apr 25:  Draft report reviewed and sent back to commercial 
27 Apr 25: EAR sent to planning for TIA, Targeted to finalise by (TBC)
28 Apr 25: Report sent back to commercial with comments.
29 Apr 25: Commercial has updated the EAR based on the comments raised and issued to claims team for further review
05 May 2025: Commercial team responded to Claims comments.  Planning review is ongoing in parallel, and will conclude the window analysis within 7 days from receiving Commercial report. Targeted to revert by 13 May 25
12 may 25: TIA ongoing, targeted to revert by 18 May 25
17 May 25: EOT assessment target to be issued to MAS by 22 May 25.
19 May 25: TIA under review, and targeted to revert by 22 May 25
26 May 25: Under review, targeted to revert by 27 May 25
28 May 25: TIA concluded and sent back to commercial 
01 Jun 25: Final Draft Report sent to claims team for Approval prior to WF initiation
04 June 25 additional particulars received MEC01002-GENCORR-000200 on 03 Jun 25, action with claims/commercial to review/update TIA
16 Jun 25: a meeting to be scheduled bw planning, claims &amp; commercial to discuss the TIA
17 Jun 25: Draft EAR sent to planning to proceed with TIA, stage 2 qtys shared with planning on 17 jun 25
19 Jun 25: Planning requested commercial to provide the summary of the quantities in the provided format, and to provide a quantity comparison
24 Jun 25: commercial sent validated stage 2 quantities to planning, Planning to proceed with TIA
30 Jun 25: Ditto, reassessment ongoing, targeted to finalize by 10 Jul 25
03 Jul 25: soft copy of stage 2 qtys shared with planning to proceed with the analysis
08 Jul 25: targeted to complete by 17 Jul 25
13 July 25: Ditto, reassessment ongoing, target 31 July 2025. 
21 Jul 25: Ditto
28 Jul 25: Ditto
04 Aug 25: TIA to be completed by 05 Aug 25</t>
      </text>
    </comment>
    <comment ref="BR36" authorId="15" shapeId="0" xr:uid="{3964D9F3-66E0-492A-9FFE-8A069F2FD9D6}">
      <text>
        <t>[Threaded comment]
Your version of Excel allows you to read this threaded comment; however, any edits to it will get removed if the file is opened in a newer version of Excel. Learn more: https://go.microsoft.com/fwlink/?linkid=870924
Comment:
    Contractor has submitted a cost claim of SAR 111,155.
The Contractor's EOT submission is not in line with the AMAALA requirement. Response letter issued on 05 May 2024 via letter ref: 1TB01005-005C02-AMA-LTR-0106 rejecting the claim and to revise &amp; resubmit
03 Jun 24: still with contractor
24 Jun 24: Awaiting response from contractor
15-Jul-24: Ditto
29 Jul 24: Ditto
12 Aug 24: Ditto
26 Aug 24: Ditto
09 Sept 24: Ditto. Commercial to follow up with the contractor &amp; issue a letter
24 Sept 24 - RSG to write to contractor in regard to outstanding response - by 28 Sept.
04 Oct 24 - Site team in discussion with SAB to determinate the VO for the generator room. This would include any prolongation and cost. Proposed agreement will be shared with claims teams prior to determination and Project team aim target to conclude this by end of October. 
07 Oct 24: Claims Comment - EOT need to be closed before any prolongation cost to be considered.
20 Oct 24 - Site team targeting Determine this variation with SAB by end of October.
Reply:
    01 Nov 24 - discussions on going on site to DVO this change with no time entitlement. Will form part of negotiated settlement of a number of changes. Will be setteled this month. Agreeing measures has taken longer than expected.
17 Nov 24 - Final review and agreement of measure on-going. Target is to have this DVO with no additional time by the end of the year.
04 Dec 24 - Meetings on going daily to agree and DVO this items along with others. To be confirmed by end of year.
22 Dec 24: Ditto</t>
      </text>
    </comment>
    <comment ref="BR38" authorId="16" shapeId="0" xr:uid="{F18E35E2-27F5-45DB-8027-8CBB9C01050C}">
      <text>
        <t xml:space="preserve">[Threaded comment]
Your version of Excel allows you to read this threaded comment; however, any edits to it will get removed if the file is opened in a newer version of Excel. Learn more: https://go.microsoft.com/fwlink/?linkid=870924
Comment:
    06 May 24: contractor's submission under review
letter ref to be provided
Employer's initial response was issued to the contractor on 06 May 24 to provide a soft copy of the impacted schedule for analysis.
09 May 24: contractor submitted  the soft copy as requested
03 June 24: commercial to issue letter referring to the meeting and asking for further particulars.
25 June 24 :Draft reply letter reviewed by Claims Team, all Delay Events claimed by Contractor to be addressed. Awaiting Planning Team to provide updated information.
15 July 24 :Planning provided their input to commercial on 25 Jun 24. Commercial to incorporate the planning input in the draft letter to the contractor. 
29 Jul 24: Current draft response to be updated to address revised Contractor submission dated 16 July 24
10 Aug 24: Draft response under preparation
12 Aug 24: Draft to be completed inline with one completed on call-off order 10. To be put on WF by 15 Aug 24. (WF-007515)
14 Aug 24: Response letter has been issued to contractor on 13 Aug 24.Awaiting contractor to resubmit the claim as detailed in the letter
26 Aug 24: AMB responded to AMAALA's request for better and further particulars stating that they have provided all information and to be specific in what is required. Commercial team to make assessment with planning team based on information provided.
09 Sept 24: Commercial Team discussing with Planning to determine if at all there is entitlement, after which a Report/Rejection will be processed.Target date 18 Sept 24.
07 Oct 24. There is contradiction in the last AMB letter ( AMB concluded the EoT is Interim). As agreed between Commercial and Claims Teams (Paul G and Priv), a reply Letter to AMB is under process stating that the Employer will make  a Final Determination based on information available, since the Contractor is not willing to provide further information. Letter to be issued by 7 Oct 2024.
20 Oct 24: Commercial Team issued a letter for additional 17 Oct 24: Contractor issued letter for Confirmation of Verbal Instruction-Omission of Hardscape Road Base and Substrate COO 10 &amp; 13 vide 1TB01100-100F02-AMB-LTR-0028 dated 08 Oct 24
20 Oct 24: Commercial Team issued a letter for additional substantiations on 17 Oct 24 via Letter Ref 1TB01100-100F02-AMA-LTR-0028
30 Oct 24: Contractor submitted revised claim on 23 Oct 24 via letter ref: 1TB01100-100F10-AMB-LTR-0021
03 Nov 24: Commercial Team going through the Contractor`s Claim with a target date to review by 10 Nov 2024
17 Nov 24: Contractor responded via ref: 1TB01100-100F02-AMB-LTR-0030 that the Employer's rejection lacks sufficient substantiation and intends to escalate the matter with AMAALA management &amp; submit it's final claim post-project completion.
04 Dec 24: Contractor responded via ref: 1TB01100-100F02-AMB-LTR-0030 that the Employer's rejection lacks sufficient substantiation and intends to escalate the matter with AMAALA management &amp; submit it's final claim post-project completion.
15 Dec 24 : Employer requested further substantiations on 24 Nov 2024 via ref  1TB01100-100F02-AMA-LTR-0029. We have not received any update from the contractor to date.
22 Dec 24: contractor responded that they are in the process of preparing the final EOT claim upon project completion. Action still remains with the contractor until revised claim is submitted
Contractor responded via ref 1TB01100-100F02-AMA-LTR-0035 on 16 Dec 24.Requesting for formal meeting to discuss claim and will submit a final  EOT claim.
12 Jan 25: Status remains same as at 22 Dec 2024 above.
27 Jan 25: Ditto. commercial to issue a follow up letter
11 Feb 25: Ditto
24 Feb 25: Ditto
10 Mar 25: Ditto
24 Mar 25: Ditto
07 April  25: Ditto
09 Apr 25: Ditto
20 Apr 25: Ditto
**the Contractor refuses to provide the requested format or the necessary supporting documents at this stage  and will submit a final claim upon project completion
22 Apr 25: commercial to chase the contractor for resubmission
05 May 25: Letter ref. 1TB01100-100F02-AMA-LTR-0031 issued to AMB on 29 April 2025, requesting particulars within 10 days, otherwise Amaala to determine.
</t>
      </text>
    </comment>
    <comment ref="BR40" authorId="17" shapeId="0" xr:uid="{F931A4F0-FB27-4960-A976-131D68D94F34}">
      <text>
        <t>[Threaded comment]
Your version of Excel allows you to read this threaded comment; however, any edits to it will get removed if the file is opened in a newer version of Excel. Learn more: https://go.microsoft.com/fwlink/?linkid=870924
Comment:
    06 May 24: contractor's submission under review
draft response in WF rejecting the claim advising them to revise and resubmit (1TB01006-006C22-AMA-LTR-0060)
24 Jun 24: awaiting response from contractor
15-Jul-24: Commercial to issue a follow-up letter to the contractor for the resubmission
29 Jul 24: Ditto
12 Aug 24: Employer issued a follow-up letter to contractor for the resubmission on 05 Aug 24
26 Aug 24: revised submission made by contractor on 17 Aug 24: Currently under review with commercial
09 Sep 24: response to contractor's latest submission is currently in the WF (WF-05933)
24 Sep 24: letter issued to contractor for resubmission
03 Oct 24: Contractor Submitted updated claim via letter ref 1TB01006-006C22-STE-LTR-0052 on 02 Oct 2024 and 1TB01006-006C22-STE-LTR-0054 on 03 Oct 24. Commercial to review
4 Nov 24: P1 to update
12 Dec 24 - Draft response udner preparation
22 Dec 24 - Draft response sent to Nigel for review
05 Jan 25: Sent draft response to Claims
13 Jan 25 - Draft response approved by Claims team and is now currently in the Workflow for signature.
26 Jan 25 - Employer's Response sent to Contractor on 16 Jan 2025 Letter Ref. 1TB01006-006C22-AMA-LTR-0104
09 Feb 25 - Awaiting for Contractor's revised submission. Reminder sent on 09 Feb 25 (AMA01006-006C22-002812)
16 Feb 25 - Awaiting Contractor's revised submission
24 Feb 25 - Ditto
10 Mar 25: Ditto
19 March 25: Revised submission was received on 6 March 2025
24 March 25 - As per management decision, an Interim EOT Award without cost would be given to the Contractor by 31 March 2025 base don 2 delay events namely late access and due to additional works. Planning team to determine the EOT to be awarded.
06 April 25 - Discretionary EOT is under Workflow for approval (WF-027671) ) pending with John Pagano 
09 Apr 25: DEOT approved by JP on 08 Apr 25, EI to be issued, currently with planning to advise on the number of days // commercial to respond to contractor latest EOT claim submission
20 Apr 25 - EI for DEOT was issued on 17 April 2025 (Ref. 1TB01006-006C22-AMA-EMI-CM-0006)
22 Apr 25: Draft response sent to claims team for review on 20 Apr 25
25 Apr 25: Draft response reviewed and sent back to commercial for issuance
03 May 25 - Draft response currently under WF-029596 
05 May 25: Ditto
18 May 25 - awaiting Contractor's revised submission (letter issued on 5 may 25 	
1TB01006-006C22-AMA-LTR-0121
16 Jun 25 - ditto
17 June 25 -  Revsied submission from Contractor received Ref. 1TB01006-006C22-STE-LTR-0103 dated 26 May 25
30 June 25 - Revised submission under review by Commercial
14 July 25 - Revised submission under review by Commercial, targeted to finalise by 21 Jul 2025
23 July 25 -  contaractor was requested to provide the associated clearance documents with clear labelling via AMA01006-GENCORR-003497 on 15 Jul 2025, requested details were provided on the same day via STE01006-GENCORR-000240
24 July 25 - Further particulars were requested via (AMA01006-GENCORR-003530)
28 Jul 25: commercial preparing the report, targeted to revert by 31 Jul 2025
12 Aug 25: First Draft of Assessment Report sent to BK on 10 August 2024</t>
      </text>
    </comment>
    <comment ref="BR42" authorId="18" shapeId="0" xr:uid="{EF903CC3-D990-4C15-8F99-7ABDB712E425}">
      <text>
        <t>[Threaded comment]
Your version of Excel allows you to read this threaded comment; however, any edits to it will get removed if the file is opened in a newer version of Excel. Learn more: https://go.microsoft.com/fwlink/?linkid=870924
Comment:
    24 Jun 24: Under review with commercial
15 Jul 24: commercial to respond to their letter
29 Jul 24: response in WF-015991 (1TB01005-005C02-AMA-LTR-0131)
08 Aug 24: still in WF
12 Aug 24 - Going through WF. will be issued to SAB this week
letter will be issued EOD
14 Aug 24: response letter issued to contractor via ref: 1TB01005-005C02-AMA-LTR-0131 on 14 Aug 24.
26 Aug 24: awaiting response from contractor
09 Sep 24: Ditto
24 Sept 24 - RSG to write to contractor in regard to outstanding response - by 05 Oct.
07 Oct 24 - Outstanding response letter not sent. To be issued by 10 Oct 24
Reply:
    20 Oct 24: targeted to issue the said letter by 25 Oct 24
01 Nov 24 - Will be closed this month as part of wider agreement on a number of changes
17 Nov 24 - Final review and agreement of measure on-going. Target is to have this DVO with no additional time by the end of the year.
04 Dec 24 - Meetings on going daily to agree and DVO this items along with others. To be confirmed by end of year.
22 Dec 24: Ditto</t>
      </text>
    </comment>
    <comment ref="BR43" authorId="19" shapeId="0" xr:uid="{D3FA68F2-A3A3-4AB7-A430-F234F043CBA4}">
      <text>
        <t xml:space="preserve">[Threaded comment]
Your version of Excel allows you to read this threaded comment; however, any edits to it will get removed if the file is opened in a newer version of Excel. Learn more: https://go.microsoft.com/fwlink/?linkid=870924
Comment:
    24 Jun 24: Under review with commercial
15-Jul-24: Commercial review completed, currently with planning for TIA. Commercial to prepare the initial response
29 Jul 24: Initial response made last week to revise and resubmit based on the comments provided in the letter
12 Aug 24: Contractor submitted revised claim with further particulars &amp; window analysis report on 31 Jul 24. currently with planniing team for TIA
13 Aug 24: Initial response sent back to commercial with planning comments
17 Aug 24: Amaala issued intial response to contractor's EOT submission to resubmit
26 Aug 24: No Update
03 Sep 24: The contractor submitted a revised claim on 29 Aug 24. action with commercial to review
09 Sep 2024 - Contractual assessment report completed and issued to Planning team on the 3rd Sep 2024. Report under preperation with commercial to update
25 Sep 2024 - Draft EOT Report prepared by the commercial issued to the Claims Team for review with the Commercial Team .
07 Oct 24: Under review with claims.
21 Oct 24: 
04 Nov 24: under review with Claims
14 Nov 24: report sent back to commercial to update the comments from claims team and to use the latest template
04 Dec 24: Commercial updating the EOT-01 report per the latest template received from Claims Team.
09 Dec 24: Revised Draft report was sent to Claims team for review on 05 Dec 24. Report was  sent back to commercial with comments for amendments
Reply:
    05 Jan 25: a response to contractor's latest claim was issued on 19 Dec 24 to provide further substantiation and supporting documentation in relation to the reported delays
09 Jan 25: a response to contractor's latest claim was issued on 19 Dec 24 to provide further substantiation and supporting documentation in relation to the reported delays
</t>
      </text>
    </comment>
    <comment ref="BR44" authorId="20" shapeId="0" xr:uid="{E983C319-0482-4571-96FD-5FF34A7A14CB}">
      <text>
        <t>[Threaded comment]
Your version of Excel allows you to read this threaded comment; however, any edits to it will get removed if the file is opened in a newer version of Excel. Learn more: https://go.microsoft.com/fwlink/?linkid=870924
Comment:
    Request for additional information / clarification issued to Contractor on 12.Jun.24
15 Jul 24 - Received response from the Contractor on 13 Jul 24 and currently under review.
29 Jul 24: under review with commercial 
AMAALA site team to arrange meeting with Contractor start of Aug. Target completion date circa end of Aug 24. Upon completion date being realised team will analyse entitlement. 
12 Aug 24 - Meeting happened with Contractor. Contractor looking for the assessment. Commercial Team, will start preparing the assessment report.
26 Aug 24: Commercial team prepared an EOT report and sent it to the planning team for assessment on 12 August 2024.
02 Sep 24: Planning sent the report back to commercial with comments on 26 Aug 24 as the draft is not adequate to carry out TIA assessment
08 Sep 24: Assessment report is being updated to address Planning comments and once formalized, it will be issued for claims for review / input. Target date 16 Sep 24. 
24 Sept 24: MAS are submitting finalized claim due 03 Oct 24. Report will be adjusted to incl. final MAS substantiation.
07 Oct 24: MAS yet to submit finalized claim. EOT report sent to claims for comment based on info to date.
19 Oct 24: Claims team have stated minimal entitlement and review to be completed upon 2 Stage Conversion completed. 2 Stage measure being finalized with Consultant currently.
03 Nov 24: Final EOT from MAS is awaited. EOT report addressing Claim's comment is issued back to Claims team for review.
10 Nov 24: Final Draft report sent to planning for their input / TIA on 06 Nov 24
14 Nov 24: report was sent back to commercial to discuss and update DE#1
17 Nov 24: the contractor further submitted a revised claim on 11 Nov 24 via ref 1TB01009-009C12-MEC-LTR-0041
04 Dec 24: contractor further submitted additional particulars on 19 Nov 24 via 1TB01009-009C12-MEC-LTR-0042. Commercial to review &amp; confirm whether the previous EOT assessment report (TIA) is going to be superseeded.
12 Dec 24: The earlier report to be updated based on the latest EOT submissions. Commercial are working on the revised report. 
13 Jan 24: Ditto - Awaiting feedback from Delivery. Targeted date to send the updated report to claims - 22 Jan 24
27 Jan 25: Updated report incorporating all the latest EOT Claims received from the Contractor is being prepared and shall be sent to Claims by 1 Feb 25
11 Feb 25: Report being finalised. Shall endeavor to finalise and send to Claims team's review on or before 13 Feb 25
16 Feb 25: Draft Report sent to Claims for review
18 Feb 25: Final Draft report sent tp Planning for TIA
23 Feb 25: Ditto, Targeted to revert by next week
10 Mar 25: Ditto, Targeted to revert this week
17 Mar 25: Targeted to release EoD
20 Mar 25: Final Draft report sent back to claims for review post TIA incorporation. EAR sent to commercial with comments / queries
21 Mar 25: updated EAR sent to claims for review.
23 Mar 25. Final Draft EAR under approval with KM
07 Apr 25: Final EAR approved by claims sent back to commercial on 30 Mar. EAR under WF approval
13 Apr 25: EAR approved by GCEO
17 Apr 25: cover letter in  in WF(ref: WF-037745), currently with Stuart. expected to be issued by begining of next week
22 Apr 25: EAR issued to contractor via ref 1TB01009-009C12-AMA-LTR-0091 on 17 Apr 25. awaiting contractor's acceptance 
05 May 25: Ditto
19 May 25: Ditto
16 Jun 25: commercial to send a reminder, and further issue the determination/EI if contractor fails to respond within the stipulated time
30-Jun-25: Follow up letter to be issued by 3-Jul-25
14 July 2025:Follow up letter still not drafted,. BK followed up with the team
24 July 2025: Follow up letter under WF-049210. Shall be issued by 27 July 2025.
28 Jul 25: commercial to issue the determination if contractor  fails to respond in 2 weeks
12 Aug 25: Determination to be prepared and issued to WF by 14 August 2024. 
24 Aug 25:  Ditto, new date 28 August 2025.  
7 Sep 25: Contractor requested for the XER files for review, which has been issued. Letter asking Contractor's feedback within 20 days is in WF-056117. Until the 20 days, we will hold the issuance of Determination.
5 Oct 25: Determination letter under WF. Will be issued on completion of the 20 business days from 15 Sep 25.
07 Oct 25: Determination Letter in WF (ref)
18 Oct 25: Determination letter issued to Contractor. Ref - 1TB01009-009C12-AMA-LTR-0095 dated 08 Oct 25.
03 Nov 25: Contractor issued Notice of Dissatisfaction with the Employer's Determination. comm to prepare a response in 7 days
17 Nov 25: Target date for the response is 25 Nov 25
01 Dec 25: comm to issue a response to contractor's NoD by 04 Dec 25
13 Dec 25: Meeting conducted with the Contractor to amicably close the Contract / outstanding claims. If no agreement is reached, response to NoD shall be prepared and issued. Target by - 25 Dec 25
10 Jan 26: Response to NoD is under preparation. Shall be issued to Claims team by 15 Jan 26.
12 Jan 26: Ditto
27 Jan 26: Response to NoD shall be sent to Claims review on 28 Jan 26.
28 Jan 26: Draft Response to contractor's NoD sent to Claims team for review
04 Feb 26: Draft response reviewed and sent back to commercial for issuance
8 Feb 26: Response to NoD in WF-077450
09 Feb 26: Ditto</t>
      </text>
    </comment>
    <comment ref="BR45" authorId="21" shapeId="0" xr:uid="{2BDD5F73-58C0-44CC-BEA3-FA9311A5E5BC}">
      <text>
        <t>[Threaded comment]
Your version of Excel allows you to read this threaded comment; however, any edits to it will get removed if the file is opened in a newer version of Excel. Learn more: https://go.microsoft.com/fwlink/?linkid=870924
Comment:
    14 Jul 24: 
1. RFA was raised for approval for the extension of time towards the variation order of the fixed Jettie precast element works
2. RFA rejected and Commercial team advised to carry out an EOT report.
3. Contractor has advised the EOT is a zero compensable delay event
4. Commercial is now carrying out the assessment for Approval 
15 Jul 24: Ditto
29 Jul 24: contractor to submit their final claim. Letter on standby and to be issued soon to the contractor
30 Jul 24: Contractor submitted a cosolidated claim report (ALS01031-GENCORR-000412) on 06 Jul 24 and updated program for work on 30 Jul 24.
08 Aug 24: The Contractor was requested to submit one Consolidated fully detailed claim report, to justify the total EOT of 103 days via ACONEX mail ref AMA01031-GENCORR-000907 on 07 Aug 24.
12 Aug 24: Contractor submitted the consolidated claim on 08 Aug 24 as requested. currently updating the EOT report which will be reviewed with the planning and the claims team 
26 Aug 24: No Update</t>
      </text>
    </comment>
    <comment ref="D46" authorId="22" shapeId="0" xr:uid="{0FCC37A9-65BB-49EA-9C11-A66C1D5D9751}">
      <text>
        <t>[Threaded comment]
Your version of Excel allows you to read this threaded comment; however, any edits to it will get removed if the file is opened in a newer version of Excel. Learn more: https://go.microsoft.com/fwlink/?linkid=870924
Comment:
    Contract Ref in Contractor's submission is wrong (1TB01-002C03)</t>
      </text>
    </comment>
    <comment ref="BR46" authorId="23" shapeId="0" xr:uid="{93ED351D-4371-4D6E-9597-4094D81A9415}">
      <text>
        <t>[Threaded comment]
Your version of Excel allows you to read this threaded comment; however, any edits to it will get removed if the file is opened in a newer version of Excel. Learn more: https://go.microsoft.com/fwlink/?linkid=870924
Comment:
    15 July 24 : the contractor made the submission incorrectly without a transmittal and therefore, PMIS teams asked the contractor to resubmit properly. Awaiting Contractor's formal submission on Aconex
17 Jul 24: the contractor has resubmitted the claim as advised by PMIS team. The action is with Commercial, as at 17 July 2024. Targeted to submit to Planning Team by end of day 21 July 2024
29 Jul 24: Draft report submitted to planning on 25 Jul for review on the time bar and inital comments
report sent back to commercial  on 29 Jul 24 with intial comments on the delay analysis.
4 Aug 24: Final draft response in WF (WF-007321 - 1TB01100-100C04-AMA-LTR-0062)
10 Aug 24: Response issued to contractor on 08 Aug 24 to revise &amp; resubmit 
26 Aug 24: Ditto. a report is being prepared in the background while awaiting contractors response
08 Sept 24: EoT Report being updated to include further details on chronology etc. as discussed with Paul G.Target date 15 Sept 24. Contractor did not provide further details as per RSG letter 1TB01100-100C04-AMA-LTR-0062 dated 08 Aug 24 (Hence status is Contractor)
24 September 2024 : Al Khonani have not yet replied to Employer request for substantiation. In parallel, Commercial Team working on EOT report ( Contracts Team provided updated Template) to conclude ASAP as Delivery Team already advised that the project Completion Date is 30 Sep 2024.
07 Oct 2024 : Al Khonani have not yet replied to Employer Letter &amp; AMAALA`s follow up email dated 3 Oct 2024, requesting for substantiation. Commercial to discuss with claims &amp; Shane
20 Oct 24: Contractor confirmed via email that they will provide a reply to AMAALA`s last letter, providing clarification. Some clarifications were received by email dated 19 Oct 2024.
03 Nov 24: Contractor made an updated submission on 24 October 2024. Commercial Team updating Report and target to have updated the Report by 03 November 2024. 
17 Nov 24: under preparation with commercial, targeted to finalize the report by 21 Nov 24
04 Dec 24 NB- Commercial Team understands that the Contractor was required to demobilize off site by 30 September 2024 and thereby potentially putting RSG at risk since there was no formal Termination (only scope awarded to ASTRA is to be de-scoped as per PVO under process). 
15 Dec 24 -: under preparation with commercial, targeted to finalise the report by 31 Dec 24. Further to note below, EOT Report couldn't be finalised as Instruction to de-scope was not yet issued. PVO signed by GCEO on 28 Nov 2024 and EI to be issued this Dec 24, after which the EoT Report will be updated to include this date.
Commercial team to advise the EOT report status (previous target for the report was 21 Nov 24)
13 Jan 25 - updated Draft report submitted to Claims Team for review
22 Jan 25: Commercial to further update the report as per claims comments 
27 Jan 25: Commercial updating the report as per claims comments . Revised report to be submitted by 9 Feb 2025. Delivery to confirm the intended date of TOC
9 Feb 2025. Delivery to confirm the intended date of TOC
05 Feb 25: report sent to planning for TIA</t>
      </text>
    </comment>
    <comment ref="BR47" authorId="24" shapeId="0" xr:uid="{660A0E4F-C08C-4A73-821F-B9D7300264A5}">
      <text>
        <t>[Threaded comment]
Your version of Excel allows you to read this threaded comment; however, any edits to it will get removed if the file is opened in a newer version of Excel. Learn more: https://go.microsoft.com/fwlink/?linkid=870924
Comment:
    14 Jul 24: Initial response is being prepared. 
29 Jul 24: initial response in  WF-010318
12 Aug 24: Initial response issued to the contractor on 30 Jul 24 to revise &amp; resubmit contractor submitted the interim report 2 on 31 Jul 24. Commercial to review &amp; respond
26 Aug 24: Commercial to review &amp; respond to interim report 2 re-requesting information from original response. Targerted to issue it EoD to address the comments mentioned in AMAALA's inital response 
02 Sep 24: letter mentioned above issued to contractor on 29 Aug 24 vide 1TB01009-009C17-AMA-LTR-0033 provided further and better particulars.
09 Sep 24: Details awaited from the Contractor
24 Sept 24: Commercial team has started preparing report in the background, while awaiting response from Contractor on latest letter to incl.
01 Oct 24: Assessment report sent to Claims for review
07 Oct 24: awaiting response from contractor
17 Oct 24: Contractor submitted a revised claim on 08 Oct 24 via letter ref 1TB01009-009C17-HAM-LTR-0029. Claims team have assessed claim and believe there is minimal entitlement due to culpable insurance delay. Recommendation to finalise 2 Stage Conversion to assess entitlement due to additional qty's. No yet submitted by Contractor.
03 Nov 24: Updated EOT report is expected from HAM by next week. On receipt, Commercial shall update the current EOT report in the new format and shall issue to Claims for review.
10 Nov 24: assessment report under process with commercial while awaiting final submission from the contractor
04 Dec 24: Contractor submitted the revised claim on 26 Nov 24 via ref 1TB01009-009C17-HAM-LTR-0041. Assessment report under process
12 Dec 24:Ditto
13 Jan 25:Ditto. under review with commercial
27 Jan 25: Planning has set up a Workshop with the Contractor on 26 Jan 25 to review and provide comments. Based on the Comments, Revise &amp; Resubmit shall be issued to the Contractor. contractor agreed to make the resubmission by 15 Feb 25
11 Feb 25: Letter rejecting and requesting additional details is in WF. WF-028628
24 Feb 25: Letter issued to Contractor 1TB01009-009C17-AMA-LTR-0051 on 13 Feb 25, revise and resubmit.
10 Mar 25: Ditto
23 Mar 25: Ditto
09 Apr 25: Ditto
20 Apr 25: contractor submittied additional details and is requesting clarification on the principles of the EOT claim and asserts that no additional details are needed for DE 1 (Delayed IFC Drawings), as the impact is undisputed. Action lies with contractor to submit a revised claim using  a window analysis method. Employer's response under preperation. RSG Planning team to schedule a WS with the contractor to assist the with the window analysis
05 May 25: Ditto, Draft response under process, targeted to issue to claims for review by 06 May 25
19 May 25:Additional particulars requested via AMA01009-GENCORR-004847 dated  14 May 2025.
26 May 25: Initiated the EI for DEOT  grants an Extension of Time for the Time for Completion to 26 March 2025 in WF (WF-043766)
01  June 25: 1TB01009-009C17-HAM-LTR-0084 (EOT rev 06) received on 25 May 25 without taking in consideration previous comments. (GENCORR-004847) Commercial to reject. Commercial drafting report, target date 12 June25. 
15 June 2025: Target date for report 19 June. GENCORR to be issued to Contractor in response to   1TB01009-009C17-HAM-LTR-0084 on 16 June 2025. 
16 Jun 25: response issued to contractor via aconex as GENCORR (ref: AMA01009-GENCORR-004967) to update and resubmit the claim
30-Jun-25: Employer reiterated their comments and asked the Contractor to incorporate those and resubmit through General Correspondence
14 July 25: Ditto
12 Aug 25: Ditto, commercial to issue a follow up
24 Aug 25: Ditto, commercial to issue a follow up drafted in the WF, date 26 August
7 Sep 25: Follow up letter (1TB01009-009C17-AMA-LTR-0072) issued to Contractor on 4 Sep 25
07 Oct 25: Ditto, comm to issue follow up letter
18Oct 25: Awaiting feedback from Contractor. There is  little possibility that they will resubmit the claim. The team is aiming for amicable settlement. 
20 Oct 25: Comm to set up a meeting with claims team to discuss
03 Nov 25: Second follow up letter requesting additional details (1TB01009-009C17-AMA-LTR-0076) issued on 2 Nov 25.
17 Nov 25: awaiting submission from the Contractor
01 Dec 25: Ditto, commercial to proceed with EAR based on the available details, same to be formally communicated with the contractor</t>
      </text>
    </comment>
    <comment ref="AD49" authorId="25" shapeId="0" xr:uid="{C8AAC333-C824-40C1-9346-0413B9F7FBA0}">
      <text>
        <t xml:space="preserve">[Threaded comment]
Your version of Excel allows you to read this threaded comment; however, any edits to it will get removed if the file is opened in a newer version of Excel. Learn more: https://go.microsoft.com/fwlink/?linkid=870924
Comment:
    The Contractor submitted Extension of Time claim, which was subsequently withdrawn following the instruction of Variation Order No. 05 (VO 05) - Return Visit to Complete Works .. The Parties agreed that VO 05 provides an excusable, non-compensable extension of the Time for Completion and that the return visit would extend the Time for Completion to cover the period required to finalize the Works. The Contractor confirmed in withdrawal letter (1TB01005-005C18-ZSS-LTR-0054) that the withdrawal of its EOT claim will be based on this agreement. Hence the start date has been considered as this letter’s date
</t>
      </text>
    </comment>
    <comment ref="BR49" authorId="26" shapeId="0" xr:uid="{DF2862C7-687D-49D8-999B-91C839C85CD9}">
      <text>
        <t>[Threaded comment]
Your version of Excel allows you to read this threaded comment; however, any edits to it will get removed if the file is opened in a newer version of Excel. Learn more: https://go.microsoft.com/fwlink/?linkid=870924
Comment:
    Commercial to review and responde within 21 days. With Planning for TIA 
12 Aug 24 - Project team comments being collated and draft response to be issued to Claims team this week. Draft response targeted to be issued this week
15 Aug 24: Initial response put on WF
18 Aug 24: Inital response issued to contractor via Letter ref: 1TB01005-005C18-AMA-LTR-0058 stating  the contractor's claim does not constitute a valid EoT claim &amp; to submit a fully detailed claim
26 Aug 24: awaiting response from contractor
09 Sep 24: Ditto. commercial to chase the contractor for the resubmission
24 Sept - Contractor responded on 18 Sept confirming they will submit a full claim submission
07 Oct 24: Contractor submitted a revised claim on 03 Oct 24: Commercial to review  (Letter Ref 1TB01005-005C18-ZSS-LTR-0037)
20 Oct 24 Claim rejected 1TB01005-005C18-AMA-LTR-0063 sent 17 October. Contractor to resubmit incorporating the employer's comments within 20 Business days
4 Nov 24: Awaiting contractor's response
10 Nov 24: received revised submission from contractor via letter ref 1TB01005-005C18-ZSS-LTR-0043
17 Nov 24 Site team preparing a response to letter for review by claims team.
04 Dec 24 Draft response from commercial team issued to claims team for their review (date)
05 Dec 24: Draft response reverted back to commercial with comments. Targeted to issue the response EoD today
12 Dec 24: employer's response put in for WF approval (WF-021849) on 05 Dec 24
11 Jan 25 - Discussions on-going to agree a NIL cost EoT with  the Contractor. Project team believe this is an acceptable position given RSG liability risk for design delays and sequence changes. This position is subject to an agreement on the revised ToC date. If the date is agreed. Is this an acceptable position strategy?
27 Jan 25: Zamil's works will be completed in Feb expect for the Works following the Dome install (Apr). As part of the PVO for the return visit to completed we propose to recommend a zero cost EoT and wording to be reviewed by Claims team prior to issue. RFA to be released to WF by 29 jan 25
09 Feb 25: RFA issued to Change team on 09 Feb 25 we will capture revised TfC period and end date as part of PVO/DVO. Planning have agreed to complete TIA assessment of the same as part of their RFC assessment.
24 Feb 25: WF-025370 with F Butt. Final approval due 25 Feb if no R&amp;R received.  Contractor to withdraw EOT
10 Mar 25 - VO issued and Project team have requested Zamil issue a letter to withdraw their EoT Claim. Zamil have verbally confirmed they will do this. Target date to determine VO and extend completion date is End Mar 25
23 Mar 25 - Project team chasing formal letter from Zamill to withdraw the EoT claim. Currently with Contractors Rep for signing.
07 Apr 25 - Discretionary Award prepared by planning and going through approvals - 206 days awarded of a maximum 295 day exposure. EoT withdrawal letter received from Contractor on 27 Mar 25 and being reviewed by Project team. Project to process DVO with EoT award by end of April.
09 Apr 25: Ditto
19 Apr 25: DVO sent to Contractor on 18th April (AMA01005-GENCORR-002300) with revised TOC date of 28 May 2025. awaiting Contractor's response
22 Apr 25:  commercial to check if the EOT withdrawal letter has been reviewed, also to check if there is a difference bw the TOC date and DEOT date, if so, commercial to discuss with claims team
05 May 25:Project teams confirms EoT withdrawal letter was received (1TB01005-005C18-ZSS-LTR-0054) and is acceptable to Project team. TOC date and DEoT date  to differ - agreed please can we have a call to discuss. Site expects the dome tank to be installed by the 9th May which is the trigger for the Contractor to complete in 4 weeks from that date. 
18 May 25 - Revised DVO issued with TOC date of 29th June - Dome Contractor returned to Site 18th May to commence installation of the dome.
01 June 25: Revised DVO rejected by Head of Planning. EoT to be produced by Contractor.
16 June 25: Ditto, awaiting contractor's revised submission
30 Jun 25: Discussions ongoing with Zamil on EoT. Site team will arrange a workshop including claims to agree on what the EoT document should consist of.
14 July 25: Ditto, commercial to issue a reminder letter
25 July 25: Final Works now ongoing on Site and completion expected in two weeks. They have requested guidance on a 'simple EoT'. Claims / Planning team to advise..</t>
      </text>
    </comment>
    <comment ref="BR50" authorId="27" shapeId="0" xr:uid="{F4D06D61-ED28-4748-96F6-3530F6C79802}">
      <text>
        <t>[Threaded comment]
Your version of Excel allows you to read this threaded comment; however, any edits to it will get removed if the file is opened in a newer version of Excel. Learn more: https://go.microsoft.com/fwlink/?linkid=870924
Comment:
    11 Aug 24: EOT received on 08-August. Planning initial review ready. The response for formal submission through letter to be issued during the day. Commercial to review and respond to contractor within 21 days.
26 Aug 24: Initial response drafted (rejection- revise and resubmit), approved by Nigel, Draft Response put in WF on 25 Aug 24 (WF-012926)
02 Sep 24: Initial response issued to contractor on 28 Aug 24 to revise &amp; resubmit
09 Sep 24: awaiting response from  contractor
07 Oct 24: Ditto
4 Nov 24: P1 to update
10 Nov 24: Contractor submitted revised submission on 02 Nov 24 wide Raqtan-CLM-000003
17 Nov 24: Under review with commercial
04 Dec 24: Draft Response with Site legal team for review
15 Dec 24:  Letter sent to DC for WF. Advised to revise and resubmit as per comments to previous submission and  Workshop held with planning on 06 nov 24. 
29 Dec 24: letter issued to contractor via ref 1TB01002-002C07-AMA-LTR-0016 on 29 Dec 24
13 Jan 25: awaiting response from contractor
27 Jan 25:  EOT rev o2 , 1TB01002-002C07-RQN-FRM-PM-0003[C0]  received on 18 Jan 25. Since the revised claim remains of very poor quality, a formal response of 'revise and resubmit' will be issued. However, the planning and commercial teams are proceeding with the determination in the background. commercial to send the revised claim to planning 
10 Feb 25: Contractor was requested to provide additional particulars via Aconex AMA01002-GENCORR-002290 on Jan 30, 2025, and a response is awaited
23 Feb 25: Ditto
06 Mar 25: Response to the Contractor's EOT submission (Revise and Resubmit) under W/F approval. WF-022716
18 Mar 25: Letter response  (1TB01002-002C07-AMA-LTR-0021  dated 12 March 2025) was issued to the Contractor on 12 March 2025.
24 Mar 25: Awaiting response from contractor
09 Apr 25 : Ditto to above. This EOT is subject to Discretionary EOT route, revised completion date is 23 July  2025.
22 Apr 2025 - (DEOT) Discretionary  Extension of Time assessment  under review. Target of EI issuance on 30 April 2025
01 May 2025 - (DEOT) Discretionary  Extension of Time assessment  is under WF approval (WF-025230). DEOT was rejected and under revision as per SPD Comments.
05 May 25: Commercial to issue a letter to contractor to provide particulars within 2 weeks time
19 May 2025 - (DEOT) Discretionary  Extension of Time assessment  reference 1TB01002-002C07-AMA-RPT-PM-0001 already approved . Target of EI issuance to Contractor on 20 May 2025
21 May 25: Follow up letter issued to contractor to provide all relevant substantiation within 10 BD (1TB01002-002C07-AMA-LTR-0024)
15 Jun 25: Ditto
30 Jun 25: Ditto, awaiting contractor's submission. 
14 July 25: Ditto, commercial to start working on the report in the background with what's available while we await contractors submission
28 July 25: Ditto. Raqtan is not performing and there is not enogh info to close this EOT ( writing the assessent at this point of time is premature). Commercial to  follow up with contractor for detailed particulars 
11 Aug 25: 2nd follow up lettr issued on 11 August, 1TB01002-002C07-AMA-LTR-0029
24 August 2025: Awaiting Contractor's resubmission
08 Sep 25: Ditto
07 Oct 25: Ditto, Comm to start preparing the report in the background, 
18 Oct 25: 3rd  follow up letter issued on 09 October, 1TB01002-002C07-AMA-LTR-0032. Awaiting Contractor's resubmission
20 Oct 25: Ditto,  Awaiting response from contractor, comm to review and decide whether or not to reject or proceed with the assessment 
03 Nov 25: Revised EOT 1 (rev 2) submitted by Contractor on 21 Oct 2025 via Raqtan-CLM-000005. To be reviewed  by RSG Commercial team, targeted to finalise the report by 13 Nov 25
17 Nov 25: Under review by RSG Commercial team, targeted to finalise the report by 03 Dec 25
01 Dec 25: Ditto
13 Dec 25: EOT Workshop was conducted with RQN on Dec 3rd to resubmit the EOT Claim. A letter of Rejection of the current EOT claim is to be issued to Raqtan, WF-034601.
23 Dec '25 : RSG response to revise and resubmit the claim issued via 1TB01002-002C07-AMA-LTR-0038.
12 Jan 26: Ditto
27 Jan 26: Revised EOT claim was submitted via Raqtan-CLM-000006 on 30-Dec-2025, Targeted to finalise the Draft EAR and submit to claims by 01 Mar 26
07 Feb 26: Response  to EOT claim was issued to the Contractor  on 7-Feb-26 via AMA01002-CLRSP-000001, instructing the Contractor to revise and resubmit the EOT claim as per RSG's comments. 
23 Feb 26:  Awaiting resubmission from the Contractor
08 Mar 26: Ditto; Contractor to be reminded during Commercial meeting, comm to issue a reminder letter via aconex
11 Mar 26: contractor submitted updated claim via Raqtan-CLM-000007, under review with commercial</t>
      </text>
    </comment>
    <comment ref="BR52" authorId="28" shapeId="0" xr:uid="{B14D853C-A172-4093-843B-4AD640EE8942}">
      <text>
        <t xml:space="preserve">[Threaded comment]
Your version of Excel allows you to read this threaded comment; however, any edits to it will get removed if the file is opened in a newer version of Excel. Learn more: https://go.microsoft.com/fwlink/?linkid=870924
Comment:
    11 Aug 2024: Notices not in place. Claim based on IFC changes. Under Review. Commercial to review and respond to contractor within 21 days.
25 Aug 24: Initial response drafted (rejection- revise and resubmit) , approved by Nigel, Draft Response put in WF on 25 Aug 24 (WF-012927)
02 Sep 24: Initial response issued to contractor on 28 Aug 24 via letter ref 1TB01002-002C22-AMA-LTR-0036 to revise &amp; resubmit
09 Sep 24: awaiting response
24 Sep 24: Contractor's response to our initial response recieved on 12 Sep 24 via CBE01002-GENCORR-000029. Commercial to review &amp; respond
07 Oct 24: AMAALA site Planning team &amp; Contractor working on submitting a revised claim
13 Oct 24: Letter issued to the contractor (1TB01002-002C22-AMA-LTR-0039) to revise &amp; resubmit as Contractor’s delay analysis does not comply with Contract
4 Nov 24: P1 to update
10 Nov 24: awaiting response from contractor
17 Nov 2024: Ditto, several email reminders were sent regarding the resubmission, but despite regular meetings between their planners &amp; AMAALA Planning Team, Cleveland is yet to submit an update.
28 Nov 24: Contractor submitted revised claim and particulars on 17 Nov 24 via CBE01002-GENCORR-000032
04 Dec 24; Contractor has withdrawn the EOT Claim and mentioned revised EOT claim will be submitted via Aconex email (CBE01002-GENCORR-000033) on 01 Dec 24.
13 Dec 24: the contractor submitted the revised claim on 06 Dec 24 via aconex email (CBE01002-GENCORR-000034). a WS was conducted btw commercial and contractor. commercial is working on a response to request for additional info
22 Jan 25: further to a recent workshop between the contractor and AMAALA planning team, the contractor has confirmed via aconex mail CBE01002-GENCORR-000041 dated 16 Jan 25 resubmission of the claim at the earliest
26 Jan 25 No update, except confirmation from planning that they are in communication with the  Contractorand  and that the Contractor is  is worigking on updates. The follow up communication to be issued to Contractor today. 
27 Jan 25: Targeted to issue a follow up letter by 30 Jan 25
10 Feb 25: The Commercial team followed up with the contractor via aconex AMA01002-GENCORR-002277 for resubmission on February 28, 2025
24 Feb 25: Ditto
10 Mar 25: Follow-up to the Contractor's EOT submission (Revise and Resubmit) under preparation by Commercial. 
18 Mar 25 : Letter response to Contractor's EOT submission (Revise and Resubmit) is  under preparation by Commercial
24 Mar 25: Awaiting response from contractor
06 Apr 25 : Awaiting response from contractor.  This EOT is subject to DEOT route, revised completion date is 09  April 2025. (Aconex WF-023865)
commercial update
14 Apr 25: a revised claim was recieved on 25 Feb 25 via CBE01002-GENCORR-000042, response issued to the contractor on 14 Apr 25 to revise &amp; resubmit (ref: 1TB01002-002C22-AMA-LTR-0048)
19 Apr 2025 - EI No. 01- (DEOT) Extension of Time to the Time for Completion – to 02 October 2024 (AMA01002-EMPI-000015)  was issued to Contractor on 14 April 2025
05 May 25: Action with contractor for resubmission
19 May 25: Ditto
12 June 25 Follow-up letter issued to the Contractor Claim for Extension of Time 1TB01002-002C22-AMA-LTR-0049	
16 Jun 25: Ditto
30 Jun 25: Ditto, awaiting contractor's resubmission. 
14 July 25: EOT claim submitted by Contractor (1TB01002-002C22-CBE-LTR-0012 dated 2 July 2025). Under review by Commercial team, 
24 July 25: Ditto.  Target date to be issued to Claims 5 Aug 2025. 
06 Aug 25: contractor submitted updated claim on 05 Aug 25 via 1TB01002-002C22-CBE-LTR-0015 (CBE01002-GENCORR-000047), commercial currently reviewing in coordination with site planners
06 Aug 25: Target date to be issued to Claims 7 Aug 2025. 
07 Aug 25: Draft report updated and sent back to planning clarifying the comments from planning team
12 Aug 25: An initial workshop with the Contractor is planned for 13 August 2025 to discuss any review feedback or comments prior to issuing the formal response
16 Aug 25: further to the WS between contractor's planning team &amp; AMAALA, QS team provided their key points discussed during the meeting, commercial to prepare response and submit to claims team for review
23 Aug 25:  The Contractor  resubmitted the EOT claim via CBE01002-GENCORR-000049 on 21 Aug 2025, adressing the Employer's comments issued via AMA01002-GENCORR-002742 on 16 Aug 2025. currently under review by Commercial team. target date to issue a draft report on 02 Sep 25.
31 Aug 25: EAR under final review with commercial (BK) prior to claims review
07 Sep 25: Targted to be reviewed on 08 Sep 25
23 Sep 25: EAR is being updated based on the comments received from Commercial/Claim team on 10th Sep 25 and is targeted to issue an updated EAR  to Commercial/Claim team on 29 Sep 25.
02 Oct 25: EAR Iis under review by MLH Commercial team, target to be issued to  Commercial on 07 Oct 25.
18 Oct 25: The Contractor submitted additional supporting documents for the EOT claim on 8 October 2025 (Ref: CBE01002-GENCORR-000051). Confirmation from the Delivery Team regarding the Right-of-Access dates is still pending. As discussed during the weekly EOT meeting held on 15 Oct 25, the Planning Team mentioned that they can assist in verifying the Right-of-Access dates. This information is critical to finalize the EAR.
20 Oct 25: Ditto, Commercial targeted to submit to claims team by (TBC)
28 Oct 25: Draft EAR sent to claims team for review
29 Oct 25: Draft report sent back to commercial with comments to update and resubmit 
03 Nov 25: Draft EAR was received from Claim's team on 29 -Oct-25. Target to be finalized by 6-Nov-25 for Claims further review.
17 Nov 25: Commercial team to finalise the report and issue to Claim team by (TBC)
01 Dec 25: Ditto, targeted to finalise the report and submit for claims team's review by 04 Dec 2025
13 Dec 25: EAR issued to Planning Team for TIA
15 Dec 25: Shaju to update
12 Jan 26: Ditto, targeted to finalise TIA by 13 Jan 26
14 Jan 26: TIA incorporated and sent to commercial for finalisation
17 Jan 26: Comm to elobrate the draft to explain the difference in the claimed days and the assessed days
22 Jan 26: Final Draft EAR sent to claims for review and Approval prior to WF initiation
27 Jan 26: The Contractor issued a reminder  to RSG via CBE01002-TRANSMIT-000154 on 20-Jan-26 for the issuance of  Time Impact assessment report. Sent to NE for pre-approval on 22 Jan.  targeted to revert by 30 jan 26
31 Jan 26: DE07 updated to Contractor with entitlement, and sent to planning to check if it will affect the TIA or not
02 Feb 26: Planning to revert by 03 Feb 26
03 Feb 26: TIA incorporated and sent to claims for review
</t>
      </text>
    </comment>
    <comment ref="BR53" authorId="29" shapeId="0" xr:uid="{A6CE8326-B943-4A06-A537-C08A2D0FA846}">
      <text>
        <t xml:space="preserve">[Threaded comment]
Your version of Excel allows you to read this threaded comment; however, any edits to it will get removed if the file is opened in a newer version of Excel. Learn more: https://go.microsoft.com/fwlink/?linkid=870924
Comment:
    26 Aug 24: Commercial to review and respond to contractor within 21 days.
Please note, contractor's 1st submission was made on 19 May 24 for 209 days to which an initial response was made by the employer on 07 Jun 24 rejecting the claim and asking them to revise &amp; resubmit. This claim received on 11 Aug 24 is CB's resubmission following to our initial response
09 Sep 24: under review with commercial. to check with Mike
16 Sept 24 - Response letter in the WF- 016254 (rejection)
19 Sept 24 - Response letter was issued 1TB01006-006C20-AMA-LTR-0044
07 Oct 24: Awaiting response from the contractor
4 Nov 24: P1 to update
17 Nov 24: Awaiting response from contractor
04 Dec 24: Ditto. (Commercial to confirm)
12 Dec 24 - Awaiting Contractor's resubmission
22 Dec 24 - Awaiting Contractor's resubmission
12 Jan 25 - Received Contractor's submission on 11 Jan 25. Commercial to review.
27 Jan 25 - Entitlement and Chronology sent to site Planning team for the TIA Analysis on 23 Jan 25 
30 Jan 25: commercial to update the report using the correct template 
01 Feb 25: an intial review of the Contractor’s submission sent to planning an high level TIA assessment
08 Feb 25: draftf chronology was sent back to commercial to address planning teams comments 
09 Feb 25 - Response to Contractor was sent on 02 Feb 25 (AMA01006-GENCORR-002731) requesting additional particluars.
23 Feb 25 - ditto
10 Mar 25: Ditto
19 March 25 - Revised submission received on 5 March 2025. Commercial and planning to review.
24 March 25 - As per management decision, an Interim EOT Award without cost would be given to the Contractor by 31 March 2025 based on 2 delay events namely late access and due to additional works. Planning team to determine the EOT to be awarded.
07 April 25 - Detailed EOT Assessment is to be done instead of issuing a Discretionary EOT. Awaiting revised submission from the Contractor
20 Apr 25 - Awaiting revised submission from the Contractor
05 May 25 - AMA01006-GENCORR-003249 requesting additional particulars issued on 04 May 2025.
19 May 25 - Awaiting for Contractor's revised submission
26 Jun 25: Draft report sent to claim team for review while we await contractor's resubmission. commercial belives that it is unlikely that the contractor make a revised submission
14 Jun 25: Draft report sent back with comments to revise &amp; resubmit 
18 Jun 25: updated draft report sent to claims for review
21 Jun 25: Commercial to provide Stage 1 &amp; 2 BoQ to Plannign to proceed with TIA
29 June 25 - Assessment report with Planning team. Second Stage BoQ was provided to Planning. 
30 Jun 25: commercial to address comments from planning &amp; provide Contractor’s Revised Proposal, pursuant to Clause 12A.1, demonstrating the time impact and proposed Revised Time for Completion, for the Planning team assessment
01 Jul 25: Commercial to set up a meeting with F-planning to discuss regarding the increased qty in stage 2, whether the contractor is claiming time for teh qty change &amp; whether it impacted any activity durations
06 Jul 25: Contractor submitted updated claim via 1TB01006-006C20-CBE-LTR-0009 with one new DE, however contractor hasnt provided further particulars requested in employers previous letter.
08 Jul 25: Draft report sent to planning team for review
14 July 25 - Revised submission incorporated into the Assessment Report submitted to planning team on 8 July 25. planning team targeted to revert by 24 Jul 25
21Jul 25: Planning to finalize TIA and revert by 23 Jul 2025
28 Jul 25: Targeted to revert by 29 Jul 2025
04 Aug 25: Targeted to revert EoD
07 Aug 25: TIA incorporated and sent to commercial for finalization prior to Claims final review
12  Aug 25 - Assessment Report with Commercial for the final check before we send it to Claims for final check before WF.  To be sent to Claims on 12 August. Shaju sent on Thursday to Commercial .  
14 Aug 25: Final Draft Report sent to claims team for final review
16 Aug 25: Draft EAR sent back to commercial with amendments 
17 Aug 25: Final Draft report sent to KM for approval
21 Aug 25: EAR approved by claims and sent back to commercial to initiat WF
21 Aug 25 - Assessment Report now in Workflow (WF-035439)
04 Sep 25: EAR approved on 02 Sep 2025, Cover letter WF initiated under WF-035807
14 Sep 25: EAR issued to contractor via 1TB01006-006C20-AMA-LTR-0055
06 Oct 25 - Contractor submitted updated EOT Claim 01 on 07 Aug 2025 (CBE01006-GENCORR-000052) after the team has finished the EOT Assessment. The Employer had a meeting with the Contractor and agreed to submit an EOT Claim No. 02 covering all delay events to date. Letter has been issued to Contractor  requesting consolidated final EOT claim (Ref. 1TB01006-006C20-AMA-LTR-0056).
19 Oct 25 - Contractor submitted EOT 02 through Gen. Corr. reference CBE01006-GENCORR-000055, 1TB01006-006C20-CBE-LTR-0016 on 12 oct 25.  The Contractor included for all the events already assessed in EOT 01 and added additional delay events. </t>
      </text>
    </comment>
    <comment ref="BR54" authorId="30" shapeId="0" xr:uid="{07748AE1-8E84-4723-9234-06DFACDE539F}">
      <text>
        <t>[Threaded comment]
Your version of Excel allows you to read this threaded comment; however, any edits to it will get removed if the file is opened in a newer version of Excel. Learn more: https://go.microsoft.com/fwlink/?linkid=870924
Comment:
     The Contractor to submit the Extension of Time through a letter. 
A feedback on methodology given to Contract in a  workshop lead by HO planning department on 30 Sep 2024.  
Response will be  drafted based on the workshop comments.
Planning has provided their comments on 03 Nov 24 following the workshop
17 Nov 2024: The planning comments were emailed to the Contractor on 07 Nov 2024, following the workshop held on 30 Oct 2024. Commercial to issue a fomral initial response
04 Dec 2024; Draft letter response is being updated as per the Site legal team comments prior to send to Claims team's review
11 Dec 24: Draft response sent to claims for review on 04 Dec 24
15 Dec 24: Letter response in WF (with DC). 
12 Jan 25: Initial response issued to contractor on 31 Dec 24 1TB01002-002C04-AMA-LTR-0140
27 Jan 25 : No updates,a follow up communication to be issued to Shapoorji via email and Aconex. 
10 Feb 25: The Contractor was requested to provide additional particulars via email on Feb 4, 2025, and a response is awaited. Meanwhile, Commercial team is assessing the contractual merits of the delay events. Additionally, the Contractor has requested bi-weekly assistance workshops with Planning and Commercial,  the first session is on 16 February 2025.
24 Feb 25: Email response sent to  Contractor on 19 Feb 25. Letter response sent to claims on 18 Feb 25. 
25 Feb 25: Draft response sent planning for review
27 Feb 25: Draft response sent back to claims with amendments
01 Mar 25:  Claims reviewed &amp; reverted the draft response to commercial for issuance.
10 Mar 25: Response to the Contractor's EOT submission under W/F approval.  WF-022720
18 Mar 25: Letter response  (1TB01002-002C04-AMA-LTR-0149  dated O5 March 2025) was  issued  to the Contractor on 18 March 2025.
24 Mar 25: awaiting response from contractor07 Apr 25 : awaiting response from contractor.  This EOT is subject to Discretionary EOT route, revised completion date TBC.
19 Apr 2025 - (DEOT) Discretionary  Extension of Time assessment  under review. Target of EI issuance on 30 April 2025
01 May  2025 - (DEOT) Discretionary  Extension of Time assessment  is under WF approval (WF-025229)
05 May 25: Ditto, commercial follow up
17 May 25 - EI no. 1 - (DEOT)  Extension of Time to the Time for Completion – to  09 May 2025 (1TB01002-002C04-AMA-EMI-PM-0001)  was issued to Contractor on 13 May 2025
19 May 25: letter reminder for EOT,  reference  1TB01002-002C04-AMA-LTR-0164 under WF approval (WF-026492)
01 June 25: 1TB01002-002C04-AMA-LTR-0164 issued to Contractor on 21 May25. Contractor submitted the EOT Claim on 29 May 2025 1TB01002-002C04-SPM-LTR-0187. under review by Planning/ Commercial
14 June 2025 - Draft response is under review with Planning / Commercial ; Target date to formalize the response 19 June 2025
28 June 2025: Ditto
14 Jul 25: Draft report shared with Planning. internal review and updates are in process (target date to share the final report with claim team on 20th July 25)
28 Jul 25: Email sent to contractor requesting further clarifications and particulars
04 Aug 25: contractor submitted revised claim via : 1TB01002-002C04-SPM-LTR-0198 on 03 Aug 25. commercial and planning currently reviewing
12 Aug 25: Currently under review by the Commercial and Planning teams. An initial workshop with the Contractor is planned for 14 August 2025 to discuss any review feedback or comments prior to issuing the formal response
25 Aug 25: Currently under review by the Commercial team. The Contractor is expected to respond to our comments issued on 20 August 2025 via email, which were based on the initial EOT workshop held on 17 August 2025. The target date for issuance of the draft assessment report be confirmed upon receipt of the Contractor’s response along with the required additional particulars
08 Sept 25: contractor provided the requested documents via SPM01002-GENCORR-000438, EAR under process with commercial
02 Oct 25: The EAR is under review by MLH Commercial team, which is targeted to  be issued to the EOT Claims reviewing team on 09-Oct-2025.
18 Oct 25: The Contractor submitted additional EOT claim supporting documents on 16-Oct-25 via SPM01002-GENCORR-000478.  currently under review by Commercial team. target date to issue the  EAR to claims team on 23 Oct 25.
02 Nov 25: The  EOT claim is  currently under review by Commercial team. target date to issue the  EAR to claims team on 06 Nov 25.
10 Nov 25: during the meeting held on 16 Oct 25 with the contractor, the contractor confirmed that it will submit further supporting documents by 13 Nov 25. commercial's revised target date to finalise the EAR moved to 24 Nov 25
13 Nov 25: Contractor submitted additional EOT claim supporting documents on 13-Nov-25 via email, currently under review by Commercial team. 
17 Nov 25: targeted to issue by 23 Nov 25.
01 Dec 25: SPM submitted additional information on 15 Nov '25 regarding the RFIs and further information on 23 Nov '25 regarding IFCs.The commercial requested that the info should be submitted via Aconex (AMA01002-GENCORR-002981 dated 24 November 2025).  contractor to submit the same via aconex, in the meant time commercial is preparing the EAR in the background. Revised target date to issue the report for claims review based on recent information is 8 Dec '25
13 Dec 25: Commercial team requested additional support document, specifically IFC related delay events during the workshop held on 10 Dec 25 at site,  which will be formalised via Aconex.  The Contractor issued outstanding correspondence related to AMA01002-GENCORR-002981 dated 24 November 2025 were issued via  aconex ref SPM01002-GENCORR-00050 dated 13 December 2025. 
15 Dec 25: further particulars were requested via (AMA01002-GENCORR-003024) on 14 Dec 25, commercial targeted to finalise the report by (08 Jan 25), EAR being prepared in the background while we await further particulars from the contractor
5 Jan '26 : A reminder sent to the Contractor via AMA01002-GENCORR-003036 as a follow-up to receive the response to RSG's comments issued on 14 Dec '25
12 Jan 26: Ditto, comm to issue a 2nd reminder 
27 Jan 26: Awating response from Contractor, comm to issue a 2nd reminder 
07 Feb 26: Awaiting response from the Contractor, However, the draft EAR shared with BK for further review (as it is the priority item as per the HOC's list)
09 Feb 26: Ditto
23 Feb 26: A reminder to response to RSG's comments  was issued to the Contractor on 18-Feb-2026 via AMA01002-GENCORR-003122. In parallel, DRAFT EAR is under preparation as this item is included within the HOC's prority list.
08 Mar 26:  Ditto
02 Apr 26: Contyractor provided additional particulars related to DE-05, DE-06 and DE-7 requested by the Employer, linking the Claim chronology to impacted activities in Contractor’s TIA (Appendix DE-05, Appendix DE-06, Appendix DE-07) 
05 Apr 26: Draft EAR sent to Claims Team for review 
06 Apr 26: EAR sent back to commercial with comments to resubmit
08 Apr 26: Revised &amp; updated EAR sent to claims team for review // reviewed and sent to planning for TIA on the same day
13 Apr 26: Planning team responded with comments &amp; clarification
14 Apr 26: commercial responded with providing access to the backup files to be read in conjunction with the report
20 Apr 26: Commercial and Claims review completed. Currently, with Planning team for TIA as of 14 April 2026
22 Apr 26: Planning responded requesting further clarifications on DE#03
23 Apr 26: Updated draft EAR sent back to planning for TIA
27 Apr 26: Targeted to revert by 14 May 26
04 May 26: Ditto</t>
      </text>
    </comment>
    <comment ref="BR55" authorId="31" shapeId="0" xr:uid="{EC3908BA-B622-4276-99D9-2A230326DBCA}">
      <text>
        <t>[Threaded comment]
Your version of Excel allows you to read this threaded comment; however, any edits to it will get removed if the file is opened in a newer version of Excel. Learn more: https://go.microsoft.com/fwlink/?linkid=870924
Comment:
    3 Nov 2024 - Interim Claim EOT No.1 received thorugh letter ref. 1TB01006-006C15-SPM-LTR-0159 dated 2 Nov 2024
commercial to respond within 21 days from the reciept of the claim.
04 Dec 24: Commercial team preparing the initial response
12 Dec 24 - Draft response under preparation
05 Jan 25: Sent draft response to Claims
12 Jan 25 - Draft response approved by Claims team and is now currently in the Workflow for signature.
25 Jan 25 - Response sent to Contractor on 16 Jan 25 (Letter ref. 1Tb01006-006C15-AMA-LTR-0140). Planning and Commercial conducted a Workshop with Shapoorji on 23 Jan 25. commercial to follow up with contractor and get a target date
16 Feb 25 - Awaiting Contractor's revised  submission
24 Feb 25- ditto
10 Mar 25: Ditto, Commercial to follow up
24 Mar 25: awaiting submission from contractor
09 Apr 25: Ditto
20 Apr 25 - Revised submission received from the Contractor Ref. 1TB01006-006C15-SPM-LTR-0196) on 26 March 2025
22 Apr 25: under review with commercial, targeted to finalise by 08 May 25
30 Apr 25: Draft response sent to claims for review
04 May 25: Draft response sent back to commercial with comments and suggestions. commercial to amend and proceed with WF
11 May 25 - Discretionary EOT issued  to Contractor  Ref. 1TB01006-006C15-AMA-EMI-CM-0004. 
18 May 25 -  Response to Contractor's revised submission issued on 06 May 25 (1TB01006-006C15-AMA-LTR-0163 
14 June 25 - letter advsing Contractor that Revised Programme is not required was approved and to be issued to the Contractor. Ref. 1TB01006-006C15-LTR-0169
30 June 25 - Awaiting Contractor's revised submission
14 July 25 - Awaiting Contractor's revised submission
23 July 25 - Awaiting Contractor's revised submission
28 JUl 25: Ditto, commercial to follow-up
12 Aug 25: Follow-up letters sent Ref. 1TB01006-006C15-AMA-LTR-0179 dated 05 August. Revised submission received  Ref. 1TB01006-006C15-SPM-LTR-0226 on 03 August2025. Commercial to review and discussed way forward with planning by 16 August 2025
25 Aug 25 - Commercial is drafting the entitlement and chronology , target date to issue to Claims 06 September 2025
06 Sept 25 - Further particulars were requested from the Contractor (Letter Ref. 1TB01006-006C15-AMA-LTR-0197 dated 02-Sep-25)
18 Sept 25 - Further particulars received via 1TB01006-006C15-SPM-LTR-0237 on 14 Sep 25. Under review by Commercial - 
04 Oct 25 - Commercial is preparing the report. Target to issue first draft on 10 Oct 25.
19 Oct 25 - Under review with Commercial, targeted to submit for claims team's review by 23 Oct 25
03 Nov 25: Ditto, target date 07 Nov 25.
10 Nov 25: Target date moved to 13 Nov 25
17 Nov 25 - report under preperation with commercial, Targeted to submit for claims team's review by 23 Nov 25
29 Nov 25 - EAR will be sent to Claims for review by the end of the week (04 Dec 25)
01 Dec 25: Ditto
14 Dec 25: targeted to be sent to calims by 18 Dec 25. 
16 Dec 25: Draft EAR sent to claims fore review
21 Dec 25: Draft EAR sent back comm with review and comments
10 Jan 26 - Draft EAR with BK (awaiting further particulars from SPM that was requested via email) 
12 Jan 26: comm targeted to submit the EAR for claims review by 19 Jan 2025
19 Jan 26: further particulars received via email on 08 Jan 2026, updated draft EAR sent to claims team for review
20 Jan 26: EAR sent back to commercial with comments to update and resubmit
21 Jan 26: Updated Draft EAR sent to Claims team for final review prior to planning's TIA
23 Jan 26: Draft EAR sent to Planning for TIA
27 Jan 26 - Targeted to revert back with comments end of teh day today
28 Jan 26: Claims to address the comments raised by planning // commercial responded to the queires raised by Planning
29 Jan 26: planning requested further clarification on DE#03
02 Feb 26: commercial responded with the Draft EAR and clarifications on the queries raised by Planning // email exchanges between commercial and planning raising queries &amp; clarifications. action currently with planning to commence TIA
05 Feb 26: Updated draft EAR sent to Planning to proceed with TIA
07 Feb 26 - Email exchanges between Planning and Commercial. Finally agreed Planning to proceed with the TIA.  Updated EAR sent to Planning on 05 Feb 26
09 Feb 26: Target date moved to 26 Feb 26
16 Feb 26: Ditto, TIA under process
23 Feb 26: Ditto</t>
      </text>
    </comment>
    <comment ref="BR56" authorId="32" shapeId="0" xr:uid="{75A05CCD-2BB6-4B16-A885-45C646DD6FD4}">
      <text>
        <t>[Threaded comment]
Your version of Excel allows you to read this threaded comment; however, any edits to it will get removed if the file is opened in a newer version of Excel. Learn more: https://go.microsoft.com/fwlink/?linkid=870924
Comment:
    3 Nov 2024 - EOT Claim No.1 received through Transmittal ref. RAQTAN-CLM-000001 dated 31 Oct 2024
17 Nov 24: Claim was rejected (Revise and resubmit) letter Ref/ 1Tb01006-006C06-AMA-LTR-0018 
04 Dec 24: Ditto. Awaiting contractor's resubmission
12  Dec 24 - Awaiting Contractor's resubmission
12 Jan 25: Ditto
27 Jan 25 - Ditto. commercial to follow up with contractor and get a target date for the resubmission
09 Feb 25 - Awaiting for Contractor's revised submission. Reminder sent to Contractor (AMA01006-GENCORR-002811
11 Feb 25 - Revised EOT submission received on 30 Jan 25 (Raqtan-TRANSMIT-000105). Commercial is reviewing
11 Feb 2025 Additional particulars requested, AMA01006-GENCORR-002834
16 Feb 25 - Awaiting Contractor's revised submission 
24 Feb 25 - Ditto
10 Mar 25: Ditto
24 Mar 25: Ditto
09 Apr 25: Ditto
22 Apr 25: Ditto, commercial to chase the contractor for resubmission
03 May 25 -  Follow-up letter under WF-029852
05 may 25: Ditto
18 May 25 - Awaiting for Contractor's revised submission (follow up letter issued on 05 May (1TB01006-006C06-AMA-LTR-0028)
02 Jun 25: DEOT put in WF (WF-032410 - AMA01006-WTRAN-090895)
15 Jun 25: DEOT issued to contractor AMA01006-EMPI-000020
28 June 25 - Awaiting Contractor's revised submisison
14 July 25 - Awaiting Contractor's revised submission
23 July 25 - Awaiting Contractor's revised submission.  Raqtan is not performing an there is not enogh info to close this EOT ( writing the assessent at this point of time is premature) . 
28 JUl 25: Ditto, commercial to followup
12 Aug 25:  2nd follow-up letter sent on 10 August,  1TB01006-006C06-AMA-LTR-0032
25 August 2025: Awaiting Contractor's resubmission
08 Sep 25: Ditto
06 Oct 25 - Ditto, Comm to start preparing the report in the background
20 Oct 25 - Awaiting Contractor's revised submission, comm to review the information available to date to determine the outcome wthr or not to proceed with the assessment
21 Oct 25: Contractor submitted updated claim via Raqtan-CLM-000003 on 13 Oct 25, currently under review with commercial tem
03 Nov 25 Ditto, target date  10 Nov 25
17 Nov 25 - Planning provided input on 15 Nov 25 - methodology is acceptable and can proceed with the assessment, EAR udner process with comm, targeted to finalise the EAR by 01 Dec 2025
29 Nov 25 - Draft response under review with commercial, 
01 Dec 25: targeted to submit to claims team by 11 Dec 2025
13 Dec 25; Rejection letter sent to Contractor(Ref. 1TB01006-006C06-AMA-LTR-0043)
10 Jan 26 - Awaiting revised submission from the Contractor
12 Jan 26: comm to issue a follow up letter
13 Jan 26: follow up letter put in WF-040195
15 Jan 26: Contractor submitted updated claim via Raqtan-CLM-000004, under review with commercial
19 Jan 26: currently with site planning team to review the TIA methodology used by the contractor
20 Jan 26: site planning team confimred the methodology submitted by the contractor as accepted. commercial to proceed with EAR draft
27 Jan 26 - Planning intial review received on 20 Jan. Intial draft EAR target date - 8 February 26
04 Feb 26: further comments received from planning to be incorporated in the response letter to contractor
07 Feb 26 - Claim responded on 05 Feb 26 - requesting to resubmit as stand alone EOT 01 without reference to the issued Discretionary EOT. Further particulars were also requested (Ref. AMA01006-CLRSP-000002). Awaiting Contractor's revised submission
09 Feb 26: Ditto
23 Feb 26: Ditto
09 March 26: Awaiting Contractor's revised submission, comm to issue a follow up letter via aconex
15 Mar 26: Updated claim received on  15 March 26 via Raqtan-CLM-00005, under review with commercial 
02 Apr 26: possible HELAR candidate. Clarification requested on chronology on 02 April 2026 AMA01006-GENCORR-004519</t>
      </text>
    </comment>
    <comment ref="BR57" authorId="33" shapeId="0" xr:uid="{1D4F75C9-7ADF-45D0-BE7C-1EB9791E31EE}">
      <text>
        <t xml:space="preserve">[Threaded comment]
Your version of Excel allows you to read this threaded comment; however, any edits to it will get removed if the file is opened in a newer version of Excel. Learn more: https://go.microsoft.com/fwlink/?linkid=870924
Comment:
    EOT Claim submitted 8 Oct 2024 - requesting 145 days extending the completion date from 12 December 2024 to 6 May 2025
03 Nov 2024 - under review with the Commercial and Planning Team.
17 Nov 2024: AMAALA’s initial comments regarding DEPA’s window Time Impact Analysis included in their EOT-01 submission were sent to DEPA under 1TB01003-003C09-AMA-LTR-0089 on 05 November 2024. In the meantime, as DEPA’s date of Completion of Works per Contract is 13 December 2024, a Request for Approval (RFA) will be prepared to waive applying Liquidated Damages on DEPA’s payments until reviewing and finalising the assessment of DEPA’s EOT-01.
04 Dec 24: DEPA submitted a revised window Time Impact Analysis on 26 Nov 24 via 1TB01003-003C09-DCC-LTR-0171 in response to AMAALA's initial comments on the EOT-01 submitted.
09 Dec 24: EOT Report sent to Claims for review prior to the TIA analysis by planning 
12 Dec 24: report sent to planning for TIA
14 Dec 24: Plannign made their comments on the chronology. commercial to add the ref of the latest claim submission by the contractor 
18 Dec 24 : Commercial updated and issued to Delivery to provide additional comments and information as per Planning request 
23 Dec 24: Planning provided comments or DEs, commercial to provide further clarification, information to support the analysis. associated response letter currently in WF approval process (WF-010150)
11 Jan 25: awaiting contractor to provide required info requested in the letter issued on 07 Jan 25 (1TB01003-003C09-AMA-LTR-0102)
09 Jan 25: Amaala requested additional information from the contractor via letter ref. 1TB01003-003C09-AMA-LTR-0102 dated 7 Jan 2025
27 Jan 25 - Commercial sent a reminder to the contractor to respond via aconex ref AMA01003-GENCORR-000964 on 18 Jan 25
30 Jan 25: Contractor submitted revised claim via 1TB01003-003C09-DCC-LTR-0202 dated 30 Jan 25 with further particulars. </t>
      </text>
    </comment>
    <comment ref="BR58" authorId="34" shapeId="0" xr:uid="{7DE6ADD3-8FAE-46E1-9801-44C04C1EC778}">
      <text>
        <t xml:space="preserve">[Threaded comment]
Your version of Excel allows you to read this threaded comment; however, any edits to it will get removed if the file is opened in a newer version of Excel. Learn more: https://go.microsoft.com/fwlink/?linkid=870924
Comment:
    Employer's Review on claim received on 14th Nov 2024 is under process. Commercial team to issue initial response within 21 days from the receipt of the claim
04 Dec 24: intial response under process
15 Dec 24: Ditto
13 Jan 25: Al Saad has verbally agreed to withdraw this extension of time request, as the request is for an extension until December 2024. Al Saad has already received an extension until December due to the dewatering variation order. Awaiting Al Saad's official Confirmation 
27 Jan 25: PVO currently under process to exted the dewatering until April 25. RFC in WF-012627
10 Feb 25: Ditto
</t>
      </text>
    </comment>
    <comment ref="BR60" authorId="35" shapeId="0" xr:uid="{D4F5379C-11E6-4CA4-B6C6-D624B5E3484B}">
      <text>
        <t>[Threaded comment]
Your version of Excel allows you to read this threaded comment; however, any edits to it will get removed if the file is opened in a newer version of Excel. Learn more: https://go.microsoft.com/fwlink/?linkid=870924
Comment:
    10 Dec 24: Contractor submitted the claim for 60 days and a proposed accelerated schedule to reduce the delay from 108 to 60 days on 20 Nov 24. An Initial response was made via aconex email on 21 Nov 24 (AMA01031-GENCORR-000929) to revise &amp; resubmit with further particulars. Contractor then submitted a revised claim on 23 Nov 24 under same letter reference via Transmittal (MME01031-TRANSMIT-000043). An initial draft assessment report is now sent to Claims team for an intial review on 10 Dec 24
Reply:
22 Dec 24: Draft report sent back to commercial to resubmit the report with the latest template.
25 Dec 24: commercial sent the revised &amp; updated EOT report to claim for review
13 Jan 25: Under review with claims
21 Jan 25: forwarded to Planning team for TIA</t>
      </text>
    </comment>
    <comment ref="BR61" authorId="36" shapeId="0" xr:uid="{9D041260-A0B4-4324-B581-1FB1C1EF63C0}">
      <text>
        <t>[Threaded comment]
Your version of Excel allows you to read this threaded comment; however, any edits to it will get removed if the file is opened in a newer version of Excel. Learn more: https://go.microsoft.com/fwlink/?linkid=870924
Comment:
    12 Dec 24: Being reviewed. Initial response shall be issued.
12 Jan 24: Initial response is being drafted in coordination with Planning. Will be issued for review by 15 Jan 24
23 Jan 24: contractor submitted updated interim claim # 2 on 18 Jan 2025 via letter ref 1TB01009-009C19-HAM-LTR-0024
27 Jan 25: Initial response being prepared. Will be issued before 29 Jan 25. action with commercial &amp; planning
11 Feb 25: Initial response being drafted
17 Feb 25: Planning has provided their input, commercial to finalise the initial response
11 Feb 25: Initial response being drafted
24 Feb 25: Ditto
10 Mar 25: Ditto. targeted to issue to claims for review end of this week
23 Mar 25: Revise &amp; Resubmit letter issued to Contractor on 17 Mar 25. Ref. - 1TB01009-009C19-AMA-LTR-0043. 
19 Apr 25: Ditto
05 May 25: Ditto, commercial to chase
19 May 25: Standard follow-up letter issued.1TB01009-009C19-AMA-LTR-0049 dated 18 May 2025
27 May 25: Contractor responded to the Employer's letter requesting the Employer to respond on the merit for the Contractor's Claim
27 May 25: Contractor submitted updated interim report # 3 via letter ref 1TB01009-009C19-HAM-LTR-0040 on 27 May 25. Under review with commercial, target date for response 22 June 2025.  
26 May 25: Initiated the EI for DEOT in WF (WF-043767)
14 June 2025, EI for DEOT to be issued, WF approved on 11 June 2025. 1TB01009-009C19-AMA-EMI-PM-0005
26 Jun 25: Contractor replied to the DEOT clarifying gather corresponding cut-off date for the granted EOT and seeking confirmation on removal of Intermediate Milestones
30 Jun 25: Contractor's latest submission is being reviewed. If no further details are required, Assessment report shall be prepared.
13 Jul 25: Ditto, targeted to issue a response letter to claim today (on 13-July).
14 Jul 25: Draft response sent to claims team for review
27 Jul 25: Draft response approved and sent back to commercial team for issuance ( draft is in WF-050740)
12 Aug 25: Comments on the latest Contractor's submission provided to Contractor , 1TB01009-009C19-AMA-LTR-0053 dated 5 Aug 25.
25 Aug 25: Awaiting Contractor feedback
08 Sep 25: Ditto
07 Oct 25: Ditto
18 Oct 25: Ditto. There is  little possibility that they will resubmit the claim. The team is aiming for amicable settlement. comm to review the information available to date to determine the outcome wthr or not to proceed with the assessment
03 Nov 25: The Contractor resubmitted the claim  with the updated details which is under review (1TB01009-009C19-HAM-LTR-0044 dated 23 Oct 25) . target date 20 Nov 25.</t>
      </text>
    </comment>
    <comment ref="BR62" authorId="37" shapeId="0" xr:uid="{02ABE6EE-4EC4-418F-AE6E-C126E861AFE7}">
      <text>
        <t>[Threaded comment]
Your version of Excel allows you to read this threaded comment; however, any edits to it will get removed if the file is opened in a newer version of Excel. Learn more: https://go.microsoft.com/fwlink/?linkid=870924
Comment:
    14 Dec 24: Formal response letter prepared by RSMLI Commercial team and sent to claims for review
05 Jan 24: Intial response issued to contractor on 16 Dec 24 to resubmit the claim
15 Jan 25 - Awaiting further response from Contractor
23 Jan 25: Ditto
27 Jan 25: Ditto. comemrcial to issue a follow up letter
09 Feb 25: Commercial to assess merit of existing Claim based on current information and site planning team to do the same. Site discussions ongoing with the Contractor to agree the Costs and revised end date. Target for draft report to planning by 20 Feb 25 and costings is 28 Feb 25.
24 Feb 25: Draft report not yet commenced, revised target 06Mar.
09 Mar 25: Draft report preparation on going - will be issued to Claims by 13 Mar
10 Mar 25: Draft report preparation on going while awaiting resubmission from contractor - targeted to be issued to Claims by 13 Mar
23 Mar 25 - Project team finalising report, target issue to Claims by 30 Mar
09 Apr 25 - Ditto - target date mid Apr
19 Apr 25 - Revised ToC submitted by Contractor on 5th April  (1TB01005-005C24-PRA-LTR-0011). Project team working on EoT assessment report. commercial to commit a date for finalisation of the claims by next meeting
05 May 25 - Information recieved from the delivery team on 22 Apr. Commercial will finalise the report by the 22nd May
19 May 25 - Commercial assessment report will be issued to claims by 22 May. Planning rejected the revised Contractor's revised TIA assessment following a workshop with the Contractor on the 13th May. The Contractor will update and resubmit. Rejection letter issued in WF-029469  (1TB01005-005C24-AMA-LTR-0036)
29 May 25: Draft EAR sent to claims team for review
01 June 25 - EOT Commercial assessment report issued to claims. Discretionary award EI in WF (Aconex ref WF-030051).
Discretionary award EI issued on  15 June 25 via aconex Ref: 1TB01005-005C24-AMA-LTR-0037
15 Jun 25: EAR with claims for review
17 Jun 25: further to a meeting bw planning and claims, an early draft report of the Pangea shared with planning team to start with the TIA
23 Jun 25: Contractor to resubmit updated claim to proceed with TIA
30 Jun 25: Site team chasing the revised TIA - note Contractor not currently on Site as no Work avilable due to delays by others.
14 Jul 25: Ditto
25 Jul 25: Revised Claim submitted 13 Jul 25 (1TB01005-005C24-PRA-LTR-0016). Assessment report ongoing.
12 Aug 25: commercial report firtst draft under review with BK. To be sent to Claims by 13-14 August .
19 Aug 25: Draft report sent to claims team for review
25 Aug 25: Report issued to Claims team on 19 Aug 25, targeted to revert by 04 Sep 25
08 Sep 25: Targeted to revert by 12 Sep 25
26 Sep 25: Draft report reviewed and sent back to commercial to update the report with relevant references and resubmit
02 Oct 25: Draft EAR sent to claims for review
06 Oct 25:  Ditto</t>
      </text>
    </comment>
    <comment ref="BR63" authorId="38" shapeId="0" xr:uid="{671AF491-4696-4BCE-A5FE-B8AFA8BC768B}">
      <text>
        <t xml:space="preserve">[Threaded comment]
Your version of Excel allows you to read this threaded comment; however, any edits to it will get removed if the file is opened in a newer version of Excel. Learn more: https://go.microsoft.com/fwlink/?linkid=870924
Comment:
    14 Dec 24: EOT submission under review by RSMLI planning team
15 Jan 25 - Claim rejected 1TB01005-005C06-AMA-LTR-0048 (31st Dec) and we await Salco response.
23 Jan 25: contractor has requested 15 days extension for resubmission via letter 1TB01005-005C06-SSC-LTR-0034 on 20 Jan 25. action remains with contractor
27 Jan 25: Ditto
11 Feb 25: Revised claim submitted 02 Feb 25 (1TB01005-005C06-SSC-LTR-0040). Not a vast improvement on the first and no costs included. Commercial to complete a report and issue to planning by 15 Feb 25. They have clear entitlment to an EoT.
24 Feb 25: Draft report issued to BK on 23 Feb. targeted to sent to claims team Eod
10 Mar 25: Draft report sent to planning for TIA
16 mar 25: Draft sent back to commercial with to validate the access dates chronology and to provide substantiations 
23 Mar 25: Planning team requested further information from Project team and this is being actioned. commercial to chase delivery team
09 Apr 25 - Discretionary EOT prepared by planning and go through approvals - 150 days awarded of a maximum 301 day exposure.
19 Apr 25 - Planning and delivery teams have not provided date information as requested. Commercial continue to chase. Revised Programme has been requested as part of discretionary EoT award. 
28 Apr 25: Planning provided their comments to  commercial to advise the contractor resubmit the claim 
04 May 25 - Date provided by delivery team on 27 Apr and issued to planning team on 03 May.
05 May 25: Planning conducted an initial review and advise that the contractor resubmit the claim in accordance with the contract, commercial to draft a letter and submit to claims &amp; planning for review
06 May 25: Draft response reviewed by claims, commercial to proceed with issuance
07 May 25: DEOT issued to contractor via 1TB01005-005C06-AMA-LTR-0063
19 May 25 - Rejection letter issued (1TB01005-005C06-AMA-LTR-0064) on 13th May 2025. We await the revised and updated claim. DEOT/EI  issued on 07 May 25, awarded upto 29 May 25
14 June 25: Ditto
30 Jun 25: Salco are arranaging a workshop with RSG site planning team to ensure TIA is in correct format
14 Jul 25: Awaiting revised TIA from Contractor. 
25 Jul 25: Awaiting revised TIA from Contractor. 
28 Jul 25: commercial to follow up
12 Aug 25 - Follow-up letter going through WF-032860  approvals, 1TB01005-005C06-AMA-LTR-0076 dated on 04 Aug 2025
25 Aug 25: contractor submitted revised claims via 1TB01005-005C06-SSC-LTR-0079 on 21 Aug 25 and being reviewed by Project team. </t>
      </text>
    </comment>
    <comment ref="BR64" authorId="39" shapeId="0" xr:uid="{751CC6FB-F014-418D-B181-BBCAD4F48D44}">
      <text>
        <t>[Threaded comment]
Your version of Excel allows you to read this threaded comment; however, any edits to it will get removed if the file is opened in a newer version of Excel. Learn more: https://go.microsoft.com/fwlink/?linkid=870924
Comment:
    21 Dec 24 - Extension of Time Claim No. 01 received from the Contractor through letter ref. 1TB01006-006B01-MGS-LTR-0013
13 Jan 25 - Under review by the Commercial team. Commercial to prepare and issue the initial response withn 21 days from the reciept of the claim</t>
      </text>
    </comment>
    <comment ref="BR65" authorId="40" shapeId="0" xr:uid="{2580E1BB-7566-4A52-BCD0-AA59ECD97C0E}">
      <text>
        <t xml:space="preserve">[Threaded comment]
Your version of Excel allows you to read this threaded comment; however, any edits to it will get removed if the file is opened in a newer version of Excel. Learn more: https://go.microsoft.com/fwlink/?linkid=870924
Comment:
    21 Jan 25 - EoT Claim No. 1 received from Contractor on 14 Jan 25
27 Jan 25 - Under review by the Commercial, commercial to issue the intial letter within 21 days from the receipt of claim
09 Feb 25 - Draft resposne approved by Nigel /PG and currently in the WF for approval to issue (WF-024677) Ref. 1TB01006-006C23-AMA-LTR-0054
16 Feb 25 -  Under WF approval, currently with Stuart Prosser.
24 Feb 25 - Response to Contractor was issued on 19 Feb 25 1Tb01006-006C23-AMA-LTR-0054
10 Mar 25: Ditto
07 Apr 25: Ditto
20 Apr 25: Awaiting revsied submission from the Contractor, commercial to chase the contractor for resubmission
20 Apr 25:Revised EOT received on 17 April 2025,  REA-TRANSMIT-000190,under review with commercial and planning.
05 May 25 - Under review by Commercial and Planning
18 May 25 - Response  sent to Contarctor on 14 May 25 (Ref. 1TB01006-006C23-AMA-LTR-0068)
16 Jun 25: Ditto
30 June 25 - Awaiting Contarctor's revised submission
14 July 25 - Awaiting Contractor's revised submission
23 July 25 - Awaiting Contractor's revised submission. A Part of the  works was  descoped, not enough info to proceed with the report.  
28 Jul 25: comm to follow up 
12 Aug 25: Follow-up letter issued Ref. 1TB01006-006C23-AMA-LTR-0079 dated 10 Aug 2025
25 August 2025: Awaiting Contractor's resubmission
08 Sept 25 - Awaiting Contractor's resubmission, comm to follow up with contractor via Aconex
06 Oct 25 :Second follow-up letter was issued on 01 Oct 25 (Ref. 1TB01006-006C23-AMA-LTR-0082).
19 Oct 25 - Awaiting Contractor's revised subnission. comm to review the information available to date to determine the outcome wthr or not to proceed with the assessment
25 Oct 25 -  Ditto, Contractor said that they will submit this week.
03 Nov 25: Ditto, comm to issue a follow up letter this week
17 Nov 25 - Awaiting Contractor's revised submission (Comm to provide ref of the follow up letter)
29 Nov 25 - Follow-up letter was sent to the Contractor on 17 Nov 2025 (Ref. AMA01006-GENCORR-003943.
01 Dec 25: Comm to commence internal EAR, same to be communicated formally with the contractor
13 Dec 25: Revised EOT 01 submission received (on 05 Dec 25) (Ref. 1Tb01006-006C23-RMA-LTR-0107), under review by Commercial. </t>
      </text>
    </comment>
    <comment ref="BR66" authorId="41" shapeId="0" xr:uid="{425E45E4-CAA5-4C08-A1A4-4B1CF2ECF0CB}">
      <text>
        <t>[Threaded comment]
Your version of Excel allows you to read this threaded comment; however, any edits to it will get removed if the file is opened in a newer version of Excel. Learn more: https://go.microsoft.com/fwlink/?linkid=870924
Comment:
    26 Jan 2025 Draf letter response sent to commercial/legal on 22 Jan 25. 
27 Jan 25: commercial to issue the intial response within 21 days from the receipt of claim
30 Jan 25: initial response draft sent to claims for review
02 Feb 25: draft response sent back to commercial on 02 Feb 25 with minor amendments, commercial to issue initial repsonse to contractor
10 Feb 25: A response was issued (1TB01002-002C24-AMA-LTR-0051) to the contractor on February 9, 2025, requesting revision and resubmission
23 Feb 25: Ditto
10 Mar 25: Ditto
07 Apr 25 : Ditto to above. This EOT is subject to Discretionary EOT route, revised completion date is 22 May 2025.
09 Apr 25: contractor submitted a revised claim on 07 Apr 25, commercial to review
19 Apr 2025 - (DEOT) Discretionary  Extension of Time assessment  under review. Target of EI issuance on 30 April 2025
22 Apr 25: commercial to commit a date by next meeting
01 May  2025 - (DEOT) Discretionary  Extension of Time assessment  is under WF approval (WF-025232)
05 May 2025 -  Response to REEM's EOT  claim planned to be issued on 11 May 2025.
17 May 2025 - (DEOT) Discretionary  Extension of Time assessment ,  reference 1TB01002-002C24-AMAEMI-PM-0001  was issued  to Contractor on 15 May 2025
19 May 25: letter response to Contractor's claim for EOT,  reference  1TB01002-002C24-AMA-LTR-0063 was accepted with comments from SPD
01 June 25: letter response to Contractor's claim for EOT,  reference  1TB01002-002C24-AMA-LTR-0063 was issued to the Contractor on 25 May 25
30 June 25: Ditto, awaiting contractor's resubmission
13 July  25: Ditto, awaiting contractor's resubmission
23 July 25 - Awaiting Contractor's revised submission. A Part of the  works was  descoped, niot enough info to proceed with the report.  
28 Jul 25: comm to follow up 
12 Aug 25:  Follow-up  letter  1TB01002-002C24-AMA-LTR-0074 issued on 11 Aug 2025
25 August 2025: Awaiting Contractor's resubmission
08 Sept 25 - Awaiting Contractor's resubmission, comm to follow up with contractor via Aconex
06 Oct 25: Awaiting the Contractor’s resubmission. 2nd follow-up letter was issued to Contractor via  letter 1TB01002-002C24-AMA-LTR-0081 on 28-Sep-2025.
18 Oct 25: Awaiting the Contractor's resubmission, comm to review the information available to date to determine the outcome wthr or not to proceed with the assessment
03 Nov 25: Based on the REEM's Senior Management meeting with MLH Comm team on 29-Oct-25, the anticipated date of Contractor's submission on 6-Nov-25
17 Nov 2025: still awaiting the Contractor’s resubmission. 2nd follow-up letter Letter  under WF for approval (WF-033294)
29 Nov 25:  Further Follow-up  letter to Contractor was  issued (1TB01002-002C24-AMA-LTR-0086 dated 25-Nov-25)
01 Dec 25: Comm to commence internal EAR, same to be communicated formally with the contractor
13 Dec 25: Contractor sbmitted EOT claim no. 1 via  REA-TRANSMIT-000187 on 5-Dec-25 (1TB01002-002C24-RMA-LTR-0087). Planning cofirmed  methodology compliance. Commercial to ssue the response by 22 December. 
24 Dec '25: RSG response issued via AMA01002-GENCORR-003030 to request the additional information and revise and resubmit as the Delay Events are not appropriate the Contractor was acknowledged the same during the consultation meeting held on 22 Dec '25
12 Jan 26: Ditto
27 Jan 26: Reminder to revise and resubmit was issued to Contractor via  AMA01002-GENCORR-003045 on 12-Jan-26
07 Feb 26: Awaiting resubmission by the Contractor. Reminder via AMA01002-GENCORR-003089 on 05-Feb-26 was   issued to the Contractor.
09 Feb 26: Ditto</t>
      </text>
    </comment>
    <comment ref="BR67" authorId="42" shapeId="0" xr:uid="{B3CCAE81-0013-46F7-9000-CC77EF25683E}">
      <text>
        <t>[Threaded comment]
Your version of Excel allows you to read this threaded comment; however, any edits to it will get removed if the file is opened in a newer version of Excel. Learn more: https://go.microsoft.com/fwlink/?linkid=870924
Comment:
    09 Feb- Extension of Time Claim No.01 received from the Contractor through letter ref. 1TB01100-100C29-ACN-LTR-0025
24 Feb 24: Initial response to be issued within 21 days from the receipt of the claim
10 Mar 25: Initial response letter to be finalisd by 10 Mar 25. EoT Assesment report under process in parallel.
24 Mar 25: Intial response sent to claims for review
06 April 25: Intial response sent to claims for review (2nd review after changes requested on 6 April 2025)
22 Apr 25: Inital response stuck in WF with Sasho since 17 of April. 
04 May 25: Initial response ref.1TB01100-100C29-AMA-LTR-0030 issued to Astra on 29 April 2025.
19 May 25: Awaiting the Contractor`s re- submission
03 Jun 25: Contractor submitted revised claim,under review with commercial
03 Jun 25: Contractor submitted revised claim,under review with commercial ref 1TB01100-100C29-ACC-LTR-0045 dated 3 Jun 2025. Target to complete draft report is 15 July 2025.
15 Jun 25: Ditto.
29 Jun 25: Ditto. targeted to finalise by 15 Jul 25
14 Jul 25: Ditto. targeted to finalise by 15 Jul 25
26 Jul 25: Ditto. targeted to finalise by 27 Jul 25
28 Jul 25: Targeted to submit to claims by 11 Aug 25
12 Aug 25: Ditto, targeted to finalise and submit to claims by 14 August 2025
25 Aug 25: No update</t>
      </text>
    </comment>
    <comment ref="BR68" authorId="43" shapeId="0" xr:uid="{9F3EC953-65FC-42B3-8230-C6F9CF008973}">
      <text>
        <t>[Threaded comment]
Your version of Excel allows you to read this threaded comment; however, any edits to it will get removed if the file is opened in a newer version of Excel. Learn more: https://go.microsoft.com/fwlink/?linkid=870924
Comment:
    09 Feb 25:  EoT 1 submitted detailing 7nr DE. Delivery and GES team belive one event is valid and currently raising a restropective RFC for additional scope. Option to capture extension to TOC period of part of PVO / DVO being considered. Commercial team believe the claim should be assessed but suject to planning confirmation.
22 Feb 25: BK issued commercial assessment report to claims team on 20 Feb 25.
10 Mar 25: Draft report with claims team.
11 Mar 25: report sent back with comments and amendments, commercial to update and revert
12 Mar 25: updated draft report sent back to claims for review
19 Mar 25: Draft report sent to planning for revie &amp; TIA, targeted to be reverted by this week
07 Apr 25: EoT with planning team. Project team have raised PVO for change and going through approvals. Targeted to revert by 14 Apr 25</t>
      </text>
    </comment>
    <comment ref="BR69" authorId="44" shapeId="0" xr:uid="{9AC23C01-AAE1-446F-833C-67E5BFF79156}">
      <text>
        <t>[Threaded comment]
Your version of Excel allows you to read this threaded comment; however, any edits to it will get removed if the file is opened in a newer version of Excel. Learn more: https://go.microsoft.com/fwlink/?linkid=870924
Comment:
    09 Feb 25:  EoT 1 submitted detailing 7nr DE. Delivery and GES team belive one event is valid and currently raising a retrospective RFC for additional scope. Option to capture extension to TOC period of part of PVO / DVO being considered. Commercial team believe the claim should be assessed but subject to planning confirmation.</t>
      </text>
    </comment>
    <comment ref="BR70" authorId="45" shapeId="0" xr:uid="{CA2CDA92-EC3D-47E4-87F6-4A7BB8F66CF1}">
      <text>
        <t>[Threaded comment]
Your version of Excel allows you to read this threaded comment; however, any edits to it will get removed if the file is opened in a newer version of Excel. Learn more: https://go.microsoft.com/fwlink/?linkid=870924
Comment:
    22 Jan 2025 - AMA Issued Delay Notification to Alutec due to their contract expiring 
3 Feb 2025 - Alutec submitted their 1st eot
10 Feb 2025 - Commercial and planning team currently reviewing however we have identified a number of clarifications that need to be addressed. A formal letter will be issued shortly 
16 Feb 25: Initial response in WF (WF-010900)
20 Feb 25 : Employer Initial response issued - 1TB01003-003C27-AMA-LTR-0030 
10 Mar 25: awaiting response from contractor
24 Mar 25: Ditto
09 Apr 25: Ditto
20 Apr 25: Awaiting response from contractor
22 Apr 25: commercial to chase the contractor
29 Apr 25: Follow-up for the revised EOT-01 issued to Alutec under Aconex mail 1TB01003-003C27-AMA-LTR-0037 dated 28 Apr 2025.
05 May 25: Ditto
08 May 25: Alutec responded under 1TB01003-003C27-ATA-LTR-0025 on 08 May 25 confirming that the comments from the Employer will be captured in the Interim Submission No. 02.
18 May 25: Employer is still waiting for the Interim Submission No. 0 2. 
03 Jun 25: contractor submitted revised claim via ref 1TB01003-003C27-ATA-LTR-0027, under review with commercial
14 June 25: Employer responded requesting detailed breakdown and back up justification from alutec Aconex Ref AMA01003-GENCORR-001142 dated 10 June 2025.
30 Jun 25: Ditto
14 Jul 25: Ditto, commercial to issue a follow up letter
28 July 2025 - Letter raised for approval on 20 July 2025 under WF-014287. Pending with Delivery for approval. 
12 Aug 2025: EOT reminder letter ref 1TB01003-003C27-AMA-LTR-0044 dated 5 August 2025 
21 Aug 2025: Alutec submitted updated EOT claim under 1TB01003-003C27-ATA-LTR-0028.
25 Aug 2925: Employer requested Alutec to submit the Appendices via AMA01003-GENCORR-001283 referred to in the Delay Events Chronology for Employer to commence the review of the updated EOT claim submitted.
26 Aug 25: Contractor submitted the requested supporting documents via 1TB01003-003C27-ATA-LTR-0029, commercial to commence EOT report process
08 Sep 25: On-going review by the Commercial Team, target date TBC
23 Sep 25: Draft EOT Report issued by Commercial Team to Delivery and Planning Team for review of the Chronology of Events prepared by the Commercial Team before issuing to Claims Team for review.
18 Oct 25: Still waiting from the Delivery Team's review.
20 Oct 25: Ditto
01 Nov 25: Report witth BK, needs some more work. Target date to issue to Claims 11 Nov 25. 
03 Nov 25: Targeted date to submit for claim's review updated  by 13 Nov 25
17 Nov 25: Target date moved to 20 Nov 25. 
23 Nov 25: Draft EAR sent to claims team for review
27 Nov 25: EAR sent back to commercial with comments to update</t>
      </text>
    </comment>
    <comment ref="BR71" authorId="46" shapeId="0" xr:uid="{CFD46667-1E39-4B27-A0AE-FA5638A711FC}">
      <text>
        <t>[Threaded comment]
Your version of Excel allows you to read this threaded comment; however, any edits to it will get removed if the file is opened in a newer version of Excel. Learn more: https://go.microsoft.com/fwlink/?linkid=870924
Comment:
    26 Jan 2025 - Essco Submitted EOT Claim No 1
2 Feb 2025 - AMA Responded with comments and requested additional information 
3 Feb 2025 - Escco responded with AMA comments 
3 Feb 2025 - AMA requested additional clarification on the additional information provided 
5 Feb 2025 - AMA responded with additional clarifications requesting further information
5 Feb 2025 - Essco responded to AMA comments and provided further clarifications</t>
      </text>
    </comment>
    <comment ref="BR72" authorId="47" shapeId="0" xr:uid="{3B8DEC18-7CEE-42CB-ABF0-1541A901CE6D}">
      <text>
        <t>[Threaded comment]
Your version of Excel allows you to read this threaded comment; however, any edits to it will get removed if the file is opened in a newer version of Excel. Learn more: https://go.microsoft.com/fwlink/?linkid=870924
Comment:
    10 Mar 25: Submission being reviewed and initial response shall be drafted. 
23 Mar 25: Initial response being drafted. Target date to issue 31 Mar 25
6 Apr 25: Draft being prepared. 
09 Apr 25: Ditto, Target date to be confirmed, by next meeting
22 Apr 25: Initial response under process, targeted to issue it to claims for review by 28 Apr 25
30 Apr 25: Draft response sent to claims for review
05 May 25: Draft response reviewed and sent back for issuance
19 May 25: Comments issued to Contractor. Awaiting revised submission from Contractor (1TB01009-009C05-AMA-LTR-0076 dated 13 May 2025)
14 Jun 25: Ditto
30 Jun 25: Ditto
14 Jul 25: Ditto, commercial to follow up with contractor on resubmission
24 July 25: Ditto. The Contractor updated that they will resubmit this week. 
28 Jul 25: Ditto
12 Aug 25: Follow up letter in WF-051725, 1TB01009-009C05-AMA-LTR-0083
25 Aug 25: Further clarifications, has been provided by Contractor on 05 August 2025 (KTH01009-TRANSMIT-000190)  Commercial to review and prepare the report. Tentative target date is 30 Sep 25
08 Sep 25: On-going review by the Commercial Team, target date 11 September for response or set new target date for report. 
06 Oct 25: Comments issued to the Contractor on 29 Sep 25 to provide further particulars, through Aconex GC ref. AMA01009-GENCORR-005458</t>
      </text>
    </comment>
    <comment ref="BR73" authorId="48" shapeId="0" xr:uid="{82D3ABB7-4E75-4A37-9244-4B2EDBFA2291}">
      <text>
        <t>[Threaded comment]
Your version of Excel allows you to read this threaded comment; however, any edits to it will get removed if the file is opened in a newer version of Excel. Learn more: https://go.microsoft.com/fwlink/?linkid=870924
Comment:
    23 Mar 25: Initial response being drafted. Target date to issue 27 Mar 25.
6 Apr 25: Draft being prepared. 
09 Apr 25: Ditto, Target date to be confirmed by next meeting
19 Apr 25: Initial discussions happened. Contractor agreed to retract this EOT on submission and approval of Second Stage along with time. However, an initial response shall be issued in due course. 
22 Apr 25: commercial to provide target date
04 May 25: Initial response draft sent to claims team for review
19 May 25: Draft response reviewed and sent back to commercial to update and resubmit for further review
26 May 25: Final Draft reviewed and sent back to commercial for issuance 
10 June 25:The intial response was issued to the Contractor via 1TB01009-009C03-AMA-LTR-0174 dated 10 June  2025
03 Jun 25: contractor submitted revised claim on 03 Jun 25 via 1TB01009-009C03-HAM-LTR-0239
29 Jun 25: latest submission under review with commercial. 
14 Jul 25: Ditto, target 20 July to be issued to Claims
23 Jul 25: Draft Response sent to claims team for review
28 Jul 25: reviewed and sent back to commercial for issuance
12 Aug 25: Comments issued to Contractor on 5 Aug 25, 1TB01009-009C03-AMA-LTR-0183
25 Aug 25: Awaiting Contractor feedback
08 Sep 25: Ditto, comm to follow up via aconex
06 Oct 25: Ditto
18 Oct 25: Awaiting Contractor feedback. There is  little possibility that they will resubmit the claim. The team is aiming for amicable settlement.
20 Oct 25: comm to review the information available to date to determine the outcome wthr or not to proceed with the assessment
03 Nov 25: First follow up letter (1TB01009-009C03-AMA-LTR-0192) requesting additional details issued on 2 Nov 25.
17 Nov 25: Contractor replied with Extension of Time Claim #02 – Interim Report #03 dated 11 Nov 25, 1TB01009-009C03-HAM-LTR-0254. Commercial to review by 04 Dec 2025. 
01 Dec 25: Ditto</t>
      </text>
    </comment>
    <comment ref="BR75" authorId="49" shapeId="0" xr:uid="{770A84D9-0E06-449B-9072-CD69C8D47EE3}">
      <text>
        <t>[Threaded comment]
Your version of Excel allows you to read this threaded comment; however, any edits to it will get removed if the file is opened in a newer version of Excel. Learn more: https://go.microsoft.com/fwlink/?linkid=870924
Comment:
    20 Apr 25: Claim submission under review, commercial to issue initial response within 21 days from the receipt on this claim
04 May 25: Ditto
11 May 25: Initial response sent to contractor acknowledging receipt of the claim and that it is under review.
19 May 25: Ditto, we didn't issue the response because we expect an updated claim from MME based on additioanl scope (EI preparation in  process) Commercial to prepare an initial response 
01-June-25: MME has submitted the Revised Claim via  MME01031-TRANSMIT-000130 on 22 May 25.
02-June-25 Prolongation cost submitted, 1TB01031-031C10-MME-LTR-0039 on 02 june 25
14-June-2025 commercial is reviewing the claim, target date for response 30 June 2025. There is no provision in the Contract on when is the Employer’s response due.
24 Jun 25: Draft report sent to claims team for review
29 Jun 25 : Draft Employer's Assessment on EOT-02 has sent to Head Office Claim team for review.
22 Jul 25: Draft report not ready for claims team's review and was advised to use the approved template and resubmit 
28 Jul 25: Targeted to submit the draft report to claims team by 03 Aug 2025
12-Aug-25: Commercial team addressing the final stages of the Comments, Expected to submit to Claim team by 13 Aug 2025
25 Aug 25:  Marina Commercial Teams has addressed the comments on Employer's EOT report and issued back to RSG Claims team for final approval, target date BK to issue to claims is 26 August 2025
28 Aug 25: Draft report sent to claims team for review
01 Sep 25: Draft report sent back to commercial with comments to be addressed prior to TIA.
04 Sep 25: Draft report sent to claims team for review prior to planning's TIA
08 Sep 25: Target date TBC</t>
      </text>
    </comment>
    <comment ref="BR78" authorId="50" shapeId="0" xr:uid="{29752194-A1F9-4F70-B2A1-1C9CF9D230CA}">
      <text>
        <t>[Threaded comment]
Your version of Excel allows you to read this threaded comment; however, any edits to it will get removed if the file is opened in a newer version of Excel. Learn more: https://go.microsoft.com/fwlink/?linkid=870924
Comment:
    30 Apr 25: Interim claims received from Ojec, commercial to draft initial response 
05 May 25: Claim validity being assessed by commercial and project team. Its clear that the Contractor has concurrent delays but these have not be included within the Contractors EoT assessment. Comercial to initiate initial review on the DEs and prepare draft response 
18 May 25 - Claim to be rejected. Events do have validity but no concurrency has be included by the Contractor. Planning to confirm their comments on the TIA assessment.
14 June 25: EOT 2 rejection letter under process. Target date?  There is no provision in the Contract on when is the Employer’s response due.
15 Jun 25: Response letter draft sent to claims team for review
16 Jun 25: Draft letter reviewed and sent back to commercial for issuance
30 June 25: Rejection letter issued via to Contractor on 25 June via 1TB01005-005C45-AMA-LTR-0011
14 Jul 25: Awaiting response from Contractor.
25 Jul 25: Ditto
28 Jul 25: awaiting resubmission from contractor, commercial to follow up with contractor
12 Aug 25: Follow-up letter going through WF approvals - 1TB01005-005C45-AMA-LTR-0015 dated on 04 Aug 2025
23 Aug 25: Follow-up letter issued 14 Aug. Project team continue to chase, see item 54.
08 Sept 25: Updated Claim recieved on Aconex on 27 Aug - Under review by Site team - Target 11 Sept 
1TB01005-005C45-OJC-LTR-0005
23 Sept 25: Rejection letter to be issued to Aconex by 25 Sept - We have off-line requested further information from the Contractor but they have not provided it - No other option but to reject Claim.
06 Oct 25: Discussions ongoing with Site planning on claim acceptance - may be better to assess and determine to close the account given the Works are complete
**14 Oct 25: Contractor submitted revised claim via 1TB01005-005C45-OJC-LTR-0005 (OJC01005-TRANSMIT-000034) 
17 Oct 25: Commercial preparing a EAR report, target date for draft to claims team is 17 Nov 25
20 Oct 25: Ditto</t>
      </text>
    </comment>
    <comment ref="BR79" authorId="51" shapeId="0" xr:uid="{0FE90408-457D-4867-8871-EB98005CB5F1}">
      <text>
        <t>[Threaded comment]
Your version of Excel allows you to read this threaded comment; however, any edits to it will get removed if the file is opened in a newer version of Excel. Learn more: https://go.microsoft.com/fwlink/?linkid=870924
Comment:
    04 May 25: Claim against damage caused by the alleged unathorised movement of the Acrylic Dome by the employer and the associated cost. (anticiapated delay from 28 days to 52 weeks with a total cost for the replacement / Major repair of SAR 1,312,425) Draft response under preperation, to be submitted to claims team for review 
18 May 25 - Rejection letter issued 7th May 2025, 1TB01005-005C20-AMA-LTR-0056
14 June 25: Ditto
30 Jun 25: WS Meeting arranged with Contractor to resolve, meeting date 01 July 25
14 Jul 25: Contractor revising claim and TIA following Site discussion. Expect by 17 Jul 25
25 Jul 25: Ditto
28 Jul 25: Ditto
12 Aug 25 - PVO now approved and VO issued - Formal close out by the End Aug
23 Aug 25 - To be formally closed by Site team - Target now end Sept.
08 Sept 25: Ditto
06 Oct 25: Commercial Targeted to finalise by 11 Oct 25
17 Oct 25: Commercial to respond via letter - target date is 30 Oct 25.  DVO approved on 15 Oct 25, WF-035254. The issue is that we need to award them time as a result and they are working on a claim for this.
The letter is to clarify the above.
20 Oct 25: Ditto
03 Nov 25:a letter (1TB01005-005C20-AMA-LTR-0068) is in WF to be issued contractor confirming the agreement made during the online meeting on 01 Jul 25 btw both parties, that VO and an EI was issued for the damage repairs with an amount of SAR 95,887 and to be completed by 30 Aug 2025. Employer frurther reminded the contractopr to submit an updated EOT accordingly 
17 Nov 25: Unlikely Contractor will produce a compliant EoT report. Commercial team will complete one if not received from Contractor by end Dec 25. Please note the specific damage Claim is now resolved - This item can be closed on the tracker in the Project teams view.
Comm to share the DVO with claims team
01 Dec 25: Ditto, 
14 Dec 25: DVO for the cost of repair issued without time cost claim. therefore, cost claim (item 66 below) closed, claim team to advise whether an EOT report is required for this claim item for the repair of the Dome
09 Jan 26: Discussions ongoing in regard to EoT submission. Likely internal EAR will be required to close.
22 Jan 26: Ditto
27 Jan 26: Ditto
09 Feb 26: Ditto
23 Feb 26: Site team believe this items can be closed. Contractor will need to produce a full EoT Claim to demonstrate any entitlement.
(possible candidate for HLEAR)
09 Mar 26: The Contractor's performance has been too poor to gain HLEAR approval. The intention here will be to deduct damages given the Contractor's delays resulted in significant delays and Cost to the Project.
06 Apr 26: Ditto</t>
      </text>
    </comment>
    <comment ref="BR81" authorId="52" shapeId="0" xr:uid="{FF77ED10-F0E5-4274-BF98-D29608C841A9}">
      <text>
        <t>[Threaded comment]
Your version of Excel allows you to read this threaded comment; however, any edits to it will get removed if the file is opened in a newer version of Excel. Learn more: https://go.microsoft.com/fwlink/?linkid=870924
Comment:
    03 May 25. Related to access delays to  work areas.The areas were provided late but the Contractor have had their own delays with design, procurement and Material deliveries. Claim validity being assessed by commercial and project team. Its clear that the Contractor has concurrent delays but these have not be included within the Contractors EoT assessment.
05 May 25: Commercial to prepare the initial response and issue to contractor within 21 days from the receipt of claim
18 May 25 - Rejection letter issued to claims 14 May for their review.
19 May 25: draft reviewd and sent back to commercial for issuance 
01 June 25: Rejection letter issued to the Contractor on 28 May 2025 (Aconex Ref. 1TB01005-005C11-AMA-LTR-0078)
14 June 2025 - Contractor responded to the above letter on 10 June 2025 via aconex ref: 1TB01005-005C11-ALE-LTR-0117. The Employer's response under process
30 Jun 25: response letter in Workflow confirming that the Employers reasons for rejecting the claim &amp; contractor's TIA are valid and to propose three dates to schedule a workshop meeting to review the contractor's claim"
07 July 2025: 1TB01005-005C11-AMA-LTR-0084[C0] dated 01 July 2025 issued to Contractor to revise and resubmit
14 Jul 25: a Site meeting held on (date) with Contractor and planning to explain claim rejection. Contractor to resubmit Claim and also include additional delay event for the F&amp;B Works EI and include its concurrent delay for the onoing lab tank defects / replacements. 
25 Jul 25: Ditto 
12 Aug 25 - Site team to chase the revised submission. commercial to follow up with the contractor
23 Aug 25 - contractor submitted revised claim via 1TB01005-005C11-ALE-LTR-0146 on 14 Aug 25. Project team have reviewed submission and confirmed Claim is acceptable for assessment. Target date for draft to be with Claims is 13 Sept 
08 Sept 25: Ditto
23 Sep 25: Draft Report sent to BK for review
06 Oct 25: EAR comments sent back to RSMLI. EAR needs tidying up, to be reissued by 12 October. 
10 Oct 25: Draft report was sent to claims for review and forwarded to planning to proceed with TIA
13 Oct 25: target date TBC, delivery has requested to prioratise this report
17 Oct 25: EAR issued to planning on 10 Oct 25
20 Oct 25: Ditto, targeted to conclude by 28 Oct 25 (Chris_B priority request)
26 Oct 25: Targeted to revert by 30 Oct 25
27 Oct 25: Ditto</t>
      </text>
    </comment>
    <comment ref="BR82" authorId="53" shapeId="0" xr:uid="{B095E895-1329-4FFD-9C5A-A64C79555434}">
      <text>
        <t xml:space="preserve">[Threaded comment]
Your version of Excel allows you to read this threaded comment; however, any edits to it will get removed if the file is opened in a newer version of Excel. Learn more: https://go.microsoft.com/fwlink/?linkid=870924
Comment:
    4 May 25: 3 Pages EOT Claim with no substantiation or particulars. Will be rejected by 10 May 25
05 May 25: Commercial to prepare the initial response and issue to contractor within 21 days from the receipt of claim
18 May 25: Rejection sent to Contractor and requested for a detailed submission, 1TB01009-009C04-AMA-LTR-0072 dated 05 May  2025
01 June 25: waiting for the Contractor's detailed submission
16 Jun 25: Ditto
30 Jun 25: awaiting contractor's resubmission
30 June  25: 3 EOT Claim 2 pages long with no substantiation  received on 30 June 2025  via 1TB01009-009C04-TIC-LTR-0027 or particulars. Will be rejected by 16 May 25
24 July 25: EOT rejected on 8 July 25,  1TB01009-009C04-AMA-LTR-0078
12 August 2025:  Awaiting Contractor's revised submission. 
25 August 2025: Ditto, commercial to follow up with contractor via letter
08 Sep 25: Follow-up letter in WF-056266.
5 Oct 25: Awaiting Contractor's revised submission
20 Oct 25: Ditto
03 Nov 25: Comm to issue a follow up letter 
17 Nov 25: Ditto, Draft under prep with comm
29 Nov 25: Follow-up letter issued on 25 Nov 25
01 Dec 25: Ditto
13 Dec 25: Contractor has sent a letter stating they are preparing the EOT Claim. 1 Dec 2025 - 1TB01009-009C04-TIC-LTR-0043.
10 Jan 26: Ditto. Awaiting Contractor's EOT submission.
12 Jan 26: Comm to issue a follow up letter
22 Jan 26: Follow-up issued through Aconex GC ref. AMA01009-GENCORR-005898 dated 22 Jan 26
27 Jan 26: awaiting response from contractor
09 Feb 26: Ditto
</t>
      </text>
    </comment>
    <comment ref="BR83" authorId="54" shapeId="0" xr:uid="{89C534CA-5C23-4ED1-922A-AFA09B90ED57}">
      <text>
        <t>[Threaded comment]
Your version of Excel allows you to read this threaded comment; however, any edits to it will get removed if the file is opened in a newer version of Excel. Learn more: https://go.microsoft.com/fwlink/?linkid=870924
Comment:
    10 Jun 25: Contractor submitted cost claim assosiated with EOT 2 on 02 Jun 25
an aconex mail response was sent to contractor to resubmit with supporting documents 
29 June25 : Ditto Contractror's response is awaited
27 July 2025:  MME has not submitted the Revised Cost assessment after RSG's rejection earlier.. Linked to outcome of item 61. 
11 August 2025:  Awaiting Contractor's revised submission. 
07 Sept 25: Ditto 
01 Dec 25: Ditto ( EAR for time extension is still under process, EOT cost assessment/approval will be actioned upon finalization of EAR for time)  
11 Jan 26 : Ditto</t>
      </text>
    </comment>
    <comment ref="BR85" authorId="55" shapeId="0" xr:uid="{08A5AD13-79B4-4535-92C2-9036FB6D2EDB}">
      <text>
        <t>[Threaded comment]
Your version of Excel allows you to read this threaded comment; however, any edits to it will get removed if the file is opened in a newer version of Excel. Learn more: https://go.microsoft.com/fwlink/?linkid=870924
Comment:
    14 Dec 24: Formal response letter prepared by RSMLI Commercial team and sent to claims for review
05 Jan 24: Intial response issued to contractor on 16 Dec 24 to resubmit the claim
15 Jan 25 - Awaiting further response from Contractor
23 Jan 25: Ditto
27 Jan 25: Ditto. comemrcial to issue a follow up letter
09 Feb 25: Commercial to assess merit of existing Claim based on current information and site planning team to do the same. Site discussions ongoing with the Contractor to agree the Costs and revised end date. Target for draft report to planning by 20 Feb 25 and costings is 28 Feb 25.</t>
      </text>
    </comment>
    <comment ref="BR95" authorId="56" shapeId="0" xr:uid="{392630B1-0095-40B2-8CBA-5A4D5922AE33}">
      <text>
        <t xml:space="preserve">[Threaded comment]
Your version of Excel allows you to read this threaded comment; however, any edits to it will get removed if the file is opened in a newer version of Excel. Learn more: https://go.microsoft.com/fwlink/?linkid=870924
Comment:
    01 July 25: Contractor submitted EOT 01 Claim
13 July 2025 : Commercial issued Draft EOT Report to Claims team for review 
27 Jul 25: Ditto, targeted to revert on 05 Aug 25
02 Aug 25: Initial review &amp; comments provided and sent back to commercial to address them.
03 Aug 25: Draft EAR sent to planning for TIA
04 Aug 25: under review with planning 
05 Aug 25: EAR sent back to commercial to address comments on DE 5.2.3
12 Aug 25 - Commercial  Assessment Report  is with Planning team. planning currently reviewing the time impact. 
13 Aug 25: following  a meeting b/w RSG claims, commercial &amp; planning, it has been decided to move ahead with the EOT procedure and not a CA as the TIA shows 23 days slippage in project completion date prior to issuing the VO
14 Aug 25: Draft report sent back to Commercial to update the chronology to include cause(s) of the 23 days delay (prior to instruction of Variation), and the Employer’s culpability for this delay. </t>
      </text>
    </comment>
    <comment ref="BR96" authorId="57" shapeId="0" xr:uid="{B9FF2BFF-0271-41C0-92E1-C6EA8314E0F1}">
      <text>
        <t>[Threaded comment]
Your version of Excel allows you to read this threaded comment; however, any edits to it will get removed if the file is opened in a newer version of Excel. Learn more: https://go.microsoft.com/fwlink/?linkid=870924
Comment:
    12 July  25:  EOT Claim submitted by the Contractor  
12 July 2025: EOT Claim forwarded to delivery and site planing team for initial response
24 July 25: Ditto
28 Jul 25: Ditto
10 Aug 25: Comments on Contractor submission issued to the Contractor on 28 Jul 25
25 Aug 25: Ditto, commercial to follow up with contractor via letter
7 Sep 25: Follow-up letter in WF-056266.
24 Sep 25: Following the Employer's follow up letter (1TB01009-009C34-AMA-LTR-0017); Contractor submitted the revised EOT submission (1TB01009-009C34-DAC-LTR-0024) which is under rview. 
06 Oct 25: Under review. Target date for issuance of a response or report preparation - 30 Oct 25. 
20 Oct 25: Ditto
03 Nov 25: Contract resubmitted their claim with updated details 1TB01009-009C34-DAC-LTR-0028 dated 19 Oct 25 and is currently under review. Target date 10 Nov 25.
17 Nov 25: Planning requested  missing xer files on 17 Nov 25 (AMA01009-GENCORR-005658)
29 Nov 25: action with contractor to respond
13 Dec 25: EAR under preparation. Target date - 30 Dec 25
16 Dec 25: contractor provided additional particulars via 1TB01009-009C34-DAC-LTR-0033
10 Jan 26: EAR target date deferred to 30 Jan 26 
24 Jan 26: Contractor resubmitted the EOT Claim ref. on 24 January 2026 with updated cut-off date. EAR shall be updated. 
27 Jan 26: Draft EAR Targeted to submit for claims team's review by 15 Feb 26
09 Feb 26: Ditto</t>
      </text>
    </comment>
    <comment ref="BR97" authorId="58" shapeId="0" xr:uid="{EBACA3D5-A226-41F4-94A6-E0A102C2A891}">
      <text>
        <t>[Threaded comment]
Your version of Excel allows you to read this threaded comment; however, any edits to it will get removed if the file is opened in a newer version of Excel. Learn more: https://go.microsoft.com/fwlink/?linkid=870924
Comment:
    24 July 25: Initial response being drafted. Awaiting Planning &amp; Delivery feedback.
28 Jul 25: Comm to provid ref once issued
12 Aug 25: Awaiting feedback from the team
25 Aug 25: Planning feedback received. Response to Contractor to be prepared. Tentative target date shall be 30 August 25
08 Sep 25: Commercial drafting the letter, to be issued to claims EOD
09 Sep 25: Draft Initial response sent to claims team for review
02 Oct 25: Draft responde reviewed and sent back for issuance
06 Oct 25: Response to Contractor in WF-060015 (1TB01009-009C13-AMA-LTR-0065)
18 Oct 25: Response requesting further particulars issued to Contractor on 8 Oct 25 - 1TB01009-009C13-AMA-LTR-0065 
03 Nov 25: Contractor responded via 1TB01009-009C13-LUT-LTR-0027 to Employer's rejection via and requested for a meeting. RSG shall review and proceed with the report after the meeting. 
17 Nov 25: Meeting with the Contractor to be scheduled</t>
      </text>
    </comment>
    <comment ref="BR98" authorId="59" shapeId="0" xr:uid="{DF713701-CD55-49B1-9896-BCCFDC5EF752}">
      <text>
        <t>[Threaded comment]
Your version of Excel allows you to read this threaded comment; however, any edits to it will get removed if the file is opened in a newer version of Excel. Learn more: https://go.microsoft.com/fwlink/?linkid=870924
Comment:
    10 Aug 25:Commercial team has rejected the Claim Report, requesting supporting documents . AMA01031-GENCORR-001021 dated 06 August 25
25 Aug 25: Contractor's response to Employer's rejection on 6th Aug 25 is awaited, expected in this week. 
21 Aug 25 Contractor has submitted the Revised EOT-01 Claim via 1TB01031-031C15-EMC-LTR-0010
30 Aug 25: Marina Commercial team is currently reviewing the Revised EOT-01 report submitted by the Contractor on 21st Aug 2025
08 Sept 25: Ditto, target date to be updated prior the meeting. 
15 Sep 25: Commercial has completed the report, However commercial had comments on missing information. Contractor busy compiling</t>
      </text>
    </comment>
    <comment ref="BR100" authorId="60" shapeId="0" xr:uid="{60D63A3D-F851-4773-B6A0-664842454303}">
      <text>
        <t>[Threaded comment]
Your version of Excel allows you to read this threaded comment; however, any edits to it will get removed if the file is opened in a newer version of Excel. Learn more: https://go.microsoft.com/fwlink/?linkid=870924
Comment:
    10 August 25: Received EoT Claim 01. Commercial team to issue draft report to claims team on 16 August 2025
14 August 25: under process with commercial, targte date moved to 02 September 2025
07 Sep 25: New target to be updated prior the meeting.  TBC
06 October 2025: Commercial team to submit EAR report to claims team  07 October 2025.
12 Oct 25: Targeted date moved to 16 Oct 25
19 Oct 25 -Submitted to BK on 11 Oct 25. Initial response sent on 13 Oct 25.  BK to update on discussion with Litha. (Stuart's Priority)
26 Oct 25:Comm to confirm the target date for the draft EAR submission for claims team's review
27 Oct 25: Contractor to submit updated claims by 30 Oct 2025
03 Nov 25: Target date 06 Nov 25 to be submiited to claim, providing that DEPA submit missing info by then (emails exchanged following the workshop with planning held on 22 Oct 25, additioanl back-up requested through email on 30 Oct and 02 Nov)
02 Nov 25: contractor provided additional particulars via email
9 Nov 25: under review by commercial, targeted to submit the EAR by 10 Nov 25
12 Nov 25: Depa confirmed via email that they will provide additional substantiation and the required details by 13 Nov 25, still pending. EAR drafted, awaiting Contractor's particulars to be concluded. 
17 Nov 25: Ditto
18 Nov 25: Depa submitted further particulars via DCC01006-GENCORR-000660, EAR under process with commercial 
27 Nov 25: Draft EAR sent to claims team for review
01 Dec 25: Ditto, Draft EAR sent back to commercial with comments to finalise prior to planning's TIA 
02 Dec 25: Draft EAR sent to claims team for review
04 Dec 25: Draft EAR sent to planning for TIA
08 Dec 25: TIA targeted to conclude by 22 Dec 25
16 Dec 25: planning team noted that several items in the draft report are not included in the Contractor’s TIA, furtehr suggested that we either ask teh contractor to resubmit the claim or not to consider these events in the EAR
17 Dec 25: Commercial team clarified that since this is a prioroty by HOC, it cannot be sent back to contractor for resubmission and that planning need to consider these events in the assessment 
12 Jan 26: Targeted to revert by 13 Jan 26
13 Jan 26: TIA incorporated and sent to commercial for finalisation prior to claims team's offline pre-approval // Final Draft Report sent to claims team for review &amp; approval
19 Jan 26: EAR put in workflow (WF-040404)
25 Jan 26 - EAR under Workflow WF-040404 currently with  Paul Donaghy
01 FEB 26: COVER LETTER IN WORKFLOW (WF-040865)
07 Feb 26 - EAR approved and issued to Contractor (1TB01006-006C05-AMA-LTR-0098) on 05 Feb 26
09 Feb 26: awaiting contractor's acceptance
22 Feb 26: Ditto</t>
      </text>
    </comment>
    <comment ref="BR101" authorId="61" shapeId="0" xr:uid="{2C697158-D228-4614-9AAF-17AFDE38ED4B}">
      <text>
        <t>[Threaded comment]
Your version of Excel allows you to read this threaded comment; however, any edits to it will get removed if the file is opened in a newer version of Excel. Learn more: https://go.microsoft.com/fwlink/?linkid=870924
Comment:
    25 Aug 25: Commercial, Planning &amp; Delivery to review and prepare initial response
7 Sep 25: Following planning input, letter will be drafted , target date 18 September 2025
24 Sep 25: Planning input received. Initial response is being drafted. Will be issued for Claims review by 8 Oct 25
06 Oct 25: Ditto
18 Oct 25: Commercial will review and prepare draft by first week of November. Targeted to submit for review by 06 Nov 25
03 Nov 25: Ditto
16 Nov 25: Targeted to finilise review by 20 Nov 25. 
01 Dec 25: Target date moved to 10 Dec 25
13 Dec 25: AMA01009-GENCORR-005743 with planning response  sent on 08 Dec 25.
12 Jan 26: Awaiting Contractor's resubmission. , Comm to issue a follow up letter</t>
      </text>
    </comment>
    <comment ref="BR102" authorId="62" shapeId="0" xr:uid="{087D466D-C438-4DD0-8C62-561EC9ED0C04}">
      <text>
        <t>[Threaded comment]
Your version of Excel allows you to read this threaded comment; however, any edits to it will get removed if the file is opened in a newer version of Excel. Learn more: https://go.microsoft.com/fwlink/?linkid=870924
Comment:
    28 Aug 25: Commercial, Planning &amp; Delivery to review and prepare initial response
7 Sep 25: Following planning input, letter will be drafted , target date 18 September 2025
29 Sep 25: Draft Response sent to claims team for review
30 Sep 25: Sent back to commercial with comments for resubmission
5 Oct 25: Response to Contractor in WF-059876
06 Oct 25: response issued to contractor via 1TB01009-009C16-AMA-LTR-0043
18 Oct 25: Awaiting Contractor feedback
03 Nov 25: Contractor has resubmitted their claim and this is currently under revie, 1TB01009-009C16-SSC-LTR-0058 dated 29 Oct 25. comm targeted to finalise the report by 13 Nov 25 for claims review 
17 Nov 25: Targeted to finilise report by 23 Nov 25. 
01 Dec 25: Target date moved to 10 Dec 25, comm to set up a meeting with claims team to discuss the way forward
13 Dec 25: Target date moved to 15 Dec 25
16 Dec 25: Draft EAR sent to claims for review
17 Dec 25: EAR sent back to comm to resubmit addressing the comments 
21 Dec 25: updated draft sent to claims for review // Draft EAR sent to planning for TIA</t>
      </text>
    </comment>
    <comment ref="BR103" authorId="63" shapeId="0" xr:uid="{FDD436DD-4181-494C-8E7B-6C2D33414F41}">
      <text>
        <t>[Threaded comment]
Your version of Excel allows you to read this threaded comment; however, any edits to it will get removed if the file is opened in a newer version of Excel. Learn more: https://go.microsoft.com/fwlink/?linkid=870924
Comment:
    28 Aug 25: Commercial, Planning &amp; Delivery to review and prepare initial response
7 Sep 25: Following planning input, letter will be drafted , target date 18 September 2025
29 Sep 25: Draft Response sent to claims team for review
30 Sep 25: Sent back to commercial with comments to revise and issuance 
5 Oct 25: Response to Contractor in WF-059876
06 Oct 25: response issued to contractor via 1TB01009-009C15-AMA-LTR-0050
18 Oct 25: Awaiting Contractor feedback
03 Nov 25: Contractor has resubmitted their claim and this is currently under review, 1TB01009-009C15-SSC-LTR-0091 dated 29 Oct 25. comm targeted to finalise the report by 25 Nov 25 for claims review 
17 Nov 25: Targeted to finilise report by 04 Dec 25 . 
01 Dec 25: Comm to set up a meeting with claims team to discuss the way forward
13 Dec 25: Target date moved to 24 Dec 25
12 Jan 26: Target date moved to 25 Feb 26
13 Jan 26: Contractor to revise, update and resubmit the EOT claim based on the revised Programme incorporating the second stage. 
Formal request shall be sent by RSG</t>
      </text>
    </comment>
    <comment ref="BR104" authorId="64" shapeId="0" xr:uid="{B0B156AA-9618-487F-BD7A-9B86590FB2DC}">
      <text>
        <t>[Threaded comment]
Your version of Excel allows you to read this threaded comment; however, any edits to it will get removed if the file is opened in a newer version of Excel. Learn more: https://go.microsoft.com/fwlink/?linkid=870924
Comment:
    29 Apr 25: Employer's Assessment Report for EOT-01 issued to DEPA for review and agreement under Aconex mail 1TB01003-003C09-AMA-LTR-0126 on 28 April 2025.
19 May 25: Awaiting DEPA's response/agreement to the assessment.
14 June 25 : Ditto to Last
21 Jun 25: received Depa's response requesting for a reassessment (1TB01003-003C09-DCC-LTR-0255)
30 Jun 25: Depa issued disagreement letter on the employer's assessment via aconex ref (DCC01003-GENCORR-000953) commercial to review and respond
14 Jul 25:action with Delivery to assess technical merit, commercial to respond that reassessment / review of the additional substantiation provided is ongoing and will submit an assessment shortly
28 July 25: Commercial carried out the review, in process of  approval/agreeing with Delivery. 
12 Aug 25 - Planning team currently reviewing DEPA dispute of the time assessment from the Planning Team
18 Aug 25: Targeted to revert by 24 Aug 25
25 Aug 25: Ditto. Planning team target to complete their response by 26 Aug 2025. 
01 Sep 25: Target date moved to 04 Sep 25
08 Sep 25: Targeted to issue by 09 Sep 25
13 Sep 25: Draft EAR Rev 01 sent to claims team for review
07 Oct 25: targeted to finalise by 11 Oct 25
10 Oct 25: Draft EAR sent to Planning to provide bullet point reasons as to why there is a difference between the 164 claimed and 94 day assessed
12 Oct 25: comments and queries raised on DE 02 by planning, commercial reverted with comments &amp; clarification. action with claims to review &amp; approval
13 Oct 25: EAR approved and sent to commercial to initiate WF
18 Octi 25: Iniated in WF (WF-017001). Under approval (Chris_B Priority)
24 Oct 25: Report approved in WF, commercial to initiate WF for cover letter
26 Oct 25: EOT 01 - Rev 01 Assessment Report issued to contractor via 1TB01003-003C09-AMA-LTR-0169
03 Nov 25: Ditto
17 Nov 25: Ditto
20 Nov 25: Depa responded disagreeing with the reassessment of EOT 1 via DCC01003-GENCORR-001103, response sent to planning for review
24 Nov 25: under review targeted to revert by EOD
27 Nov 25: Under review by commercial &amp; Delivery Team.
01 Dec 25: Ditto, awaiting delivery's response
13 Dec 25:Ditto
10 Jan 26: Required information and clarification issued to the Planning Team. The Planning Team is preparing its response to DEPA's  letter under DCC01003-GENCORR-001103.
19 Jan 26: targeted to revert with the concurrent delay analysis by 22 Jan 26
24 Jan 26: Planning and Commercial to draft response to DEPA's letter DCC01003-GENCORR-001103 as per Planning conclusion, target date 27 Jan to be in the WF.
02 Feb 26: Targeted to review and respond by 03 Feb 26
07 Feb 26: Comments received from Planning on 07 Feb 26. Commercial to draft the response to DEPA's letter.
09 Feb 26: Draft response to be sent for claims teams by (TBC), NE to talk to BE</t>
      </text>
    </comment>
    <comment ref="BR106" authorId="65" shapeId="0" xr:uid="{4B2AD0A4-D60F-4E25-A811-E422B1F8F3A8}">
      <text>
        <t>[Threaded comment]
Your version of Excel allows you to read this threaded comment; however, any edits to it will get removed if the file is opened in a newer version of Excel. Learn more: https://go.microsoft.com/fwlink/?linkid=870924
Comment:
    5 Oct 25: Planning has provided comments. Initial response will be issued before 15 Oct 25.
20 Oct 25: Response to be issued to Claims for review by 25 Oct 25
03 Nov 25: Response to Claims team shall be issued by 15 Nov 25
17 Nov 25: Planning response to be sent via email on 17 Nov 25.  Commercial to review and send response by 20 Nov 25.
29 Nov 25: Response issued to Contractor on AMA01009-GENCORR-005683 with planning's comments.
01 Dec 25: Target date moved to 10 Dec 25
13 Dec 25: Target date moved to 10 Jan 26
10 Jan 26: Awaiting Contractor's resubmission addressing planning comments.
12 Jan 26: Comm to issue a follow up letter
25 Jan 26: Follow up letter in WF-WF-075754</t>
      </text>
    </comment>
    <comment ref="BR107" authorId="66" shapeId="0" xr:uid="{6F9B6DFF-49CE-478F-935A-156A53051B23}">
      <text>
        <r>
          <rPr>
            <b/>
            <sz val="9"/>
            <color indexed="81"/>
            <rFont val="Tahoma"/>
            <family val="2"/>
          </rPr>
          <t>Merroon Corera:</t>
        </r>
        <r>
          <rPr>
            <sz val="9"/>
            <color indexed="81"/>
            <rFont val="Tahoma"/>
            <family val="2"/>
          </rPr>
          <t xml:space="preserve">
Changed status pending from Not Applicable on 22 Feb 26</t>
        </r>
      </text>
    </comment>
    <comment ref="BR108" authorId="67" shapeId="0" xr:uid="{A8D0EE0B-3C7B-483C-9C9D-9306D96C1D58}">
      <text>
        <t>[Threaded comment]
Your version of Excel allows you to read this threaded comment; however, any edits to it will get removed if the file is opened in a newer version of Excel. Learn more: https://go.microsoft.com/fwlink/?linkid=870924
Comment:
    24 Sept 25: Claim under review with Site commercial and planning teams - Review to be complete by 8 Oct 25
03 Nov 25: Additional particulars requested from Contractor on 28 Oct 25 AMA01009-GENCORR-005582
29 Nov 25: The Contractor submitted additional particulars on 17 November 2025, ref: 1TB01009-009C09-IMR-LTR-0085. The Commercial to draft the report by 25 Dec 25.
01 Dec 25: revised claim under review with commercial 
13 Dec 25: Priority claim. EAR to be prepared. Target date - 15 Jan 26
10 Jan 26: Target date to conclude the EAR by 14 Mar 2026
25 Jan 26: Ditto
09 Feb 26: Ditto
22 Feb 26: Ditto
09 March 26: Ditto, target date moved to 17 Mar 26
28 Mar 26: Clarification provided by Contractor on 28 Mar 26 for Employer's queries via 1TB01009-009C09-IMR-LTR-0114. 
06 Apr 26: EAR is under preparation. Target date considering the latest feedback received from contrator is 15 Apr 26 (Chris B Priority)
20 April 26: finishing of the EAR, will be with NE by 22 April 26.
22 Apr 26: Draft EAR sent to claims team for review (23-04 NE-PB)
28 Apr 26: Draft EAR sent back to commercial with comments and to follow the template // commercial confirmed it followed the right Template</t>
      </text>
    </comment>
    <comment ref="BR109" authorId="68" shapeId="0" xr:uid="{5CBBC799-CEC9-4509-B8C8-3A07C842672E}">
      <text>
        <t>[Threaded comment]
Your version of Excel allows you to read this threaded comment; however, any edits to it will get removed if the file is opened in a newer version of Excel. Learn more: https://go.microsoft.com/fwlink/?linkid=870924
Comment:
    23 Sept 25: Claim under review with Site commercial and planning teams - Review to be complete by 25th Sept
03 Oct 25: Rejection issued 02 Oct 25 - 1TB01005-005C19-AMA-LTR-0165
17 Oct 25 - Awaiting contractor re-submission
31 Oct 25 - Contractor has stated they would need to go to a 3rd Party (UK) to revise and submit a compliant Claim. They have requested the facilitation of a zero Cost / DD waver EoT settlement which the Project and Commercial teams have no objection to. Planning and Claims teams to advise on way forward.
03 Nov 25: NE to discuss with BK offline
17 Nov 25: Commercial team to complete an EAR report - Target date for issuance to Claims 14 Dec 25.
01 Dec 25: Ditto
12 Dec 25: Target date moved to 14 Jan 25 (Ad hoc delivery handover support taking precedence)
09 Jan 26: Ditto, contractor targeted to submit the revised claim by 07 Feb 2026 via email
26 Jan 26: Ditto
07 Feb 25: Site team preference is to prepare an HLEAR - Template requested. Contractor will accept a time award with zero cost and this is acceptable to SPD. Email send 07 Feb to Amaala Comm Exec for their view.
09 Feb 25: template and a check list shared with commercial
16 Feb 26: Draft RFA for HLEAR shared with commercial to finalise and initiate WF approval process
23 Feb 26: RFA for HLEAR being finalised prior to WF submission</t>
      </text>
    </comment>
    <comment ref="BR110" authorId="69" shapeId="0" xr:uid="{4C21B5AD-4986-496D-999C-44812A6C5256}">
      <text>
        <t>[Threaded comment]
Your version of Excel allows you to read this threaded comment; however, any edits to it will get removed if the file is opened in a newer version of Excel. Learn more: https://go.microsoft.com/fwlink/?linkid=870924
Comment:
    21 Oct 25: Depa submitted EOT 2 via 1TB01003-003C09-DCC-LTR-0299 on 09 Oct 25, commercial &amp; planning  currently reviewing the submission
26 Oct 25: DEOT under preperation with Planning team, Comm to confirm the target date for the draft EAR submission for claims team's review
26 Oct 25: Comm to provide EAR on 09 Nov 2025, DEOT under process with Planning (DEOT targeted to finalise by 30 Oct 25)
02 Nov 25: Draft report sent to site planning team for review.
09 Nov 25: DEOT in WF, WF-017971. detailed report under review by commercial
17 Nov 25: Draft report with Design-Delivery for review (DE 06), Targeted to finalise by (TBC)
23 Nov 25: Draft being finalised by commercial for claims team's initial review
01 Dec 25: Draft being finalised by the Commercial for Claims Team review, currently with BK, targeted to submit for claims review by 02 Dec 2025
02 Dec 25: Draft EAR sent to claims for review</t>
      </text>
    </comment>
    <comment ref="BR111" authorId="70" shapeId="0" xr:uid="{337F5000-DBE0-4336-B196-41CC29260CE7}">
      <text>
        <t>[Threaded comment]
Your version of Excel allows you to read this threaded comment; however, any edits to it will get removed if the file is opened in a newer version of Excel. Learn more: https://go.microsoft.com/fwlink/?linkid=870924
Comment:
    23 Oct 25: Contractor submitted its claim via 1TB01006-006C52-MIN-LTR-0014 on 24 Sep 25: and submitted further particulars on 19 Oct 25 via MIN01006-GENCORR-000039. upon iniital review, commercial wrot back on 23 Oct 25 via AMA01006-GENCORR-003854 to resubmit the claim
25 Oct 25 - Employer responded advising the Contractor to revise and resubmit as the submission is not in accordance with the requirements of the Contract (AMA01006-GENCORR-003854)
03 Nov 25: awaiting response from contractor
13 Nov 25- Received Contractor's revised submission on 08 Nov 25 (MIN01006-TRANSMIT-000044) , 1TB01006-006C52-MIN-LTR-0020. Commercial to review.
17 Nov 25 - Received feedback from Planning . Commercial to prepare EAR by 27 Nov 25
23 Nov 25 - Rejection letter was sent to Contractor (Ref. 1TB01006-006C52-AMA-LTR-0024) and was asked to resubmit in compliance with the contract requirement
01 Dec 25: awaiting contractor's resubmission
13 Dec 25: Ditto
05 Jan 26 - Revised submission received thorugh MIN01006-TRANSMIT-000061 dated 20 Dec 2025, letter Ref. 1Tb01006-006C52-LTR-0030. Commercial and Planning to review.
10 Jan 26 - Under review by Commercial. EAR being drafted to finish by 23 Jan 26
20 Jan 26: Updated claims submitted via MIN01006-TRANSMIT-000071
25 Jan 26 - Updated submission received on 20 Jan 26 (EOT Rev 5 Ref. MIN01006-TRANSMIT-000071, 1TB01006-006C52-MIN-LTR-0034). Commercial is rveising the EAR base don the lates submission. Further particulars still not provided in the latest submission and again requested on 21 Jan 26 (AMA01006-GENCORR-004225).
09 Feb 26 - Draft EAR with Biljana. Still wating for some reference document from Contractor - reminder sent on 03 Feb 26 (ref. AMA01006-GENCORR-004302)
23 Feb 25: Ditto. Will finilise by 03 March, revised claim recevied on 17 Feb, MIN01006-GENCORR-000094
08 March 26: Revised EAR currently with BK for review
02 Apr 26: Draft EAR sent to Claims Team for review
06 Apr 26: Targeted to revert by 14 Apr 26
13 Apr 26: Draft EAR sent to planning for TIA
18 Apr 26: Draft EAR sent back to Commercial with comments from planning
19 Apr 26: Updated EAR sent to claims addressing the comments // Returned back by Planning to Commercial with comments, Commercial responded and reverted back to Claims, updated draft EAR sent to planning to proceed with TIA
20 Apr 26: Targeted to conclude TIA by 27 Apr 26
27 Apr 26: Targeted to conclude TIA by 30 Apr 26
29 Apr 26: Contractor submitted revised claim via 1TB01006-006C52-MIN-LTR-0051  &amp; MIN01006-GENCORR-000106 on 15 Apr 26, however the TIA is not in compliance and has responded to the contractor to resubmit the claim with updated TIA in compliance with the contract (letter in WF-043471)</t>
      </text>
    </comment>
    <comment ref="BR112" authorId="71" shapeId="0" xr:uid="{6C0A4881-BDC7-4119-8A61-C3287A09DD74}">
      <text>
        <t>[Threaded comment]
Your version of Excel allows you to read this threaded comment; however, any edits to it will get removed if the file is opened in a newer version of Excel. Learn more: https://go.microsoft.com/fwlink/?linkid=870924
Comment:
    19 Oct 25 - Contractor submitted EOT 02 through Gen. Corr. reference CBE01006-GENCORR-000055, 1TB01006-006C20-CBE-LTR-0016 on 12 oct 25.  The Contractor included for all the events already assessed in EOT 01 and added additiaonal delay events. 
25 Oct 25 - Employer responded to EOT 02 submission (AMA01006-GENCORR-003855) advising that TIA used is acceptable and been asked to submit all supporting documents as per the required acceptable standard.
03 Nov 25: NE to discuss with SV, 
17 Nov 25: Clevaland resubmitted EOT2 rev 01, on 08 Nov 25, CBE01006-GENCORR-000056. Commercial to review/comply the report, target date 28 Nov 25.
25 Nov 25 - A meeting was held with Cleveland and has agreed to revise and submit a FINAL claim  covering all delay events outside the cut-off date of EOT 01 (27 June 2025). confirmation of the same was communicated via AMA01006-GENCORR-003979 with the contractor
01 Dec 25: awaiting contractor's resubmission
02 Dec 25: contractor submitted final claim via CBE01006-GENCORR-000059
10 Dec 25: Additional particulars submitted via CBE01006-GENCORR-000061
15 Dec 25: EOT 02 EAR sent to BK for review prior to sending to Claims team, target date 21 Dec 25. 
25 Dec 25: Draft EAR sent to claims team for review
03 Jan 26: Draft EAR sent back to comm with comments
04 Jan 26: updated draft report sent to claims for further review
05 Jan 26: EAR sent to planning for TIA
10 Jan 26 - EAR currenlty with Planning
27 Jan 26: Targeted to conclude TIA by 05 Feb 2026
02 Feb 26: Ditto
07 Feb 26 - TIA still with Planning, Targeted to finalise by 12 Feb 26
16 Feb 26: Targed to revert by end of the day today (16 Feb 26)
17 Feb 26: TIA incorporated and sent to commercial for finalisation for claims pre-approval prior to WF initiation
18 Feb 26: Claims team advise planning team whether to treat this claim as the final claim and adjust the TIA accordingly 
23 Feb 26: Planning came back, treating this an interim claim, now with Claims to respond. Claims team targeted to revert by 27 Feb 26</t>
      </text>
    </comment>
    <comment ref="BR113" authorId="72" shapeId="0" xr:uid="{A75F165A-4B8E-4A2C-9C35-582400D4BF1C}">
      <text>
        <t>[Threaded comment]
Your version of Excel allows you to read this threaded comment; however, any edits to it will get removed if the file is opened in a newer version of Excel. Learn more: https://go.microsoft.com/fwlink/?linkid=870924
Comment:
    01 Nov 25: The Contarctor submitted its EOT Rev# 2 via  letter reference 1TB01002-002C06-HOI-LTR-0056 on 20-Oct-25.  Initial Planning review is complete with methodology accepted. Contractor EOT submission under Commercial Team review. The target completion date for the Commercial review is 09 Nov 2025.
17 Nov 25: Target Completion date for the Commercial Review extened to 18 November 2025
29 Nov 25: Target Completion date for Commercial Review moved to 02 December 2025
13 Dec 25: Target Completion date for Commercial Review moved to 15 December 2025
10 Jan 26: Commercial Review target submission to claims team  moved to 12 January 2026
25 Jan 26: Commercial Review target submission to P1 claims team  moved to 27 -Jan-26
07 Feb 26: Commercial review target submission to P1 Claims team moved to 12 February 2026
23 Feb 26: Target commercial review  date of 25 February 2026 to P1 Claims team, comm to provide a final target date for claims team's review
08 Mar 26: Commercial team shared the draft EAR to BK on 3 March 2026. Target date TBC
18 Mar 26:  The Contractor submited EOT claims (EOT Rev 03) via letter ref 1TB01002-002C06-HOI-LTR-0076 dated 18-Mar-26.
06 Apr 26: under review with commercial, Targeted to submit Draft EAR for claims review by (TBC), Litha to advise whether to incorporate EOT 3 in EOT 2
20 Apr 26: comm awaiting response from delivery team regarding confirmation on whether or not the dates tabled by Havelock in the absence of the formal clearance is truein meantime, a draft response to contractor requesting revised claim was sent to claims for review and the same has been reveiwed and sent back to commercial for issuance
04 May 26: Ditto, awaiting response from delivery team
16 May 26: Initial Planning review is complete with methodology accepted. HOI updatd missing access clearance dates. EAR preparation in progress. Target date 24 May 26.</t>
      </text>
    </comment>
    <comment ref="BR114" authorId="73" shapeId="0" xr:uid="{B077E006-83B2-45B8-802C-4AE210D42521}">
      <text>
        <t>[Threaded comment]
Your version of Excel allows you to read this threaded comment; however, any edits to it will get removed if the file is opened in a newer version of Excel. Learn more: https://go.microsoft.com/fwlink/?linkid=870924
Comment:
    01 Nov 25:  The Contarctor submitted its EOT Rev# 1 via  letter reference 1TB01002-002C61-HOI-LTR-0007 on 20-Oct-25.  Initial Planning review is complete with methodology accepted. Contractor EOT submission under Commercial Team review. The target completion date for the Commercial review is 11 Nov 2025.
17 Nov 25: Target Completion date for the Commercial Review extened to 18 November 2025.
01 Dec  25: Target Completion date for Commercial Review moved to 02 December 2025
13 Dec 25: Target Completion date for Commercial Review moved to 15 December 2025
10 Jan 26: Commercial Review target submission to claims team moved to (TBC)
22 Jan 26: Draft EAR sent to claims for initial review</t>
      </text>
    </comment>
    <comment ref="BR115" authorId="74" shapeId="0" xr:uid="{16B44BFB-2B02-452C-A86D-8C216CCE6D7A}">
      <text>
        <t>[Threaded comment]
Your version of Excel allows you to read this threaded comment; however, any edits to it will get removed if the file is opened in a newer version of Excel. Learn more: https://go.microsoft.com/fwlink/?linkid=870924
Comment:
    17 Nov 25: Prolongation cost submitted on the 8th of Nov 2025. Under review with comm
01 Dec 25: Based on the preliminary review of the Contractor's submission, the substantiation/contemporary records are not complete. Initial response to MAS's submission is under review. comm to respond to the contractor by 04 Dec 2025
13 Dec 25: Employer's letter response (1TB01002-002C03-AMA-LTR-0120) to Contractor's letter (1TB01002-002C03-MEC-LTR-0077) is under WF for approval (WF-034354)
22 Dec '25 - RSG's response to the Contractor's prolongation cost issued via 1TB01002-002C03-AMA-LTR-0120. Pending response from the Contractor..
12 Jan 26: Ditto, Comm to issue a follow up letter
25 Jan 26: Contractor  issued Supplementary and Updated Interim Extension of Time Claim via  letter ref. 1TB01002-002C03-MEC-LTR-0084 on 18-Jan-26.
07 Feb 26: Letter response to follow up was issued on 07 Feb 26 (Ref. AMA01006-GENCORR-003095)
09 Feb 26: Ditto</t>
      </text>
    </comment>
    <comment ref="BR116" authorId="75" shapeId="0" xr:uid="{01C346E0-BB5F-4846-9BD2-AF2FA695705F}">
      <text>
        <t>[Threaded comment]
Your version of Excel allows you to read this threaded comment; however, any edits to it will get removed if the file is opened in a newer version of Excel. Learn more: https://go.microsoft.com/fwlink/?linkid=870924
Comment:
    17 Nov 25: Contractor submitted EOT claim no. 1 via Aconex with the  ref no  ICAE-TRANSMIT-000012 on 13 Nov 2025. To be reviewed by Commercial team, Comm review / initial response under process, targeted to submit for claims team by 07 Dec 25
19 Nov 25: Commercail team has requested for additional backup (AMA01002-GENCORR-002961 dated 19-Nov-25) which the Conatractor has provided (ICAE-TRANSMIT-000012 dated -19-Nov-25)
01 Dec 25: under review with commercial, targeted to finalise the report and submit for claims team's review by 11 Dec 2025
13 Dec 25: Contractor was requested to revise and resubmit the EOT via Aconex on 29 Nov 25, 
AMA01002-GENCORR-002992 dated 29 Nov 25. XER files missing 
27 Dec '25 : RSG's response issued to the Contractor's EOT Claim via AMA01002-GENCORR-003032. Contractor to revise and resubmit the EOT Claim. 
25 Jan 26: Reminder to revise and resubmit was issued to Contractor via  AMA01002-GENCORR-003046 on 12-Jan-26
7 Feb 26: The Contractor submitted its revised EOT claims along  with the backup via ICAE-TRANSMIT-000027 (1TB01002-002C59-ICA-LTR-0022) on 28-Jan-26. RSGresponded to Contractor's submission via AMA01002-GENCORR-003086 dated 03-Feb-26, to resubmit the EOT claims in compliance with RSG's comments.
21 Feb 26: Awaiting resubmission of EOT claims from the Contractor in compliance to RSG's comments
08 Mar 26: The Contractor submitted its EoT claims via ICAE-TRANSMIT-00005 on 2-Mar-26 (1TB01002-002C59-ICA-LTR-0050). Under Commercial review. Workshop with the Contractor scheduled on 11 March 26.
15 Mar 26:  The Contractor submitted its EoT claims via ICAE-TRANSMIT-000055 on 15-Mar-26 (1TB01002-002C59-ICA-LTR-0057). Further to that an online workshop was held on 17Mar 26.Subsequently, via AMA01002-GENCORR-003151 dated 22-Mar-26, RSG issued as general comments on the Contractor’s submission, instructing that the EOT claim be revised and resubmitted in accordance with the comments and in compliance with the Contract requirements.
06 Apr 26: awaiting response from contractor
19 Apr 26 : Contractor's revised submission received via ICAE-TRANSMIT-000070 dated 7 April 2026; Plannig's queries issued via AMA01002-GENCORR-003171 dated 9 April 2026 and Commercial response will be issued to the Contractor on 20 April 2026. Contractor to revise and resubmit.
04 May 26:  RSG's response issued to the Contractor's EOT Claim via AMA01002-GENCORR-003208 on 29-Apr-26. Contractor to comply on RSG's comments
16 May 26: Contractor's revised EOT submission received on 16 May 2026 via ICAE-TRANSMIT-000094. Under commercial and planning review.</t>
      </text>
    </comment>
    <comment ref="BR117" authorId="76" shapeId="0" xr:uid="{631A886F-9EED-4F86-800F-81FFA70F0684}">
      <text>
        <t>[Threaded comment]
Your version of Excel allows you to read this threaded comment; however, any edits to it will get removed if the file is opened in a newer version of Excel. Learn more: https://go.microsoft.com/fwlink/?linkid=870924
Comment:
    17 Nov 25: Prolongation cost received on 23 October 25, under review by Commercial. Initial response targeted to submit for claims team by 24 Nov 25
01 Dec 25: Ditto, Initial response target to issue by 10 Dec 25
13 Dec 25: Contractor was requested to revise and resubmit the prolongation cost with the complete support documents via Aconex on 3 Dec 25 as Contractor submitted one page letter without any detailed backup and substantiation, 1TB01002-002C22-AMA-LTR-0051 dated 03 Dec 25.
12 Jan 25: Comm to issue a follow up letter
25 Jan 26:  Contractor replied  to RSG Letter Ref. No. 1TB01002-002C22-AMA-LTR-0051 along with the submission of Additional Cost Claim via CBE01002-GENCORR-000054 on 20-Jan-26. Awaiting conclusion of EOT 01 anyway. 
09 Feb 26: As per the EOT actions meeting, the prolongation costs shall be reviewed and concluded based on the Contarctoctor's time entitlement.
23 Feb 26: Ditto
08 Mar 26: EAR for time issued on 05 March 2026 under letter ref. 1TB01002-002C22-AMA-LTR-0056, awaiting contractor's acceptance upon which contractor will be requested to submit the revised cost claim 
06 Apr 26: The Contractor has responded to RSG's leter via ref CBE01002-GENCORR-000058 (1TB01002-002C22-CBE-LTR-0029) dated 11-Mar-26, and provided addendum for the claim for RSG's review. Under Review by Planning.
20 Apr 26: Planning and Commercial review completed. Employer's response currently under workflow. Employer reaffirmed that the issued EAR remains valid.
02 May 26: Meeting/ Workshop scheduled on Sunday, 03-May-26.
04 May 26: Comm to update</t>
      </text>
    </comment>
    <comment ref="BR120" authorId="77" shapeId="0" xr:uid="{89B8800D-E91B-496C-971D-884167130409}">
      <text>
        <t>[Threaded comment]
Your version of Excel allows you to read this threaded comment; however, any edits to it will get removed if the file is opened in a newer version of Excel. Learn more: https://go.microsoft.com/fwlink/?linkid=870924
Comment:
    12 Dec 25: Claim reviewed by commercial and planning and rejected - No detailed chronology, No monthly window analysis, Global cost assessment - Letter to be issued to WF by 18 Dec 25.
09 Jan 26: Line item removed from tracker? Revised claim submitted on 07 Jan 26 and TIA comments not addressed - site team to arrange a meeting with Contractor.
26 Jan 26: Meeting held with Contractors Claim consultant on 15 Jan 26 and they will update the Claim so it is compliant with the Contract. Letter to confirm issued to WF for approvals 1TB01005-005C26-AMA-LTR-0122.
09 Feb 26: Further letter from Contractor requesting an EI to prepare the TIA as requested by the Employer. Response being drafted to confirm an EI will not be issued as the TIA needs to be in a format acceptable to the Employer -To be issued to WF by 10 Feb
23 Feb 26: Letter 1TB01005-005C26-AMA-LTR-0123 issued 16 Feb confirming Employer stance on compliant Claim and we await Contractor response.
08 March 26 : Ditto
06 Apr 26: Ditto, comm to issue a follow up letter
20 Apr 26: Follow-up letter pending acceptance with CB (WF-042333) he back in office Sunday 19 Apr. BKG advised verbally on 15 Apr that they has received the first draft from its consultant and they are working on the concurrent delay update - they are targeting issuance in the next one to two weeks.
23 Apr 26: Contractor submitted updated claim via BGC01005-GENCORR-000169 (1TB01005-005C26-BGC-LTR-0255), currently with site planning team to review and provide comments
27 Apr 26: Targeted to be reverted by 30 Apr 26
04 May 26: Site review to be concluded by 06 May 26. The Contractor has not demonstrated it was ready to commence the works and places heavy reliance on weekly progress reports to substantiate its access delays - Need to decide if it would be beneficial for RSG to fill in the blanks to increase the concurrent delay if possible.</t>
      </text>
    </comment>
    <comment ref="BR124" authorId="78" shapeId="0" xr:uid="{8B43862E-CAA1-4292-99B0-BF6B9446096C}">
      <text>
        <t>[Threaded comment]
Your version of Excel allows you to read this threaded comment; however, any edits to it will get removed if the file is opened in a newer version of Excel. Learn more: https://go.microsoft.com/fwlink/?linkid=870924
Comment:
    11 Jan 26: Under review. 
27 Jan 26: Target date to be confirmed by (TBC)
09 February 2026: Target commercial review  date of 15 February 2026 to P1 Claims team
23 Feb 26: Target commercial review  date of 26 February 2026 to P1 Claims team
08 Mar 26: Draft EAR under preparation. Commercial team's target date to share with P1 Commercial team on 12 March 2026
06 Apr 26: Draft EAR under preparation, Target date moved to (TBC)
20 Apr 26: Ditto, Targeted to submit draft EAR for claims team's review by 23 Apr 26
26 Apr 26: Draft EAR sent to claims team for initial review
28 Apr 26: Draft EAR sent back to commercial with comments
29 Apr 26: updated draft EAR sent to claims team for review</t>
      </text>
    </comment>
    <comment ref="BR126" authorId="79" shapeId="0" xr:uid="{BA89D8BC-E66B-4C1C-9BA8-48B28F346506}">
      <text>
        <t>[Threaded comment]
Your version of Excel allows you to read this threaded comment; however, any edits to it will get removed if the file is opened in a newer version of Excel. Learn more: https://go.microsoft.com/fwlink/?linkid=870924
Comment:
    25 Jan 26:  Interim EoT submitted on 13 Jan 2026. Targeted to finalise and submit to claims by 25 April 2026
09 Feb 26: Ditto
21 Feb 26: Ditto
08 Mar 26: Draft EOT Assesment Report with BK for review, prior to Claims Team submission. Target date TBC
19 MAr 26: Draft EAR sent to claims team for review
31 Mar 26: reviewed and sent to planning for TIA
06 Apr 26: Ditto, TIA targeted to be concluded by 21 Apr 26
13 Apr 26: Ditto
20 Apr 26: Ditto</t>
      </text>
    </comment>
    <comment ref="BR127" authorId="80" shapeId="0" xr:uid="{0ACC8559-4BE6-4B50-8CC7-A2E910D7CE11}">
      <text>
        <t>[Threaded comment]
Your version of Excel allows you to read this threaded comment; however, any edits to it will get removed if the file is opened in a newer version of Excel. Learn more: https://go.microsoft.com/fwlink/?linkid=870924
Comment:
    14 Dec 24: Formal response letter prepared by RSMLI Commercial team and sent to claims for review
05 Jan 24: Intial response issued to contractor on 16 Dec 24 to resubmit the claim
15 Jan 25 - Awaiting further response from Contractor
23 Jan 25: Ditto
27 Jan 25: Ditto. comemrcial to issue a follow up letter
09 Feb 25: Commercial to assess merit of existing Claim based on current information and site planning team to do the same. Site discussions ongoing with the Contractor to agree the Costs and revised end date. Target for draft report to planning by 20 Feb 25 and costings is 28 Feb 25.
24 Feb 25: Draft report not yet commenced, revised target 06Mar.
09 Mar 25: Draft report preparation on going - will be issued to Claims by 13 Mar
10 Mar 25: Draft report preparation on going while awaiting resubmission from contractor - targeted to be issued to Claims by 13 Mar
23 Mar 25 - Project team finalising report, target issue to Claims by 30 Mar
09 Apr 25 - Ditto - target date mid Apr
19 Apr 25 - Revised ToC submitted by Contractor on 5th April  (1TB01005-005C24-PRA-LTR-0011). Project team working on EoT assessment report. commercial to commit a date for finalisation of the claims by next meeting
05 May 25 - Information recieved from the delivery team on 22 Apr. Commercial will finalise the report by the 22nd May
19 May 25 - Commercial assessment report will be issued to claims by 22 May. Planning rejected the revised Contractor's revised TIA assessment following a workshop with the Contractor on the 13th May. The Contractor will update and resubmit. Rejection letter issued in WF-029469  (1TB01005-005C24-AMA-LTR-0036)
29 May 25: Draft EAR sent to claims team for review
01 June 25 - EOT Commercial assessment report issued to claims. Discretionary award EI in WF (Aconex ref WF-030051).
Discretionary award EI issued on  15 June 25 via aconex Ref: 1TB01005-005C24-AMA-LTR-0037
15 Jun 25: EAR with claims for review
17 Jun 25: further to a meeting bw planning and claims, an early draft report of the Pangea shared with planning team to start with the TIA
23 Jun 25: Contractor to resubmit updated claim to proceed with TIA
30 Jun 25: Site team chasing the revised TIA - note Contractor not currently on Site as no Work avilable due to delays by others.
14 Jul 25: Ditto
25 Jul 25: Revised Claim submitted 13 Jul 25 (1TB01005-005C24-PRA-LTR-0016). Assessment report ongoing.
12 Aug 25: commercial report firtst draft under review with BK. To be sent to Claims by 13-14 August .
19 Aug 25: Draft report sent to claims team for review
25 Aug 25: Report issued to Claims team on 19 Aug 25, targeted to revert by 04 Sep 25
08 Sep 25: Targeted to revert by 12 Sep 25
26 Sep 25: Draft report reviewed and sent back to commercial to update the report with relevant references and resubmit
02 Oct 25: Draft EAR sent to claims for review
06 Oct 25:  Ditto
11 Oct 25: Draft report sent to planning to proceed with TIA
13 Oct 25: Target date TBC
17 Oct 25: EAR issued to planning on 11 Oct 25
20 Oct 25: Planning team targeted to revert by 30 Oct 25
27 Oct 25: Target date moved to 05 Nov 25
03 Nov 25: Ditto
10 Nov 25: Target date moved to 13 Nov 25
17 Nov 25: Ditto, to be finalised and send to commercial by 17 Nov 25
19 Nov 25: TIA incorporated and sent to claims team
23 Nov 25: EAR approved and sent to commercial to initiate WF
25 Nov 25: EAR put in workflow for approval - WF-036960
14 Dec 25: EAR questioned by BE in regard to concurrent delay. NE said he would close out with BE prior to issuance to Contractor. Meeting held with planning on 14 Dec 25, commercial to updat the chronology following the meeting. NE to advise if the new WF is required.
15 Dec 25: KM confirmed that the report can be issued directly to the contractor with amendments
24 Dec 25: EAR issued to contractor via 1TB01005-005C24-AMA-LTR-0042 
09 Jan 26: Pangea have responded confirming they do not accept concurrent delay and have issued a letter to confirm the reasons why procurement of handrails, lifts and ladders were delayed.(1TB01005-005C24-PRA-LTR-0020). 
10 Jan 26: Letter forwaded to planning and claims team to advise next steps.
12 Jan 25: claims team to responde by end of the day today
20 Jan 26: planning was advised to reassess the TIA
22 Jan 26: Issued to planning on 20 Jan
28 Jan 26: TIA incorporated and issued to claims
03 Feb 26: Final Draft approved and sent to commercial to intiiate WF
06 Feb 26: EAR going through WF for approval (WF-040009)
21 Feb 26: EAR approved 19 Feb. Issuance approval ongoing WF-040621 
01 Mar 26: EAR issued to contractor via 1TB01005-005C24-AMA-LTR-0047 
07 Mar 26: Pangea via 1TB01005-005C24-PRA-LTR-0022  on 07 Mar 26 has challenged the delay assessment in the latest EAR regarding the bubble tank design, noting it was introduced as a Variation, commercial requested planning to review our position and advise on the appropriate response. // Planning responded that the delay event was not included in the Contractor’s EOT claim or the EAR, and stated that its contractual merit and full supporting details must first be incorporated into the EAR before any assessment or apportionment of Employer-related delay can be made.
08 May 26: Commercial responded clarifying that the delay events in question are DE 03 and 04 and the access delays to the tanks. Claims team to advise (targeted to revert by end of the day today)</t>
      </text>
    </comment>
    <comment ref="BR134" authorId="81" shapeId="0" xr:uid="{8B830D0C-4121-470D-A455-BE191A6E5F5B}">
      <text>
        <t>[Threaded comment]
Your version of Excel allows you to read this threaded comment; however, any edits to it will get removed if the file is opened in a newer version of Excel. Learn more: https://go.microsoft.com/fwlink/?linkid=870924
Comment:
    08 March 2026: Full Claims document received on 03 March 26. Under review by Commercial, target to finish EAR by 21 April 2026
04 Apr 2026: Ditto
20 Apr 26: Ditto
04 May 2026: Draft EAR with BK,  target date 05 May 26 to be with Claims - Query / advise raised with claims team in regards to DE07 "damage to Contractor's works" 
09 May 26: Claims team responded that contractor will be responsible for any loss or damage to its Works as per Clause 17.2.3 unless otherwise it is able to succesfully demonstrate that it had adequately protected its Works, where an EOT may be considered without Cost</t>
      </text>
    </comment>
    <comment ref="BR154" authorId="82" shapeId="0" xr:uid="{D75C3C7F-4A1E-40EB-93DC-F8F6B6920CF4}">
      <text>
        <t>[Threaded comment]
Your version of Excel allows you to read this threaded comment; however, any edits to it will get removed if the file is opened in a newer version of Excel. Learn more: https://go.microsoft.com/fwlink/?linkid=870924
Comment:
    21 Oct 25: Depa submitted EOT 2 via 1TB01003-003C09-DCC-LTR-0299 on 09 Oct 25, commercial &amp; planning  currently reviewing the submission
26 Oct 25: DEOT under preperation with Planning team, Comm to confirm the target date for the draft EAR submission for claims team's review
26 Oct 25: Comm to provide EAR on 09 Nov 2025, DEOT under process with Planning (DEOT targeted to finalise by 30 Oct 25)
02 Nov 25: Draft report sent to site planning team for review.
09 Nov 25: DEOT in WF, WF-017971. detailed report under review by commercial
17 Nov 25: Draft report with Design-Delivery for review (DE 06), Targeted to finalise by (TBC)
23 Nov 25: Draft being finalised by commercial for claims team's initial review
01 Dec 25: Draft being finalised by the Commercial for Claims Team review, currently with BK, targeted to submit for claims review by 02 Dec 2025
02 Dec 25: Draft EAR sent to claims for review
05 Dec 25: Draft EAR sent to Planning for TIA
08 Dec 25: TIA targeted to conclude by (TBC)
13 Dec 25: Draft EAR with Planning Team for Time Impact Assessment,
15 Dec 25: TIA targeted to conclude by 06 Jan 25
10 Jan 26: TIA under review by Planning Team., Shaju to update 
13 Jan 26: Targeted to finalise by 25 Jan 26
19 Jan 26: Targeted to finalise by 22 Jan 26
24 Jan 26: Under review by Planning Team.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<sst xmlns="http://schemas.openxmlformats.org/spreadsheetml/2006/main" count="2595" uniqueCount="1107">
  <si>
    <t>Overall Status</t>
  </si>
  <si>
    <t>Program_01</t>
  </si>
  <si>
    <t>Program_02</t>
  </si>
  <si>
    <t>Program_03</t>
  </si>
  <si>
    <t>Program_04</t>
  </si>
  <si>
    <t>Program_05</t>
  </si>
  <si>
    <t>Program_06</t>
  </si>
  <si>
    <t>Program_07</t>
  </si>
  <si>
    <t>Program_08</t>
  </si>
  <si>
    <t>Program_09</t>
  </si>
  <si>
    <t>Program_10</t>
  </si>
  <si>
    <t>Program_11</t>
  </si>
  <si>
    <t>Program_12</t>
  </si>
  <si>
    <t>Program_16</t>
  </si>
  <si>
    <t>Program_17</t>
  </si>
  <si>
    <t>Program_18</t>
  </si>
  <si>
    <t>Program_90</t>
  </si>
  <si>
    <t>Program_96</t>
  </si>
  <si>
    <t>Program_99</t>
  </si>
  <si>
    <t>Total</t>
  </si>
  <si>
    <t>Open</t>
  </si>
  <si>
    <t>Closed</t>
  </si>
  <si>
    <t>A</t>
  </si>
  <si>
    <r>
      <t xml:space="preserve">Claims Requiring Response Letter (within </t>
    </r>
    <r>
      <rPr>
        <b/>
        <sz val="12"/>
        <color rgb="FFFF0000"/>
        <rFont val="Calibri"/>
        <family val="2"/>
        <scheme val="minor"/>
      </rPr>
      <t>21 days</t>
    </r>
    <r>
      <rPr>
        <b/>
        <sz val="12"/>
        <color theme="1"/>
        <rFont val="Calibri"/>
        <family val="2"/>
        <scheme val="minor"/>
      </rPr>
      <t xml:space="preserve"> from Claim submission date)</t>
    </r>
  </si>
  <si>
    <t>From receipt of Claim</t>
  </si>
  <si>
    <t>A1</t>
  </si>
  <si>
    <t>1 to 7 days</t>
  </si>
  <si>
    <t>A2</t>
  </si>
  <si>
    <t>8 to 14 days</t>
  </si>
  <si>
    <t>A3</t>
  </si>
  <si>
    <t>15 to 21 days</t>
  </si>
  <si>
    <t>A4</t>
  </si>
  <si>
    <t>Exceeding 21 days</t>
  </si>
  <si>
    <t>B</t>
  </si>
  <si>
    <t>Pending Issuance of EoT or Cost Assessment Report</t>
  </si>
  <si>
    <t>Action With</t>
  </si>
  <si>
    <t>B1</t>
  </si>
  <si>
    <t>Contractor</t>
  </si>
  <si>
    <t>B2</t>
  </si>
  <si>
    <t>Engineer</t>
  </si>
  <si>
    <t>B3</t>
  </si>
  <si>
    <t>Awaiting conclusion of EoT</t>
  </si>
  <si>
    <t>B4</t>
  </si>
  <si>
    <t>Commercial Team</t>
  </si>
  <si>
    <t>B5</t>
  </si>
  <si>
    <t>Planning Team</t>
  </si>
  <si>
    <t>B6</t>
  </si>
  <si>
    <t>Claims Team</t>
  </si>
  <si>
    <t>B7</t>
  </si>
  <si>
    <t>Legal Team</t>
  </si>
  <si>
    <t>B8</t>
  </si>
  <si>
    <t>For Presentation to Management</t>
  </si>
  <si>
    <t>B9</t>
  </si>
  <si>
    <t>Assessment in WF</t>
  </si>
  <si>
    <t>C</t>
  </si>
  <si>
    <t xml:space="preserve">Pending Issuance of DVO/VO/CA </t>
  </si>
  <si>
    <t>C1</t>
  </si>
  <si>
    <t>C2</t>
  </si>
  <si>
    <t>C3</t>
  </si>
  <si>
    <t>Open Claims</t>
  </si>
  <si>
    <t>C5</t>
  </si>
  <si>
    <t>B + C + D</t>
  </si>
  <si>
    <t>C6</t>
  </si>
  <si>
    <t>C7</t>
  </si>
  <si>
    <t>DVO/VO in WF</t>
  </si>
  <si>
    <t>D</t>
  </si>
  <si>
    <t>Pending Full Closure of Claim (Assessment Report &amp; DVO/VO/CA Issued)</t>
  </si>
  <si>
    <t>D1</t>
  </si>
  <si>
    <t>D2</t>
  </si>
  <si>
    <t>D3</t>
  </si>
  <si>
    <t>D4</t>
  </si>
  <si>
    <t>D5</t>
  </si>
  <si>
    <t>E</t>
  </si>
  <si>
    <r>
      <t>Pending EoT Assessment Report (</t>
    </r>
    <r>
      <rPr>
        <b/>
        <sz val="12"/>
        <color rgb="FFFF0000"/>
        <rFont val="Calibri"/>
        <family val="2"/>
        <scheme val="minor"/>
      </rPr>
      <t>140 days</t>
    </r>
    <r>
      <rPr>
        <b/>
        <sz val="12"/>
        <color theme="1"/>
        <rFont val="Calibri"/>
        <family val="2"/>
        <scheme val="minor"/>
      </rPr>
      <t xml:space="preserve"> from Fully Detailed Claim submission date)</t>
    </r>
  </si>
  <si>
    <t>From receipt of Fully Detailed Claim</t>
  </si>
  <si>
    <t>E1</t>
  </si>
  <si>
    <t>With Contractor to submit FDC</t>
  </si>
  <si>
    <t>E2</t>
  </si>
  <si>
    <t>1 to 45 days</t>
  </si>
  <si>
    <t>E3</t>
  </si>
  <si>
    <t>46 to 90 days</t>
  </si>
  <si>
    <t>E4</t>
  </si>
  <si>
    <t>91 to 140 days</t>
  </si>
  <si>
    <t>E5</t>
  </si>
  <si>
    <t>exceeding 140 days</t>
  </si>
  <si>
    <t>F</t>
  </si>
  <si>
    <r>
      <t>Pending Assessment of Cost Claims (</t>
    </r>
    <r>
      <rPr>
        <b/>
        <sz val="12"/>
        <color rgb="FFFF0000"/>
        <rFont val="Calibri"/>
        <family val="2"/>
        <scheme val="minor"/>
      </rPr>
      <t>140 days</t>
    </r>
    <r>
      <rPr>
        <b/>
        <sz val="12"/>
        <color theme="1"/>
        <rFont val="Calibri"/>
        <family val="2"/>
        <scheme val="minor"/>
      </rPr>
      <t xml:space="preserve"> from Fully Detailed Claim submission date)</t>
    </r>
  </si>
  <si>
    <t>F1</t>
  </si>
  <si>
    <t>F2</t>
  </si>
  <si>
    <t>F3</t>
  </si>
  <si>
    <t>F4</t>
  </si>
  <si>
    <t>F5</t>
  </si>
  <si>
    <t>F6</t>
  </si>
  <si>
    <t>G</t>
  </si>
  <si>
    <r>
      <t>Claims Requiring DVO/VO/CA (</t>
    </r>
    <r>
      <rPr>
        <b/>
        <sz val="12"/>
        <color rgb="FFFF0000"/>
        <rFont val="Calibri"/>
        <family val="2"/>
        <scheme val="minor"/>
      </rPr>
      <t>90 days</t>
    </r>
    <r>
      <rPr>
        <b/>
        <sz val="12"/>
        <color theme="1"/>
        <rFont val="Calibri"/>
        <family val="2"/>
        <scheme val="minor"/>
      </rPr>
      <t xml:space="preserve"> from Cost Assessment or EoT Assessment Report issued date)</t>
    </r>
  </si>
  <si>
    <t>From issued date of Assessment Report</t>
  </si>
  <si>
    <t>1 to 30 days</t>
  </si>
  <si>
    <t>31 to 60 days</t>
  </si>
  <si>
    <t>61 to 90 days</t>
  </si>
  <si>
    <t>Exceeding 90 days</t>
  </si>
  <si>
    <t>Claims Tracker (Contractor's Claims)</t>
  </si>
  <si>
    <t>Pre-TIA Report (CM / Claims Team)</t>
  </si>
  <si>
    <t>TIA Assessment (Planning Team)</t>
  </si>
  <si>
    <t>RSG-CM-FRM-0018</t>
  </si>
  <si>
    <t>Pending Action with:</t>
  </si>
  <si>
    <t>- 1 to 25 days</t>
  </si>
  <si>
    <t>- 1 to 7 days</t>
  </si>
  <si>
    <t>- 26 to 50 days</t>
  </si>
  <si>
    <t>- 8 to 14 days</t>
  </si>
  <si>
    <t xml:space="preserve">Program No.: </t>
  </si>
  <si>
    <t>Programs 1 - 16</t>
  </si>
  <si>
    <t>- 51 to 70 days</t>
  </si>
  <si>
    <t>- 15 to 21 days</t>
  </si>
  <si>
    <t xml:space="preserve">Program Name: </t>
  </si>
  <si>
    <t>AMAALA</t>
  </si>
  <si>
    <t>- exceeding 70 days</t>
  </si>
  <si>
    <t>- exceeding 21 days</t>
  </si>
  <si>
    <t xml:space="preserve">Claims Tracker as of: </t>
  </si>
  <si>
    <t>Claim Initial Response Letter:</t>
  </si>
  <si>
    <t>Assessment Report:</t>
  </si>
  <si>
    <t>HLEAR Assessment Report:</t>
  </si>
  <si>
    <t>DVO/VO/CA:</t>
  </si>
  <si>
    <t>Finalization of Report (CM / Claims Team)</t>
  </si>
  <si>
    <t>- 1 to 45 days</t>
  </si>
  <si>
    <t>- 1 to 30 days</t>
  </si>
  <si>
    <t>- 1 to 3 days</t>
  </si>
  <si>
    <t>- 46 to 90 days</t>
  </si>
  <si>
    <t>- 31 to 60 days</t>
  </si>
  <si>
    <t>OPEN</t>
  </si>
  <si>
    <t>- 4 to 6 days</t>
  </si>
  <si>
    <t>- 91 to 140 days</t>
  </si>
  <si>
    <t>- 51 to 75 days</t>
  </si>
  <si>
    <t>- 61 to 90 days</t>
  </si>
  <si>
    <t>Cost claim awaiting conclusion of EoT</t>
  </si>
  <si>
    <t>- 7 to 10 days</t>
  </si>
  <si>
    <t>- exceeding 140 days</t>
  </si>
  <si>
    <t>- exceeding 75 days</t>
  </si>
  <si>
    <t>- exceeding 90 days</t>
  </si>
  <si>
    <t>Notice of Dissatisfaction</t>
  </si>
  <si>
    <t>CLOSED</t>
  </si>
  <si>
    <t>- exceeding 10 days</t>
  </si>
  <si>
    <t>Notice of Dispute</t>
  </si>
  <si>
    <t>CM / Claims Team</t>
  </si>
  <si>
    <t>Details</t>
  </si>
  <si>
    <t>Claim Type</t>
  </si>
  <si>
    <t>Claim Submitted by the Contractor</t>
  </si>
  <si>
    <t>21 calendar days from Date of First Submission</t>
  </si>
  <si>
    <t>Period of Consultation with Contractor re particulars, etc. (Period Varies)</t>
  </si>
  <si>
    <t>Employer's Assessment (should be 30 calendar days from Date of Fully Detailed Claim)</t>
  </si>
  <si>
    <t>Clause 3.5</t>
  </si>
  <si>
    <t>DVO/VO /Contract Amendment</t>
  </si>
  <si>
    <t>Rejected on
Merit or 
Revise &amp; Resubmit</t>
  </si>
  <si>
    <t>Notice of Dissatisfaction
Yes or No</t>
  </si>
  <si>
    <t>Notice of Dispute
Yes or No</t>
  </si>
  <si>
    <t>Claim Status / Action / Remarks</t>
  </si>
  <si>
    <t>Open Claims as of</t>
  </si>
  <si>
    <t>Claims From</t>
  </si>
  <si>
    <t>Contractor Claim / RSG Assessment / DVO</t>
  </si>
  <si>
    <t>Claims Intermediate KPIs</t>
  </si>
  <si>
    <t>140 Days KPI (EOT or Cost Assessment Report Issued to Contractor)</t>
  </si>
  <si>
    <t>90 Days KPI (DVO/VO/CA Issued to Contractor)</t>
  </si>
  <si>
    <t>Program</t>
  </si>
  <si>
    <t>Item</t>
  </si>
  <si>
    <t>Assessment Type</t>
  </si>
  <si>
    <t>Contract No.</t>
  </si>
  <si>
    <t>Asset Code</t>
  </si>
  <si>
    <t>Project Name</t>
  </si>
  <si>
    <t>Scope</t>
  </si>
  <si>
    <t>Contractor Name</t>
  </si>
  <si>
    <t>EOT</t>
  </si>
  <si>
    <t>Prolongation</t>
  </si>
  <si>
    <t>Disruption</t>
  </si>
  <si>
    <t>Acceleration</t>
  </si>
  <si>
    <t>NOD</t>
  </si>
  <si>
    <t>Other Claims</t>
  </si>
  <si>
    <t>Claim Title</t>
  </si>
  <si>
    <t>Contractor's Claim 
(Reference)</t>
  </si>
  <si>
    <t>Contractor's Claim Submission 
(Date)</t>
  </si>
  <si>
    <t>RSG Initial Response (Reference)</t>
  </si>
  <si>
    <t>RSG Initial Response
(Date)</t>
  </si>
  <si>
    <t>Period between Contractor's Submission &amp; Engineer / Employer's Initial Response</t>
  </si>
  <si>
    <t>Last Action Date / Type of Discussion 
[letters, workshops, emails, meetings, etc.]</t>
  </si>
  <si>
    <t>Fully Detailed Claim (FDC) Submitted by Contractor 
(Reference)</t>
  </si>
  <si>
    <t>Contractor's FDC Submission
(Date)</t>
  </si>
  <si>
    <t>Employer's FDC Response /
Assessment Report
(Reference)</t>
  </si>
  <si>
    <t>Employer's FDC Response
(Date)</t>
  </si>
  <si>
    <t>Agree 
(Reference)</t>
  </si>
  <si>
    <t>Agree 
(Date)</t>
  </si>
  <si>
    <t>Determination
(Reference)</t>
  </si>
  <si>
    <t>Determination
(Date)</t>
  </si>
  <si>
    <t>DVO/VO/CA
(Reference)</t>
  </si>
  <si>
    <t>DVO/VO/CA
(Date)</t>
  </si>
  <si>
    <t>Discretionary EOT</t>
  </si>
  <si>
    <t>Status 1</t>
  </si>
  <si>
    <t>Status 2</t>
  </si>
  <si>
    <t>Action</t>
  </si>
  <si>
    <t>Remarks</t>
  </si>
  <si>
    <t>RSG Assessment Report
(Date)</t>
  </si>
  <si>
    <t>DVO/VO/ CA
(Date)</t>
  </si>
  <si>
    <t xml:space="preserve">EAR / HLEAR Start Date </t>
  </si>
  <si>
    <t>EAR / HLEAR Pre-TIA (No. of Days and Date)</t>
  </si>
  <si>
    <t>EAR / HLEAR TIA Assessment
(No. of Days and Date)</t>
  </si>
  <si>
    <t>EAR / HLEAR / COST EAR Finalization
(No. of Days and Date)</t>
  </si>
  <si>
    <t>KPI Report Closure Month
(MM-YY)</t>
  </si>
  <si>
    <t>Discretionary EOT Closure Month 
(MM-YY)</t>
  </si>
  <si>
    <t>140 days from Contractor's Claim FDC submission to DEOT issued</t>
  </si>
  <si>
    <t>Days from Contractor's Claim FDC submission</t>
  </si>
  <si>
    <t>Days taken for Final Claims Closed</t>
  </si>
  <si>
    <t>Total Claims Closed</t>
  </si>
  <si>
    <t>Days taken for Final Claims Under Process &gt; 140 days</t>
  </si>
  <si>
    <t>90 days from Assessment Report</t>
  </si>
  <si>
    <t>Days taken for Final Claims Under Process &gt; 90 days</t>
  </si>
  <si>
    <t>Total Claims Under Process &gt; 90 days</t>
  </si>
  <si>
    <t>Report Issued?</t>
  </si>
  <si>
    <t>DVO/VO/CA Issued?</t>
  </si>
  <si>
    <t>Date of Entry in the Tracker</t>
  </si>
  <si>
    <t>Cost Claimd by the Contractor</t>
  </si>
  <si>
    <t>AMAALA Assessment</t>
  </si>
  <si>
    <t>Status A</t>
  </si>
  <si>
    <t>PROGRAM 01</t>
  </si>
  <si>
    <t>Assessment Report Issued</t>
  </si>
  <si>
    <t>Dealt Separately</t>
  </si>
  <si>
    <t>AMA-CM-FRM-0018 Amended</t>
  </si>
  <si>
    <t>Note: This template Claims Tracker is based upon the requirements of RSG template Long Form Contract. RSG Contracts Manager to adjust this Claims Tracker as necessary to comply with the terms and conditions of the Contract it relates to.</t>
  </si>
  <si>
    <t>Program No.:</t>
  </si>
  <si>
    <t>Program 01</t>
  </si>
  <si>
    <t>Program Name:</t>
  </si>
  <si>
    <t>Claims Tracker as of:</t>
  </si>
  <si>
    <t>Commercial Lead:</t>
  </si>
  <si>
    <t>Mike Hansen</t>
  </si>
  <si>
    <t>Claims Summary</t>
  </si>
  <si>
    <t>Contract</t>
  </si>
  <si>
    <t>Type of Claim</t>
  </si>
  <si>
    <t>Notice Requirements</t>
  </si>
  <si>
    <t>Detailed Claim with Supporting Particulars</t>
  </si>
  <si>
    <t xml:space="preserve">EOT: (i) Contractor's Claim (ii) Engineer's Recommendation (iii) Employer's Assessment for Consultation / Agreement (iv) Employer's Determination </t>
  </si>
  <si>
    <t xml:space="preserve">Cost: (i) Contractor's Claim (ii) Engineer's Recommendation (iii) Employer's Assessment for Consultation / Agreement (iv) Employer's Determination </t>
  </si>
  <si>
    <t>Comments</t>
  </si>
  <si>
    <t>(i) (ii) Claim Status (iii) Action (iv) Internal Remarks</t>
  </si>
  <si>
    <t>(i) Rejection (ii) Notices</t>
  </si>
  <si>
    <t>(i) KPI</t>
  </si>
  <si>
    <t>(i) Project Summary</t>
  </si>
  <si>
    <t>Claim No.</t>
  </si>
  <si>
    <t>Description of Claim</t>
  </si>
  <si>
    <t>Contractor / Consultant Name</t>
  </si>
  <si>
    <t>EoT</t>
  </si>
  <si>
    <t>Date on which Contractor became aware of event</t>
  </si>
  <si>
    <t xml:space="preserve">Contractor's Notification of Claim
[Note, this may just be a notification without a detailed claim and supporting particulars. But Contractor may use this as an opportunity to also provide a detailed claim and supporting particulars with his notice.] </t>
  </si>
  <si>
    <t>Period between Contractor becoming aware of event and providing a notice</t>
  </si>
  <si>
    <r>
      <t xml:space="preserve">Does period comply with the Contract?
[i.e. within 20 </t>
    </r>
    <r>
      <rPr>
        <u/>
        <sz val="12"/>
        <color theme="0"/>
        <rFont val="Amaala Sans"/>
      </rPr>
      <t>Business</t>
    </r>
    <r>
      <rPr>
        <sz val="12"/>
        <color theme="0"/>
        <rFont val="Amaala Sans"/>
      </rPr>
      <t xml:space="preserve"> Days]</t>
    </r>
  </si>
  <si>
    <r>
      <t xml:space="preserve">Engineer / Employer's response to Contractor's Notice
[If detailed claim and supporting particulars </t>
    </r>
    <r>
      <rPr>
        <u/>
        <sz val="12"/>
        <color theme="0"/>
        <rFont val="Amaala Sans"/>
      </rPr>
      <t>have not</t>
    </r>
    <r>
      <rPr>
        <sz val="12"/>
        <color theme="0"/>
        <rFont val="Amaala Sans"/>
      </rPr>
      <t xml:space="preserve"> been provided along with the notice then no time limit for response. However good practice would be to respond with an acknowledgment within 10 Days and remind the Contractor of its obligation to submit a detailed claim. If detailed claim and supporting particulars </t>
    </r>
    <r>
      <rPr>
        <u/>
        <sz val="12"/>
        <color theme="0"/>
        <rFont val="Amaala Sans"/>
      </rPr>
      <t>have</t>
    </r>
    <r>
      <rPr>
        <sz val="12"/>
        <color theme="0"/>
        <rFont val="Amaala Sans"/>
      </rPr>
      <t xml:space="preserve"> been provided along with the notice then Engineer / Employer </t>
    </r>
    <r>
      <rPr>
        <u/>
        <sz val="12"/>
        <color theme="0"/>
        <rFont val="Amaala Sans"/>
      </rPr>
      <t>shall</t>
    </r>
    <r>
      <rPr>
        <sz val="12"/>
        <color theme="0"/>
        <rFont val="Amaala Sans"/>
      </rPr>
      <t xml:space="preserve"> respond within 30 Days (note, not Business Days)]</t>
    </r>
  </si>
  <si>
    <t>Detailed claim with supporting particulars provided by Contractor
[Note: Whilst there is no requirement to do so, the Contractor may have provided this along with the Notice]</t>
  </si>
  <si>
    <t>Period between Contractor becoming aware of event and providing a detailed claim with supporting particulars</t>
  </si>
  <si>
    <t>Does period comply with the Contract? 
[i.e. within 30 Business Days of Contractor becoming aware of event]</t>
  </si>
  <si>
    <t>Engineer / Employer's Detailed Comments to Contractor
[This should be within 21 Days (note, not Business Days) of Contractor's Claim]</t>
  </si>
  <si>
    <t>High Level EAR RFA (claims where there is pre-approved RFA from the management, authorizing to proceed with a HLEAR assessment)</t>
  </si>
  <si>
    <t>Resubmission / Further Particulars Provided by Contractor
[There may be more than one resubmission]
[Fill in the original submission if there is no resubmission made or TBA if expecting a Resubmission]</t>
  </si>
  <si>
    <t>Contractor's Claim (Days)</t>
  </si>
  <si>
    <t>Engineer's Recommendation (Days)</t>
  </si>
  <si>
    <t>Employer's Assessment for Consultation / Agreement</t>
  </si>
  <si>
    <t>Determination (or by Agreement) (Days)</t>
  </si>
  <si>
    <t>Contractor's Claim (SAR)</t>
  </si>
  <si>
    <t>Engineer's Recommendation (SAR)</t>
  </si>
  <si>
    <t>Employer's Assessment for Consultation / Agreement (SAR)</t>
  </si>
  <si>
    <t>Employer's Determination (or by Agreement) (SAR)</t>
  </si>
  <si>
    <t>Last Action Date / Type of Discussion 
between Employer, Engineer &amp; Contractor
[e.g. letters, workshops, emails, meetings, etc.]</t>
  </si>
  <si>
    <t>EAR / HLEAR Start Date (Trigger Date i.e. Fully Detailed Claim, Receipt of Further Particulars, Workshops, etc)</t>
  </si>
  <si>
    <t>EAR / HLEAR Date for the Draft Report Merit &amp; Chronology (Pre-TIA)</t>
  </si>
  <si>
    <t>EAR / HLEAR Date for the TIA Assessment</t>
  </si>
  <si>
    <t>EAR / HLEAR / COST EAR Date for the Finalization</t>
  </si>
  <si>
    <t>Assessment Report</t>
  </si>
  <si>
    <t>EI (Time) / 
DVO (Cost)</t>
  </si>
  <si>
    <t>Action with</t>
  </si>
  <si>
    <t>Remark</t>
  </si>
  <si>
    <t>Rejected on
Merit or
 Revise &amp; Resubmit</t>
  </si>
  <si>
    <t>Assessment Report Closure Month
(MM-YY)</t>
  </si>
  <si>
    <t>Discretionary EOT Closure Month (MM-YY)</t>
  </si>
  <si>
    <t>DVO Closure Month
(MM-YY)</t>
  </si>
  <si>
    <t>Project Start Date</t>
  </si>
  <si>
    <t>Project Completion Date</t>
  </si>
  <si>
    <t>Revised Completion Date</t>
  </si>
  <si>
    <t>Entry Date of Late Claims in the Tracker</t>
  </si>
  <si>
    <t>(A) Date</t>
  </si>
  <si>
    <t>Letter Reference</t>
  </si>
  <si>
    <t>(B) Date of Receipt by RSG</t>
  </si>
  <si>
    <r>
      <t xml:space="preserve">(B-A) In </t>
    </r>
    <r>
      <rPr>
        <u/>
        <sz val="9"/>
        <color theme="1"/>
        <rFont val="Amaala Sans"/>
      </rPr>
      <t>Business</t>
    </r>
    <r>
      <rPr>
        <sz val="9"/>
        <color theme="1"/>
        <rFont val="Amaala Sans"/>
      </rPr>
      <t xml:space="preserve"> Days</t>
    </r>
  </si>
  <si>
    <t>Yes/No</t>
  </si>
  <si>
    <t>Date Issued</t>
  </si>
  <si>
    <t>(C) Date of Receipt by RSG</t>
  </si>
  <si>
    <r>
      <t xml:space="preserve">(C-A) in </t>
    </r>
    <r>
      <rPr>
        <u/>
        <sz val="9"/>
        <color theme="1"/>
        <rFont val="Amaala Sans"/>
      </rPr>
      <t>Business</t>
    </r>
    <r>
      <rPr>
        <sz val="9"/>
        <color theme="1"/>
        <rFont val="Amaala Sans"/>
      </rPr>
      <t xml:space="preserve"> Days</t>
    </r>
  </si>
  <si>
    <t>RFA Reference</t>
  </si>
  <si>
    <t>Date Approved</t>
  </si>
  <si>
    <t>Date of Receipt by RSG</t>
  </si>
  <si>
    <t>EOT Days</t>
  </si>
  <si>
    <t>Compensable Days (Costs)</t>
  </si>
  <si>
    <t>Letter / VO Reference</t>
  </si>
  <si>
    <t>SAR</t>
  </si>
  <si>
    <t>No. of Days</t>
  </si>
  <si>
    <t>Date Completed</t>
  </si>
  <si>
    <t>FULL TIA EAR</t>
  </si>
  <si>
    <t>NSCC Consolidated Claim - All Plots (Time)</t>
  </si>
  <si>
    <t>1TB01003C14</t>
  </si>
  <si>
    <t>TB04400-005C13-NSC-LTR-0326</t>
  </si>
  <si>
    <t>YES</t>
  </si>
  <si>
    <t>Not responded</t>
  </si>
  <si>
    <t>N/A</t>
  </si>
  <si>
    <t>1TB04400-005C13-NSC-LTR-0395</t>
  </si>
  <si>
    <t>TB04400-031D03-WSP-LTR-0138</t>
  </si>
  <si>
    <t>Determination Issued</t>
  </si>
  <si>
    <t>Assessment and determination issued on 13 Nov 23.</t>
  </si>
  <si>
    <t>COST EAR</t>
  </si>
  <si>
    <t>NSCC Consolidated Claim - All Plots (Cost)</t>
  </si>
  <si>
    <t>1TB04400-005C13-NSC-LTR-0326</t>
  </si>
  <si>
    <t>1TB04400-005C13-NSC-LTR-0395 dated 11 Nov 23
1TB04400-005C13-NSC-LTR-0401 dated 26 Feb 24
1TB04400-005C13-NSC-LTR-0403 04 Jul 24
RFA Signoff</t>
  </si>
  <si>
    <t xml:space="preserve">1TB04400-400000-AMA-LTR-0056 </t>
  </si>
  <si>
    <t>1TB04400-400000-AMA-DVO-CM-0002 - DVO 013</t>
  </si>
  <si>
    <t xml:space="preserve">1TB04400-005C13-NSC-LTR-0326 dated 29 Apr 23
1TB04400-005C13-NSC-LTR-0386 dated 09 Oct 23
1TB04400-005C13-NSC-LTR-0393 dated 28 Oct 23
1TB04400-005C13-NSC-LTR-0395 dated 01 Nov 23
1TB04400-005C13-NSC-LTR-0400 dated 20 Feb 24
1TB04400-400000-WSP-LTR-0002 dated 26 Feb 24 requesting HO overhead particulars.
1TB04400-005C13-NSC-LTR-0401 dated 26 Feb 24 submission of requested documents.
1TB04400-005C13-NSC-LTR-0403 dated 04 Jul 24
</t>
  </si>
  <si>
    <t>DVO Issued</t>
  </si>
  <si>
    <r>
      <t xml:space="preserve">29 Jul 24: Commercial leads and senior managment meeting with NSCC to close out final account
12 August 2024 : Final Account Settlment RFA currently in progress, once approved the commercial claims report will be updated to make reference to the approved RFA and submitted for approval. 
26 Aug 24: No update available (Blake on Leave)
8 Sep 2024 -  Commercial report is currently in WF for approval reflecting the approved RFA final settlement amount RFA 1TB04400-400000-AMA-RFA-CM-0004 dated 5 Aug 24
24 Sep 24: Assessment report in WF-004674
07 Oct 24: Assessment report approved by GCEO. However, it will not be issued to the contractor. as the EoT Costs contained within, form part of the previously agreed and GCEO signed off final account settlement of SAR 108,561,603. a DVO for the Final account settlemetent under preperation.
commercial to prepare teh cover letter &amp; issue it to the contractor ASAP
13 Oct 24: Report issued to NSCC via letter ref 1TB04400-400000-AMA-LTR-0056
14 Oct 24: NSCC issued the acceptance letter, Commercial to issue the final account DVO
09 Oct 24: DVO issued to contractor.
10 Oct 24: DVO signed by the contractor
</t>
    </r>
    <r>
      <rPr>
        <b/>
        <sz val="12"/>
        <rFont val="Amaala Sans"/>
      </rPr>
      <t xml:space="preserve">NOTE: RFA for Final Account Settlment Signed off and therefore this item is now considered closed </t>
    </r>
  </si>
  <si>
    <r>
      <t xml:space="preserve">Consolidated Claim - </t>
    </r>
    <r>
      <rPr>
        <b/>
        <sz val="12"/>
        <rFont val="Amaala Sans"/>
      </rPr>
      <t xml:space="preserve">EOT </t>
    </r>
    <r>
      <rPr>
        <sz val="12"/>
        <rFont val="Amaala Sans"/>
      </rPr>
      <t>(Delay in IFC's)</t>
    </r>
  </si>
  <si>
    <t>1TB01002C01</t>
  </si>
  <si>
    <t>1TB04004-004C03-SIC-LTR-0006</t>
  </si>
  <si>
    <t>1TB04004-004C03-SAP-LTR-0010</t>
  </si>
  <si>
    <t>1TB04004-004C03-SIC-LTR-0018</t>
  </si>
  <si>
    <t>NO</t>
  </si>
  <si>
    <t>1TB04004-004C03-SAP-LTR-0027</t>
  </si>
  <si>
    <t>1TB04004-004C03-SIC-LTR-0043 dated 03-Sep-2022
1TB04004-004C03-SIC-LTR-0103</t>
  </si>
  <si>
    <t>1TB04004-004D01-SAP-LTR-0052</t>
  </si>
  <si>
    <t>1TB04004-004C03-AMA-LTR-0007</t>
  </si>
  <si>
    <t>AMA04004-GENCORR-000738
1TB04004-004C03-AMA-DVO-CM-0004[C0]-MLH - EOT No.6 for GI Works (Time only)</t>
  </si>
  <si>
    <t>WF-016414  Name: TB Wide - Ground Improvement Works - SIC - Marina Lifestyle Hotel - Employer's Assessment Report - EOT 06 (1TB04004-004C03-AMA-RPT-CM-0005)
09 May 24: Contractor accepted the Employer's EOT  assessment report via letter ref  1TB04004-004CO3-SIC-LTR-113</t>
  </si>
  <si>
    <t>22 Apr 24: WF currently with Fahad for approval
25 Apr 24: Assessment report issued to the contractor. awaiting acceptance on the same
06 May 24: ditto
09 May 24: Contractor accepted the Employer's EOT  assessment report via letter ref  1TB04004-004CO3-SIC-LTR-113. Commercial to prepare VO/DVO following to PVO approval
07 Jul 24: VO under preperation, targeted to finalize it by today
15-July-24 PVO/VO drafted, targeted to put in WF today
29 Jul 24: PVO/ VO in  WF (WF-016540)
10 Aug 24: Still in WF
25 Aug 24: WF approved by CEO on 25th Aug. targeteded to issue it EOD
27 Aug 24: VO issued to contractor
28 Aug 24: VO signed by contractor and sent back to commercial. Commercial to prepare DVO
08 Sep 2024  DVO put in the workflow on 05 Sep 24, WF-016564 Early Works
10 Sep 24: DVO issued to contractor via mail ref AMA04004-GENCORR-000738. contractor to return signed copy</t>
  </si>
  <si>
    <r>
      <t xml:space="preserve">Consolidated Claim - </t>
    </r>
    <r>
      <rPr>
        <b/>
        <sz val="12"/>
        <rFont val="Amaala Sans"/>
      </rPr>
      <t>Prolongation Costs</t>
    </r>
    <r>
      <rPr>
        <sz val="12"/>
        <rFont val="Amaala Sans"/>
      </rPr>
      <t xml:space="preserve"> (Delay in IFC's)</t>
    </r>
  </si>
  <si>
    <t>1TB04004-004C03-SIC-LTR-0043 dated 03-Sep-2022
1TB04004-004C03-SIC-LTR-0103 dated 04 Jul 23
1TB04004-004CO3-SIC-LTR-113 09 May 24
further particulars received via email on 15 Jul 24</t>
  </si>
  <si>
    <t>1TB04004-004C03-AMA-RPT-CM-0006
1TB04004-004C03-AMA-LTR-0009</t>
  </si>
  <si>
    <t>AMA04004-DVOR-000001 issued on 22 Sep 24</t>
  </si>
  <si>
    <t>1TB04004-004C03-AMA-LTR-0007 dated 25 Apr 24
11TB04004-004CO3-SIC-LTR-113 dated 09 May 24
AMA04004-VAR-OR-000002 issued on 22 Sep 24
AMA04004-DVOR-000001 issued on 22 Sep 24</t>
  </si>
  <si>
    <t>28 May 24: PG advised commercial to provide brief narrative on each of the heads of claims for costs
2-June-24 -The cost assessment report was issued to PG for review. Report was sent back to commercial with comments.
7-Jul-24:Invoices received from SIC and is updating their report to reflect Paul G's comments. targeted to finalize the report and to send it by COB tomorrow for PG's review.
14-July-24 Cost Assessmnet targeted to be sent to Paul G by EOD
27 Jul 24: Sent to claim team for review.
29 Jul 24: report under review with claims
10 Aug 24: WC &amp; PII cost to be reevaluated as per claims comments. contractor provided the additional insurance details on 15 Jul 24 via email
20 Aug 24: Assessment report put in WF (WF-016555) on 19 Aug 24
26 Aug 24: Still in WF
02 Sep 24: WF approved by GCEO, to be issued to the contractor EoD
08 Sep 24: Cost Assessment issued to Contractor for acceptance, after which VO / DVO shall be processed.
09 Sep 24: Contractor aknowledged the assessment report. commercial to prepare PVO/VO &amp; DVO. targeted to put in WF
10 Sep 24: PVO / VO &amp; DVO put in WF (WF-016566)
24 Sep 24: VO &amp; DVO issued to contractor on 22 Sep 24</t>
  </si>
  <si>
    <t>Consolidated Claim - EOT Claim (Delay in IFC's, Delays in Allocating Mobilization Area, Delay in Site Hand-over)</t>
  </si>
  <si>
    <t>1TB01006C03</t>
  </si>
  <si>
    <t>1TB01006-006C03-M00-LTR-0021</t>
  </si>
  <si>
    <t>1TB01006-006C03-AMA-LTR-0031</t>
  </si>
  <si>
    <t>1TB01006-006C03-MOO-LTR-0024
dated 20-Jul-23
Update of Interim EOT No. 01
1TB01006-006C03-MOO-LTR-0030
MOO01006-CLM-000001</t>
  </si>
  <si>
    <t>1TB01006-006C03-AMA-LTR-0054</t>
  </si>
  <si>
    <t>1TB01006-006C03-AMA-LTR-0088</t>
  </si>
  <si>
    <t>Determination was issued to Contractor on 14 Nov 2023</t>
  </si>
  <si>
    <t>Closed.</t>
  </si>
  <si>
    <t>Yes</t>
  </si>
  <si>
    <t>Notice of Disatisfaction - Secant Piling (Temporary Works)</t>
  </si>
  <si>
    <t>1TB01005C02</t>
  </si>
  <si>
    <t>1TB01005-005C02-SAB-LTR-0044</t>
  </si>
  <si>
    <t/>
  </si>
  <si>
    <t>1TB01005-005C02-AMA-LTR-0069 dated 7 Dec 23</t>
  </si>
  <si>
    <t>Rejected</t>
  </si>
  <si>
    <t>Canceled</t>
  </si>
  <si>
    <r>
      <rPr>
        <b/>
        <sz val="12"/>
        <rFont val="Amaala Sans"/>
      </rPr>
      <t>Note: this submission cannot be considered as a formal notice of disatifaction for the engineer's determination and hence considered cancelled / rejected</t>
    </r>
    <r>
      <rPr>
        <sz val="12"/>
        <rFont val="Amaala Sans"/>
      </rPr>
      <t xml:space="preserve">
Notice of Disatisfaction to RSG's determination.
14-Jan-24: Contractor claimed additional costs related to breaking of secant piling - this was rejected by the employer refer to letter 1TB01005-005C02-AMA-LTR-0069
15-Jan-24: Commercial team shared the Notice and other documents related to Claims  and Legal Team.
29-Jan-24: Ongoing action for re-assessment. RFC is currently being prepared.
12-Feb-24 - Ditto
26-Feb-24: Ditto
10-Mar-24 - RFC approved, proceeding to PVO
19-Mar-24: PVO rejected by Senior Project Director (Revise and Resubmit status). 
27-Mar-24: Commercial team to formally inform the contractor regardrding the rejection.
05-May-24: As per the Senior Project Director (RSMLI), the variation claim for temporary openings has been rejected. Hence, the associated claim should be rejected, and an official response will be issued.</t>
    </r>
  </si>
  <si>
    <t>Merit</t>
  </si>
  <si>
    <t>Notice of Disatisfaction - Engineer's Instruction No. 5, 7, 9 &amp; 10 (EOT)</t>
  </si>
  <si>
    <t>1TB01031C02</t>
  </si>
  <si>
    <t>1TB01031-031C02-ALS-LTR-0231</t>
  </si>
  <si>
    <t>1TB01031-031D03-WSP-LTR-0301</t>
  </si>
  <si>
    <t>ALS01031-GENCORR-000412 dated 6 Jul 24
ALS01031-GENCORR-000416 29 Jul 24
ALS01031-GENCORR-000417</t>
  </si>
  <si>
    <t>WSP-LTR-000021 dated 1 Dec 21
SGC-LTR-000015 dated 25 Nov 21
ALS01031-GENCORR-000346  dated 04 Dec 2023
AMA01031-GENCORR-000747 dated 12 Oct 23
ALS01031-GENCORR-000355 dated 19 Dec 23
AMA01031-GENCORR-000772 dated 19 Dec 23
ALS01031-GENCORR-000372 dated 19 Feb 24
AMA01031-GENCORR-000818 dated 22 Feb 24
ALS01031-GENCORR-000412 dated 6 Jul 24
ALS01031-GENCORR-000416 dated 29 Jul 24
ALS01031-GENCORR-000417 dated 30 Jul 24</t>
  </si>
  <si>
    <t>Not Applicable</t>
  </si>
  <si>
    <r>
      <t xml:space="preserve">19-Mar-24 - The initial assessment was informally issued to Alsaad, and we are awaiting its comments. We also request further information/supporting documents from Alsaad.
22 Apr 24: a meeting was held on 21 Apr 24, contractor scheduled a meeting with planning to dicuss the window analysis. a letter was issued to the contractor to extend the contract for 2 months without cost through a VO.
06 May 24: action with contractor
03 Jun 24: Ditto
24 Jun 24: Ditto, awaiting response from contractor
15 Jul 24: Ditto, in the meantime Commercial to send a reminder to the contractor
29 Jul 24: Ditto
</t>
    </r>
    <r>
      <rPr>
        <strike/>
        <sz val="12"/>
        <rFont val="Amaala Sans"/>
      </rPr>
      <t>30 Jul 24: Contractor submitted a consolidated claim that includes  fixed jetties VO (item 31 below) for the 80 days along with the updated program of work.</t>
    </r>
    <r>
      <rPr>
        <sz val="12"/>
        <rFont val="Amaala Sans"/>
      </rPr>
      <t xml:space="preserve">
DVO for EOT - 1 has been issued for 324 days  </t>
    </r>
  </si>
  <si>
    <t>EOT 1  Prolongation
Engineer's Instruction No. 5, 7, 9 &amp; 10</t>
  </si>
  <si>
    <r>
      <t xml:space="preserve">ALS01031-GENCORR-000412 dated 6 Jul 24
ALS01031-GENCORR-000416 29 Jul 24
ALS01031-GENCORR-000417 30 Jul 24
</t>
    </r>
    <r>
      <rPr>
        <b/>
        <sz val="12"/>
        <color rgb="FFFF0000"/>
        <rFont val="Amaala Sans"/>
      </rPr>
      <t>ALS01031-GENCORR-000419 08 Aug 24</t>
    </r>
    <r>
      <rPr>
        <sz val="12"/>
        <color theme="1"/>
        <rFont val="Amaala Sans"/>
      </rPr>
      <t xml:space="preserve">
ALS01031-GENCORR-000430 on 18 Nov 24
1TB01031-031C02-ALS-LTR-0311 </t>
    </r>
  </si>
  <si>
    <t>Awaiting ContractorCommercial Submission</t>
  </si>
  <si>
    <t>WSP-LTR-000021 dated 1 Dec 21
SGC-LTR-000015 dated 25 Nov 21
ALS01031-GENCORR-000346  dated 04 Dec 2023
AMA01031-GENCORR-000747 dated 12 Oct 23
ALS01031-GENCORR-000355 dated 19 Dec 23
AMA01031-GENCORR-000772 dated 19 Dec 23
ALS01031-GENCORR-000372 dated 19 Feb 24
AMA01031-GENCORR-000818 dated 22 Feb 24
1TB01031-031C02-AMA-LTR-0028 dated 20 Oct 24
ALS01031-GENCORR-000430 dated 18 Nov 24 (confirmation of  contractor's agreement to the determination of One Hundred three (103) days Extension to the Time for Completion of the Works with “Zero” Cost Impact on final Contract Value received for “EOT-02" via Aconex ref. 1TB01031-031C02-AMA-LTR-0028 dated October 20, 2024)
 1TB01031-031C02-AMA-LTR-0043 dated O8 May 2025</t>
  </si>
  <si>
    <r>
      <t xml:space="preserve">14 Jul 25: The Contractor responded via 1TB01031-031C02-ALS-LTR-0311 on 13 Jul  by rejecting the Employer’s ten-day deadline, asserting that all required substantiations were already submitted and discussed in prior meetings, contractor further requests a final meeting to resolve the matter, and seeks release of the undisputed SAR 7.29 million.
24-July-25: Al Saad has accepted the Employer's Assessment of SAR 7.29M in the meeting held with ED commercial on 24th July 2025. Formal acceptance is awaited from Al Saad.
27 Jul 25: Ditto
10 Aug 25: RSG Commercial is in the process of EOT Cost report and Determination will follow after report approval 
25 Aug 25: EOT Cost Report sent to Claims Team on 24 August 2025
26 Aug 25: Commercial to arrange a meeting to discuss what costs we allow and the substantiation we require
04 Sep 25: revised concurrency analysis for Alsaad from the site planning team sent to Forensic planning  for review
08 Sep 25: meeting scheduled for 08 Sep 25 btw claims &amp; commercial to discuss &amp; finalise, action still with planning to review the 22 days. Targeted to revert by 11 Sep 25
15 Sep 25: Targeted to conclude the final review by 16 Sep 25
29 Sep 25: Planning to confirm by end of the day
02 Oct 25: Forensic Planning finalised the re-assessment of the 22 days concurrent delay and concluded to a reduction of 21 days. Draft report sent to commercial for finalisation 
04 OCT 25:Further clarifications from the Claim team regarding the prolongation cost assessment from Nigel have been addressed, and the final response is awaited.
06 Oct 25: email sent to commercial to provide further particulars and review the excel sheet 
08 Oct 25: Commercial responded with additional documents and clarifications
09 Oct 25: EOT cost summary excel sent back to commercial to review the ‘MIS’ tab for the months from April ’22 to Aug ’22 and Nov ’22
20 Oct 25: Request for Approval – Final Account Settlement for Al Saad General Cont put in WF-015055  
03 Nov 25: Fianl account issued to Al SAAD via 1TB01031-031C02-AMA-RFA-CM-0016, awaiting acceptance from contractor
17 Nov 25: Ditto
29 Nov 25: RFA has been approved to process the final payment via 1TB01031-031C02-AMA-RFA-CM-0016, awaiting approval of TOC to process FAS
01 Dec 25: This item considered closed as it is deemed to be closed by an RFA
</t>
    </r>
    <r>
      <rPr>
        <u/>
        <sz val="12"/>
        <rFont val="Amaala Sans"/>
      </rPr>
      <t xml:space="preserve">NOTE: it has been decided that an assessment report will no longer be prepared and instead will be processed as a RFA. </t>
    </r>
  </si>
  <si>
    <t xml:space="preserve">EOT Claim No. 3 - up to Nov 10, 2023 (Delay in Issuing IFC Drawings, Delay in Providing Benchmarks and coordination drawings with SANSRS Coordinates, Delay in providing access (site handover) - update of Item 5
</t>
  </si>
  <si>
    <t>1TB01006-006C03-MOO-LTR-0063</t>
  </si>
  <si>
    <t>1TB01006-006C03-AMA-LTR-0113</t>
  </si>
  <si>
    <t>1TB01006-006C03-MOO-LTR-0082 dated 28 Jan 24
1TB01006-006C03-MOO-LTR-0094 dated 05 Apr 24
1TB01006-006C03-MOO-LTR-0098 dated 14 Jun 24
1TB01006-006C03-MOO-LTR-0100 dated 25 Jul 24
1TB01006-006C03-MOO-LTR-0110 
dated 29Sep 24
1TB01006-006C03-MOO-LTR-0118</t>
  </si>
  <si>
    <t>1TB01006-006C03-AMA-LTR-0159</t>
  </si>
  <si>
    <r>
      <t xml:space="preserve">1TB01006-006C03-AMA-LTR-0120 dated 04 Feb 24 Rejected,Revise and Resubmit
Contractor submissted a revised claim with a new cut off date as EOT 4, however, the actual claim is still EOT 3
Contractor submitted  EOT 5 under letter 1TB01006-006C03-MOO-LTR-0098 dated 12 June 2024 which was rejects the claim in its entirety under Clause 20.1.7 as it does not comply with the requirements of Clause 20.1 (Contractor’s Claims), Clause 8.4 (Extension of Time) or Clause 8.5 (Time Impact Analysis). Consequently, the Contractor is required to resubmit its fully detailed claim within 20 Business Days of this letter.
10 Nov 24: Contractor issued a letter to follow up on Employer's review on the claim via letter 1TB01006-006C03-MOO-LTR-0113 on 07 Nov 24
</t>
    </r>
    <r>
      <rPr>
        <sz val="12"/>
        <color rgb="FFFF0000"/>
        <rFont val="Amaala Sans"/>
      </rPr>
      <t>1TB01006-006C03-AMA-LTR-0148 dated 29 Jan 25</t>
    </r>
    <r>
      <rPr>
        <sz val="12"/>
        <color theme="1"/>
        <rFont val="Amaala Sans"/>
      </rPr>
      <t xml:space="preserve">
1TB01006-006C03-MOO-LTR-0118 dated 20 Feb 25</t>
    </r>
  </si>
  <si>
    <t>EI Issued</t>
  </si>
  <si>
    <t xml:space="preserve">27 Oct 25: Shaju to follow up
02 Nov 25 - Planning responded to Notice of Disatisfaction, dissmissing the challnge with valid arguments,  letterin the WF-037710
04 Nov 25 - Response to Notice of Disatisfaction was issued Ref. 1TB01006-006C03-AMA-LTR-0164
17 Nov 25: Awaiting response from contractor
01 Dec 25: Ditto, commercial to issue a follow up letter, if a response is not received within 2 weeks, comm to determine
13 Dec 25 - Follow-up letter was sent (Ref. 1TB01006-006C03-AMA-LTR-0170). Contractor responded expressing disagreement (Ref.1TB01006-006C03-MOO-LTR-0141). Letter was sent to Planning to respond
06 Jan 26: Planning provided their input to be incorporated in the reponse
07 Jan 26: Draft response put in Workflow (WF-040043)
12 Jan 26: currently with Stuart P
14 Jan 26 - Resposne to Notice of Dissatisfcation sent on 14 Jan 26 (Ref. 1TB01006-006C03-AMA-LTR-0177)
27 Jan 26: awaiting response from contractor
09 Feb 26: Ditto, Commercial to issue a follow up letter to the contractor
23 Feb 26: follow up letter in WF-041504
08 March 26: Follow-up letter sent to Contractor Ref. 1TB01006-006C03-AMA-LTR-00179 
06 April 26: Ditto, awaiting contractor's response
20 April 2026: Awaiting Contractor's response
04 May 26: Commercial to check with delivery team regarding the DD and followwing to that comm to issue a follow up letter if required
14 May 26: Determination letter and EI drafted and to go into workflow (WF- 044034 for ED letter \ WF-044032 for EI).
18 May 26: Ditto
31 May 26: Determination letter and EI Issued : Ref. 1TB01006-006C03-AMA-LTR-0182 </t>
  </si>
  <si>
    <t>Notice of Dissatisfaction on Engineer's Determination - Works carried out by Binyah</t>
  </si>
  <si>
    <t>1TB01031-031C02-ALS-LTR-0283</t>
  </si>
  <si>
    <t>Initial response not required</t>
  </si>
  <si>
    <r>
      <t xml:space="preserve">1TB01031-031D03-WSP-EIN-CM-0021 dated10 Dec 23
1TB01031-031D03-WSP-LTR-0408 dated 10 Dec 23
DVO-028 -EI-035 Additional Resources to ALS.pdf
1TB01031-031D03-WSP-LTR-0410 dated 11 Dec 23
</t>
    </r>
    <r>
      <rPr>
        <b/>
        <sz val="12"/>
        <color theme="1"/>
        <rFont val="Amaala Sans"/>
      </rPr>
      <t>1TB01031-031C02-ALS-LTR-0282 dated 09 Jan 24</t>
    </r>
    <r>
      <rPr>
        <sz val="12"/>
        <color theme="1"/>
        <rFont val="Amaala Sans"/>
      </rPr>
      <t xml:space="preserve">
1TB01031-031D03-WSP-LTR-0429 dated 31 Jan 24
1TB01031-031D03-WSP-LTR-0437 dated 12 Feb 24
1TB01031-031D03-WSP-LTR-0423 dated 13 Jan 24
1TB01031-031C02-ALS-LTR-0283 dated 22 Jan 24</t>
    </r>
  </si>
  <si>
    <t>22 Dec 24: Ditto
13 Dec 24: Sasho had a discussion with the contractor to withdraw the letter. awaiting formal letter from contractor
27 Jan 25: this item to be moved to disputes tab
note: to be removed from the list
10 Mar 25: Ditto, with Sasho
24 Mar 25: Ditto
07 Apr 25: Ditto
09 Apr 25: No further comments required as its a potential dispute
22 Apr 25: Ditto
04 May 25: Ditto, BK to speak with NE on the week commencing on the 18th of may to close the claim
19 May 25: Ditto
01-June-25: Ditto,  FA in proccess. It is not expected that the Contractor will reopen this issue.
16 Jun 25: Ditto
30 Jun 25: Ditto, to be resolved with final account
14 July 25: Ditto
24 July 25: Drafting FA aggrement at the moment, wording ensures giving up the rights on all the open and potential claims.
12 Aug 25: Ditto
23 Aug 25:  Contractor has accepted the Final Account statement via Email, this implies any NOD issued by the contractor is withdrawn. Official letter of withrawal will be requested to the Contractor, once FAS is signed and closed
08 Sep 25: Ditto
07 Oct 25: Ditto
03 Nov 25: Ditto
17 Nov 25: Ditto
01 Dec 25: Ditto, to be closed as final account has been finalised</t>
  </si>
  <si>
    <t>Application of Interim Extension of Time Claim No.01 - Temporary Opening in the Retaining Walls &amp; Slab</t>
  </si>
  <si>
    <t>1TB01005-005C02-SAB-LTR-0069</t>
  </si>
  <si>
    <t>1TB01005-005C02-AMA-LTR-0112</t>
  </si>
  <si>
    <r>
      <rPr>
        <b/>
        <sz val="12"/>
        <rFont val="Amaala Sans"/>
      </rPr>
      <t>Note: this submission cannot be considered as a format EoT submission and hence considered cancelled / rejected</t>
    </r>
    <r>
      <rPr>
        <sz val="12"/>
        <rFont val="Amaala Sans"/>
      </rPr>
      <t xml:space="preserve">
Commercial records this is not a EOT, although the contractor mentioned it is a EOT item
RFC was raised and approved
PVO for wall opening rejected by Delivery - Temporary Works should be included
Commercial currently gathering information, as we understand that these works were instructed over and above Temporary Works
10 Mar 24 - PVO to be uploaded again. Contractor has entitlement
25 Mar 24:  PVO rejected by Senior Project Director on 23-Mar-24 (Revise and Resubmit status).
27-Mar-24: Commercial team to formally inform the contractor regardrding the rejection.
05-May-24: As per the Senior Project Director (RSMLI), the variation claim for temporary openings has been rejected. Hence, the associated EOT claim should be rejected, and an official response will be issued.
22 May 24: 1TB01005-005C02-AMA-LTR-0112 a response rejecting the claim was issued to the contractor</t>
    </r>
  </si>
  <si>
    <t>Employer's Instructions - Rate of Progress, Notice of Dispute Sub-Clause 20.2.1</t>
  </si>
  <si>
    <t>1TB01003C03</t>
  </si>
  <si>
    <t>1TB01003-003C03-SAB-LTR-0031</t>
  </si>
  <si>
    <t>1TB01003-003C03-AMA-LTR-0071</t>
  </si>
  <si>
    <t>1TB01003-003C03-SAB-LTR-0068 (Notice of Dispute Letter)</t>
  </si>
  <si>
    <t>1TB01003-003C03-AMA-LTR-0134</t>
  </si>
  <si>
    <t>1TB01003-003C03-SAB-LTR-0076</t>
  </si>
  <si>
    <t>Dispute meeting had on 29 Feb 24
1TB01003-003C03-SAB-LTR-0076 dated 29 Feb 24
1TB01003-003C03-SAB-LTR-0079 dated 02 Mar 24
1TB01003-003C03-AMA-LTR-0144 dated 24 Mar 24
25 Mar 24: Amaala responded under 1TB01003-003C03-AMA-LTR-0145.
27 Mar 24: Conrtactor responded under 1TB01003-003C03-SAB-LTR-0084.
01 May 24: Amaala responded under 1TB01003-003C03-AMA-LTR-0154.
04 May 24: Conrtactor responded under 1TB01003-003C03-SAB-LTR-0088.
1TB01003-003C03-AMA-LTR-0168 Issued on 20 May 24 clarifying the Contractor the dispute mechanisms and that the Employer does not consider this matter to be a dispute at this stage</t>
  </si>
  <si>
    <r>
      <t>The Contractor submitted several Notice of Claim and the Notice of Dispute via Aconex ref. 1TB01003-003C03-SAB-LTR-0068 dated 08 February 2024. Amaala is in the process of responding to the dispute letter. 
26 Feb 24: Response letter in WF. Commercial to chase once issued, follow up email to be sent to the contractor to arrange a meeting.
28 Feb 24: Amaala issued a letter for a meeting to discuss and resolve the disputes and the contractor responded on 29 Feb 24 showing their dissagreement to our letter.
10 Mar 24: Amaala is in the process of responding to the contactor's comments. by 12 Mar 24
25 Mar 24: Amaala responded to the Contractor's comments on the meeting under 1TB01003-003C03-AMA-LTR-0144 on 24 March 24.
22 Apr 24: commercial to continue issuing delay notices to the contractor
06 May 24: response letter under preperation on the contractor's recent response
20 May 24: AMAALA responsed to the contractor's letter clarifying the Contractor, the dispute mechanisms and that the Employer does not consider this matter to be a dispute at this stage
0</t>
    </r>
    <r>
      <rPr>
        <b/>
        <sz val="12"/>
        <rFont val="Amaala Sans"/>
      </rPr>
      <t>3 Jun 24: this matter is considered closed under the letter 1TB01003-003C03-AMA-LTR-0168.</t>
    </r>
  </si>
  <si>
    <t>Settlement of Payment for Additional Cost and Time for Relocation of Jetty
EOT 1</t>
  </si>
  <si>
    <t>1TB01005C17</t>
  </si>
  <si>
    <t>1TB01005-005C17-HAH-LTR-0040</t>
  </si>
  <si>
    <t>1TB01005-005C17-AMA-LTR-0041</t>
  </si>
  <si>
    <t>1TB01005-005C17-HAH-LTR-0046 dated 1 May 24
HAH01005-GENCORR-000067 on 18 Sep 24
Letter issued  to contractor about employer's decision to proceed with the assessment in the absence of a revised claim
(1TB01005-005C17-AMA-LTR-0044) (issued on 28 Jul 25)
HAH01005-GENCORR-000067</t>
  </si>
  <si>
    <t>1TB01005-005C17-AMA-LTR-0046</t>
  </si>
  <si>
    <t>1TB01005-005C17-HAH-LTR-0040 dated 04 Feb 2024
1TB01005-005C17-AMA-LTR-0041 dated 13 Mar 2024
1TB01005-005C17-HAH-LTR-0044 dated 16 March 2024 (requesting for 4 days time)
HAH01005-GENCORR-000059 dated 20 March 2024 (requesting more time)
1TB01005-005C17-HAH-LTR-0046 dated 01 May 2024 (revised detailed submission)
1TB01005-005C17-AMA-LTR-0042 dated 24 Jun 24
AMA01005-GENCORR-001996 dated 04 Oct 24</t>
  </si>
  <si>
    <t xml:space="preserve">30 June 25: Commercial to issue report to planning by 3rd July.
14 Jul 25: Report delayed but will be issued by the Site team on 17 Jul at the very latest.
21 Jul 25: Draft report sent to claims team for review, commercial has been advised that we write to them that we are proceeding with the assessment with the available data in the absence of a revised claim from the contrator
27 July 2025 Ditto. Targeted to revert by 5 Aug 2025
12 Aug 25: targeted to revert by 14 Aug 25
18 Aug 25: Draft report sent back to commercial with comments, after finalisation, commercial to submit the draft with planning to commence TIA || Draft report sent to Planing to conduct TIA
23 Aug 25: Sent for planning assessment 20 Aug 25, targetd to finalise by 26 Aug 25
26 Aug 25: TIA incorporated - TOC in Aconex rejected rejected and therefore should be amended to reflect the recommended 70-day EOT, as no VO has been referenced to support the extension to 13 Oct 2023
27 Aug 25: Planning provided the xer file to support the concurrency
06 Sept 25: TIA incorporated, Draft EAR sent to claims for approval
08 Sep 25: under reviewwith claims
27 Sep 25: Draft EAR sent back to commercial with comments &amp; amendments for commercial to address.
28 Sep 25: Final Draft sent to claims for review &amp; approval // Draft sent to KM on 30 Sep 25
06 Oct 25: Ditto - Nb FA number has now been agreed with Contractor and paperwork for this is progressing
06 Oct 25: Final Draft EAR approved and sent back to commercial to initiate WF
07 Oct 25: EAR put in WF-035199
17 Oct 25: EAR approval with planning for approval since 08 October
20 Oct 25: EAR approved, commercial to prepare the cover letter and initiate the WF for issuance
29 Oct 25: EAR issued to contractor via 1TB01005-005C17-AMA-LTR-0046
03 Nov 25: awaiting response from contractor
14 Nov 25: Contractor has accepted EAR (1TB01005-005C17-HAH-LTR-0048) 
17 Nov 25: Commercial to issue EI, targeted to issue by 20 Nov 25
28 Nov 25: VO/DVO confirms the EoT award - HAH01005-GENCORR-000069 </t>
  </si>
  <si>
    <t>Settlement of Payment for Additional Cost and Time for Relocation of Jetty
Prolongation</t>
  </si>
  <si>
    <t>1TB01005-005C17-HAH-LTR-0046 dated 1 May 24
HAH01005-GENCORR-000067</t>
  </si>
  <si>
    <t>1TB01005-005C17-AMA-DVO-CM-0002</t>
  </si>
  <si>
    <t xml:space="preserve">08 Sep 24: Cost claim awaiting conclusion of EoT
24 Sep 24: Contractor resubmitted the claim on 18 Sep 24. commercial to review. Meeting held with HASCO on 17 Sept 24 and RSG to review costs submitted and provide comments by 28 Sept 24. Further meeting to be arranged to try and conclude.
04 Oct 24: a meeting was arranged with HASCO for October 9, and the outcome will be shared with the Claims team.
17 Nov 24: The meeting with HASCO on 12 November 2024, involving RSMLI Senior Directors, was cancelled by HASCO last minute and remains unscheduled. A revised close-out strategy is required, and the Senior Project Director will only be available for a meeting mid-December. 
04 Dec 24 - Meeting arranged for 17th December to agree  a final account.
11 Jan 25 - same comment as above line item
26 Jan 25: Ditto as above
28 Jan 25: Assessment to be completed; target date 6th Feb
23 Feb 25: Same comment as Item 13
Ditto
19 Apr 25: No further submission from HASCO. Internal assessment and report on-going.
04 May 25: Targeted to finalise the report by end of June 2025.
18 May 25: Ditto
03 Nov 25: comm to update status 
17 Nov 25: DVO in relation to this prolongation cost was issued to DVO (1TB01005-005C17-AMA-DVO-CM-0002 ). hence this line item has been closed </t>
  </si>
  <si>
    <t>Settlement of Payment for Additional Cost and Time for Relocation of Jetty
Other Claims</t>
  </si>
  <si>
    <t xml:space="preserve">24 Sep 24: Contractor resubmitted the claim on 18 Sep 24. commercial to review. Meeting held with HASCO on 17 Sept 24 and RSG to review costs submitted and provide comments by 28 Sept 24. Further meeting to be arranged to try and conclude.
04 Oct 24. Meeting arranaged with HASCO for 09 Oct and outcome to be shared with Claims team.
20 Oct 24. Meeting and discussions ongoing with HASCO. Proposal to be put forward to claims team by the end October.
01 Nov 24. Meeting took place on 29 Oct and HASCO are reviewing with their CEO. We explained that any EoT entitlement costs are set-off by the damages given the significant delay. They have a new team who dont know the history and seemed keen to resolve the item. We await their feedback.
04 Dec 24 - Meeting arranged for 17th December to agree  a final account.
15 Dec 24: Ditto
11 Jan 25 - same comment as above line item
26 Jan 25: Ditto as above
28 Jan 25: Assessment to be completed; target date 6th Feb
23 Feb 25: Same comment as Item 13
Ditto
19 Apr 25: No further submission from HASCO. Internal assessment and report on-going.
04 May 25: Targeted to finalise the report by end of June 2025.
18 May 25: Ditto
14 June 25: Ditto
28 June 25: Commercial to issue report to planning by 3rd July.
13 Jul 25: Report delayed but will be issued by the Site team on 17 Jul at the very latest.
28 Jul 25: Ditto
12 August 2025: Meeting arranged for 16:00, 12 Aug 2025, chat with PMcH to understand this matter. 
23 Aug 25: Assessment report ongoing, related to item 13
07 Oct 25: Awaiting conclusion of EoT/DVO
03 Nov 25: comm to update status 
17 Nov 25: DVO in relation to this cost was issued to DVO (1TB01005-005C17-AMA-DVO-CM-0002 issued on 15 Oct 25). hence this line item has been closed </t>
  </si>
  <si>
    <t>Extension of Time Claim No.01 – Interim Report 01, Interim Report 02,  Interim Report 03 *  Interim Report 04, Interim Report 5</t>
  </si>
  <si>
    <t>1TB01009C03</t>
  </si>
  <si>
    <t>1.TB.01.009.01</t>
  </si>
  <si>
    <t>1TB01009-009C03-HAM-LTR-0031 dated 7 Mar 24
1TB01009-009C03-HAM-LTR-0047 dated 03 Apr 24
1TB01009-009C03-HAM-LTR-0059</t>
  </si>
  <si>
    <t>1TB01009-009C03-HAM-LTR-0059</t>
  </si>
  <si>
    <t>1TB01009-009C03-HAM-LTR-0077 05 Jun 24
1TB01009-009C03-HAM-LTR-0097 10 Jul 24
1TB01009-009C03-HAM-LTR-0100 1 Aug 24
1TB01009-009C03-HAM-LTR-0117</t>
  </si>
  <si>
    <t>1TB01009-009C03-HAM-LTR-0031 dated 7 Mar 24 has been superseded with the contractor's second submission made on 3 Apr 24
1TB01009-009C03-HAM-LTR-0059 dated 04 May 24 Interim Report #3
23 May 24: Contractor issued a reminder letter for the employers  response on their 3 EOT interim reports via letter ref: 1TB01009-009C03-HAM-LTR-0065
1. Contractor’s Letter Ref: 1TB01009-009C03-HAM-LTR-0031
2. Contractor’s Letter Ref: 1TB01009-009C03-HAM-LTR-0047
3. Contractor’s Letter Ref: 1TB01009-009C03-HAM-LTR-0059
4. Contractor’s Letter Ref: 1TB01009-009C03-HAM-LTR-0065
5. Contractor’s Letter Ref: 1TB01009-009C03-HAM-LTR-0077
6. Contractor’s Letter Ref: 1TB01009-009C03-HAM-LTR-0097
7. Contractor’s Letter Ref: 1TB01009-009C03-HAM-LTR-0100
1TB01009-009C03-AMA-LTR-0142 dated 14 Nov 24</t>
  </si>
  <si>
    <t xml:space="preserve">03 Nov 24: Based on HAM comments, the CA and Legal's letter agreement is being amended by Legal. Once amended, the same shall be issued to HAM and subsequently the current EOT's shall be withdrawn.  
17 Nov 24: letter issued requesting the Contractor to review, sign, and submit the amended "Settlement of Contractor's Claims" letter, withdraw all existing EoT claims, and provide a detailed program with planned resources to complete the Works as agreed.
28 Nov 24: Contractor submitted the signed &amp; stamped "Settlement of Contractor’s Claims" letter. Commercial to revert the signed copy of the same and finalise the CA accordingly. upon which all claims will be superseded and closed
01 Dec 24: Contractor submitted the signed CA. WF to be initiated for GCEO's signature on both Legal's settlement letter and CA. WF will be initiated by COB 01 Dec 24.
04 Dec 24: Mike to provide letter ref 
12 Dec 24: WF initiated for GCEO's signature on the Contract Amendment &amp; Legal's Letter Agreement, which will close the existing EOT's. WF Ref. - Workflow No.: WF-022881
22 Dec 24: CA issued &amp; therefore.the matter is therefore considered closed
</t>
  </si>
  <si>
    <t>Delay of Materials Delivery – Employer’s Country Risk - Dispute Notice</t>
  </si>
  <si>
    <t>1TB01005-005C19-FEX-LTR-0020</t>
  </si>
  <si>
    <t>1TB01003-003C03-SAB-LTR-0060</t>
  </si>
  <si>
    <t>1TB01003-003C03-AMA-LTR-0123</t>
  </si>
  <si>
    <t>1) 1TB1003-003C03-SAB-LTR-0060, dated January 23, 2024
2) 1TB01003-003C03-AMA-LTR-0123, dated January 29, 2024
3) 1TB1003-003C03-SAB-LTR-0062 dated 29 January 2024
4) 1TB01003-003C03-SAB-LTR-0063, dated January 30, 2024
5) 1TB01003-003C03-AMA-LTR-0125 dated February 08, 2024
6) 1TB01003-003C03-SAB-LTR-0069 dated February 08, 2024
7) 1TB01003-003C03-AMA-LTR-0131, dated February 14, 2024
8)1TB01003-003C03-SAB-LTR-0071, dated February 14, 2024
9) 1TB01003-003C03-AMA-LTR-0138 dated Fevruary 26, 2024
10) 1TB01003-003C03-SAB-LTR-0075 dated February 28, 2024
11) 1TB01003-003C03-AMA-LTR-0142 dated March 16, 2024
12) 1TB01003-003C03-SAB-LTR-0082 dated March 18, 2024
13) 1TB01003-003C03-AMA-LTR-0155 dated 25 Apr 2024
14) 1TB01003-003C03-SAB-LTR-0086 dated 25 Apr 2024</t>
  </si>
  <si>
    <r>
      <t xml:space="preserve">15 July 24: Commercial to issue letter to claims, claim suggested to be reviewed by Legal due to termination of SAB. Todate no response form Legal. 
</t>
    </r>
    <r>
      <rPr>
        <b/>
        <sz val="12"/>
        <rFont val="Amaala Sans"/>
      </rPr>
      <t>29 Jul 24: Contract terminated 
12 Aug 24: No action required</t>
    </r>
    <r>
      <rPr>
        <sz val="12"/>
        <rFont val="Amaala Sans"/>
      </rPr>
      <t xml:space="preserve">
08 Sep 24: commercial has drafted a CA to increase the contract value. currently under discussion with the Commercial team to explore most suitable mechanism to increase
4 Nov 24: P1 to update
04 Dec 24: Mike to confirm internal way forward in relation to Termination / claims
13 Jan 25: Ditto
27 Jan 25: a presentation was provided to the CEO on 14 Jan 2025.  
24 Feb 25 - 07 Sep 26: Ditto</t>
    </r>
  </si>
  <si>
    <t xml:space="preserve"> Request for an Extension of Time Claim-COO#10</t>
  </si>
  <si>
    <t>1TB01100F02</t>
  </si>
  <si>
    <t>1TB01100-100F02-AMB-LTR-0020</t>
  </si>
  <si>
    <t>1TB01100-100F02-AMA-LTR-0019</t>
  </si>
  <si>
    <t>1TB01100-100F02-AMB-LTR-0022 dated 28 Apr 24
1TB01100-100F02-AMB-LTR-0024 dated 18 Jul 24
1TB01100-100F02-AMB-LTR-0025 dated 22 Aug 24
1TB01100-100F10-AMB-LTR-0039 dated  28 April 2025</t>
  </si>
  <si>
    <t>1TB01100-100F02-AMB-LTR-0020 dated 23 Mar 24
1TB01100-100F02-AMA-LTR-0019 dated 18 Apr 24
1TB01100-100F02-AMB-LTR-0022 dated 28 Apr 24
1TB01100-100F02-AMA-LTR-0025 dated 14 Aug 24
1TB01100-100F02-AMB-LTR-0025 dated 22 Aug 24
1TB01100-100F02-AMB-LTR-0028 dated 08 Oct 24
1TB01100-100F02-AMA-LTR-0028 dated 17 Oct 24
1TB01100-100F02-AMB-LTR-0030 dated 05 Nov 24
1TB01100-100F02-AMA-LTR-0029 dated 25 Nov 24
1TB01100-100F02-AMB-LTR-0035 dated 16 Dec 24</t>
  </si>
  <si>
    <r>
      <t xml:space="preserve">02 Jun 25: Received AMB EoT Claim  ref.1TB01100-100F10-AMB-LTR-0039 dated </t>
    </r>
    <r>
      <rPr>
        <u/>
        <sz val="12"/>
        <rFont val="Amaala Sans"/>
      </rPr>
      <t>28 April 2025</t>
    </r>
    <r>
      <rPr>
        <sz val="12"/>
        <rFont val="Amaala Sans"/>
      </rPr>
      <t>. AMB seeking Time and cost of SAR 8.4 million.  Commercial Team preparing a draft EoT Report and in parallel finalising AMB Final Account, in view of negotiating for the Contractor to drop the Prolomngation Cost claim.
15 Jun 25: Ditto. Targeted to complete the draft report is 30 June 2025.
30 Jun 25: Ditto. Targeted to complete the draft report is 30 July 2025.
14 Jul 25: Ditto. Targeted to complete the draft report is 30 July 2025.
28 Jul 25: Ditto
12 August 25: New direction from Renton (Infractructure CM)  - a wrap-up of all AMB call-offs as part of their final account with possibly no need to do EARs. Approval to be disccused with PG. Report issues:  no backup documents on Contractor's Concurrent delays, other then vague statements in some letters, scattered across COOs. We know that Al Masaood was late due to underesources, but nothing to prove that.
25 August 25: Ditto - chase update from Renton/PG
08 Sep 25: action with Renton to prepare the RFA for the close out 
06 Oct 25: ditto
03 Nov 25: ditto
17 Nov 25: Ditto
21 Nov 25: Renton advised Commercial to initiate the required RFA – for a waiver on LDs only in exchange that AMB cease all EOT pursuit
01 Dec 25: RFA to waive LDs approved. RSG  letter 1TB01100-100F02-AMA-LTR-0032 dated 25 Nov 2025 issued to AMB confirming waiver of LDs and withdrawal of Claims. Awaiting AMB reply // commercial to clarify whether its a LD related RFA or a final account RFA
14 Dec 25:  // commercial to clarify whether its a LD related RFA or a final account RFA (Commercial Comment : The RFA is for both FA and LD waiver)
12 Jan 26: Ditto
27 Jan 26: Ditto. MVW commercial consider this closed. FA including LDs waiver signed and agreed by both parties. (Comm to provide ref )
07 Feb 26: Ditto. MVW commercial consider this closed. FA ( AMA01100-GENCORR-002209) including LDs waiver signed and agreed by both parties. (Comm to provide ref )</t>
    </r>
  </si>
  <si>
    <t>Requesting for an Extension of Time Claim</t>
  </si>
  <si>
    <t>1TB01002C23</t>
  </si>
  <si>
    <t xml:space="preserve">1TB01002-002C23-STE-LTR-0026 </t>
  </si>
  <si>
    <t>1TB01002-002C23-AMA-LTR-0054</t>
  </si>
  <si>
    <t>1TB01002-002C23-STE-LTR-0053 10 Aug 24
1TB01002-002C23-STE-LTR-0055 dated 24 Sep 24
1TB01002-002C23-STE-LTR-0073 dated 06 Nov 24
1TB01002-002C23-STE-LTR-0098 dated 18 Feb 25
1TB01002-002C23-STE-LTR-0107  on 01 Jun 25
1TB01002-002C23-STE-LTR-0126 on 06 Aug 25
STE01002-GENCORR-000598 on 03 Sep 25
1TB01002-002C23-STE-LTR-0137 on 28 Oct 25
1TB01002-002C23-STE-LTR-0148 on 12 Apr 26
AMA01002-GENCORR-003334</t>
  </si>
  <si>
    <r>
      <rPr>
        <sz val="12"/>
        <color rgb="FF000000"/>
        <rFont val="Amaala Sans"/>
      </rPr>
      <t xml:space="preserve">1TB01002-002C23-AMA-LTR-0084 dated 10 Sep 24
1TB01002-002C23-AMA-LTR-0090 dated 17 Oct 24
1TB01002-002C23-AMA-LTR-0107 dated 31 Dec 24
1TB01002-002C23-STE-LTR-0098 dated 18 Feb 25
1TB01002-002C23-AMA-LTR-0125 dated 18 Mar 25
</t>
    </r>
    <r>
      <rPr>
        <sz val="12"/>
        <color rgb="FFFF0000"/>
        <rFont val="Amaala Sans"/>
      </rPr>
      <t>1TB01002-002C23-AMA-LTR-0132 dated 18 May 25</t>
    </r>
    <r>
      <rPr>
        <sz val="12"/>
        <color theme="1"/>
        <rFont val="Amaala Sans"/>
      </rPr>
      <t xml:space="preserve">
1TB01002-002C23-AMA-LTR-0139 on 12 June 2025
 AMA01002-GENCORR-002857 dated 05 Oct 25</t>
    </r>
  </si>
  <si>
    <t>Pending</t>
  </si>
  <si>
    <t>Interim Extension of Time Claim (EOT #1)</t>
  </si>
  <si>
    <t>1TB01002C03</t>
  </si>
  <si>
    <t>1TB01002-002C03-MEC-LTR-0043</t>
  </si>
  <si>
    <t>1TB01002-002C03-AMA-LTR-0074</t>
  </si>
  <si>
    <t>1TB01002-002C03-MEC-LTR-0056 15 Aug 24
1TB01002-002C03-MEC-LTR-0060 19 Dep 24
MEC01002-GENCORR-00019 on 30 Jan 25
MEC01002-GENCORR-000200</t>
  </si>
  <si>
    <t>1TB01002-002C03-AMA-LTR-0112</t>
  </si>
  <si>
    <t>1TB01002-002C03-MEC-LTR-0045 dated 22 May 24 - Follow up letter for the EOT claim submission from contractor
1TB01002-002C03-AMA-LTR-0088 dated 15 Sep 24
1TB01002-002C03-MEC-LTR-0064 21 Jan 2025
1TB01002-002C03-MEC-LTR-0066 21 Jan 2025
AMA01002-GENCORR-002275 27 Jan 2025
MEC01002-GENCORR-000197 30 Jan 2025</t>
  </si>
  <si>
    <t>06 Aug 25: Draft report sent back to commercial with comments on DE7.3B to clarify 
12 Aug 25: Sent to Claims on 11 August 2025 for final review/approval before the WF. Targted to revert by 14 Aug 25
15 Aug 25: draft report sent back to commercial with queries
18 Aug 25: Final Draft report sent to Claims for Approval
21 Aug 25: EAR approved by claims and sent back to commercial to initiat WF
24  Aug 25: EAR approved by claims, WF-030277 initiated on 24-08-25
07 Sep 25: EAR approved by GCEO on 04 Sep 25, Cover letter now in WF
14 Sep 25: EAR issued to contractor via 1TB01002-002C03-AMA-LTR-0112. contractor requested .xer file and shared teh same on 15 Sep 25
06 Oct 25: ditto
07 Oct 25: Comm to issue a follow up next week
18 Oct 25: reference to the Contractor's letter reference with 1TB01002-002C03-MEC-LTR-0074 dated 8th Oct 25, Contractor responded with disagreement to Employer’s assessment Report issued to the Contractor on 14th Sep 25. Draft response to disagreement letter sent to Contractor on 15 Oct 25 (via email), planning input pending. The Contractor requested the meeting to discuss a way forward. 
20 Oct 25: Meeting scheduled with the contractor for this week, comm to prepare draft response and submit to claims team for review
22 Oct 25: Draft response sent to claims team for review // reviewed and sent back for issuance
30 Oct 25: WF initiated WF-032827, approval pendning with Stuart
01 Nov 25: Ditto
03 Nov 25: 1TB01002-002C03-AMA-LTR-0116 issued to Contractor on 02 Nov 25, rejecting the Contractor's EAR challenge point by point and requesting that all DEs that Contractor does not agree with should be submitted within EOT 02 with porper validation. Commercail to determine EOT 01 by the end of November
17 Nov 25: Ditto, contractor submitted their prolongation cost based on Employer's EOT 1 report, comm to advise the contractor to formally accept the EOT 1 
01 Dec 25: Commercial to issue EI 
14 Dec 25: Draft determination letter/EI sent to Claims to check // claims responded on 14 Dec 25
15 Dec 25: letter put in WF-034621
21 Dec '25 : Employer's Instruction to formalize the EOT has been formalized to MAS via 1TB01002-002C03-AMA-LTR-0124.</t>
  </si>
  <si>
    <t>EOT Claim No. 4 - up to 26 Jan 2024 (Delay in Issuance of IFC Drawings, Delay in providing of Bench mark and coordination drawings with SANSRS coordinates, Delay in providing (access) site hand over, Employer's Site Work Instruction (drainage pipe above the raft to relocate inside to the raft at basement 1 area toilets). - update to Item 9</t>
  </si>
  <si>
    <t>1TB01006-006C03-MOO-LTR-0094</t>
  </si>
  <si>
    <t>This line item is a revised submission of Item No. 9 above with a new cut-off date and cannot be considered as a new claim. Therefore this entry has been calcelled and the details has been incorporated in the above claim submission from MOBCO in Item No. 9</t>
  </si>
  <si>
    <t>Generator Room - Contractor's Claim  EOT (Time)</t>
  </si>
  <si>
    <t>1TB01005-005C02-SAB-LTR-0108</t>
  </si>
  <si>
    <t>1TB01005-005C02-AMA-LTR-0106</t>
  </si>
  <si>
    <t xml:space="preserve">1TB01005-005C02-SAB-LTR-0087 dated 29 Feb 24 Notice of Delay
1TB01005-005C02-AMA-LTR-0099 dated 24 Mar 24
</t>
  </si>
  <si>
    <t>13 Jan 25 - We have agreed a final cost for this change and are proceeding to DVO. We believe the DVO will close SAB entitlement for this change at this stage? - subject to any final claim from them.
27 Jan 25 - DVO going through approvals.
09 Feb 25 - DVO approved (AMA01005-WTRAN-048712) - Cost agreed with no change to TfC. Please advise any further action?
24 Feb 25 - Project team awaiting confirmation on further action.
** commercial to reject the claim with a formal letter to the contractor 
10 Mar 25 - Draft letter issued to claims team (NE) on 08 Mar 25
23 Mar 25 - Letter approved by claims and issued to Contractor (1TB01005-005C02-AMA-LTR-0172) on 17 March 2025
09 April 25: awaiting formal withdrawal from the contractor
19 Apr 25: No response from Contractor, and the project team does not anticipate them issuing a withdrawal
05 May 25: Ditto
19 May 25 - No disatisfaction notice received. 
16 June 25: Ditto
30 June 25: The wider picture with SAB is that Security bonds have been encashed and the provider has paid the values to RSG. SAB continue to Work on Site however they are unable to pay suppliers, subcontractor or personnel. We have raised an RFA to terminate the Contract and have an agreed completion strategy for others to complete the remaining Works
13 Jul 25: Termination Notice issued - Date of Termination 17 Jul 25  ref. 1TB01005-005C02-AMA-LTR-0210.
28 Jul 25: Ditto
09 Aug 25: Claims team to advise on what action is required.
24 Aug 25: Claims team to advise on what action is required. DVO approved with no time impact, claim rejected (see 23 March 25 note)
08 Sep 25: Ditto
17 Nov 25: Agreed that item can be closed given Contract is terminated and no response to the Employers determination letter issued on 17 March 25 on this matter. (1TB01005-005C02-AMA-LTR-0172)</t>
  </si>
  <si>
    <t>Generator Room - Contractor's Claim  EOT (Cost)</t>
  </si>
  <si>
    <t xml:space="preserve">Contractor has submitted a cost claim of SAR 111,155.
The Contractor's EOT submission is not in line with the AMAALA requirement. Response letter issued on 05 May 2024 via letter ref: 1TB01005-005C02-AMA-LTR-0106 rejecting the claim and to revise &amp; resubmit
Ditto
24 Jun 24: Awaiting response from contractor
15-Jul-24: Ditto
29 Jul 24: Ditto
12 Aug 24: Ditto
26 Aug 24: Ditto
08 Sept 24: Ditto
24 Sept 24 - RSG to write to contractor in regard to outstanding response - by 28 Sept.
06 Oct 24: same as above
20 Oct 24 - same as above
04 Dec 24 - Meetings on going daily to agree and DVO this items along with others. To be confirmed by end of year.
12 Jan 25: Same comment as above
26 Jan 25: Ditto. Mike to provide update
09 Feb 25 - DVO approved (AMA01005-WTRAN-048712) - Cost agreed with no change to TfC. Please advise any further action?
23 Feb 25: Same comment as item 22
24 Feb 25 - Project team awaiting confirmation on further action.
** commercial to reject the claim with a formal letter to the contractor 
09 Mar 25 - Draft letter issued to claims team on 08 Mar 25
23 Mar 25 - Letter approved by claims and issued to Contractor (1TB01005-005C02-AMA-LTR-0172) on 17 March 2025
18 Mar 25: Ditto
13 Jul 25: Ditto
09 Aug 25: Claims team to advise on what action is required.
17 Nov 25: Agreed in internal calims/commercial meeting on  13 Nov 25 to be closed, rejected as claim inletter 1TB01005-005C02-AMA-LTR-0172) on 17 March 2025 , DVO with no time awarded. </t>
  </si>
  <si>
    <t xml:space="preserve"> Request for an Extension of Time Claim-AMB COO#13</t>
  </si>
  <si>
    <t>1TB01100F10</t>
  </si>
  <si>
    <t>1TB01100-100F10-AMB-LTR-0009</t>
  </si>
  <si>
    <t>1TB01100-100F10-AMA-LTR-0007</t>
  </si>
  <si>
    <t>1TB01100-100F10-AMB-LTR-0011 dated 9 May 24
1TB01100-100F02-AMB-LTR-0025 date 22 Aug 24
1TB01100-100F10-AMB-LTR-0021
dated 23 Aug 24
1TB01100-100F10-AMB-LTR-0026</t>
  </si>
  <si>
    <t>1TB01100-100F10-AMA-LTR-0007 dated 05 may 24
1TB01100-100F10-AMB-LTR-0011 dated 09 May 24
1TB01100-100F02-AMB-LTR-0025 dated 22 Aug 24
1TB01100-100F02-AMB-LTR-0028 dated 08 Oct 24
1TB01100-100F02-AMA-LTR-0028 dated 17 Oct 24
1TB01100-100F02-AMB-LTR-0030 dated 05 Nov 24</t>
  </si>
  <si>
    <t>18 May 25: Received AMB EoT Claim  ref.1TB01100-100F10-AMB-LTR-0026 dated  12 May 2025. AMB seeking Time and cost of SAR 4.5 million. Meeting for AMB toexaolin their claim schedduled for 20 May 2025.
02 Jun 25: Commercial Team preparing a draft EoT Report and in parallel, finalising AMB Final Account, in view of negotiating for the Contractor to drop the Prolongation Cost claim.
16 Jun 25: Ditto. Target to complete draft report is 30 June 2025.
30 Jun 25: Ditto. Targeted to complete the draft report is 30 July 2025.
14 Jul 25: Ditto. Targeted to complete the draft report is 30 July 2025.
28 Jul 2025: Date moved to 03 August 2025. 
11 August 2025: New direction from Renton (Infractructure CM)  - a wrap-up of all AMB call-offs as part of their final account with possibly no need to do EARs. Approval to be disccused with PG.
24 August 25: Ditto
08 Aug 25: Renton to prepare an RFA to close out all COO across the projects
06 Oct 25: ditto
01 Nov 25: ditto
17 Nov 25: Ditto
21 Nov 25: Renton advised Commercial to initiate the required RFA – for a waiver on LDs only in exchange that AMB cease all EOT pursuit
01 Dec 25: RFA to waive LDs approved. RSG  letter 1TB01100-100F02-AMA-LTR-0032 dated 25 Nov 2025 issued to AMB confirming waiver of LDs and withdrawal of Claims. Awaiting AMB reply // commercial to clarifywhether its a LD related RFA or a final account RFA
14 Dec 25:/ commercial to clarify whether its a LD related RFA or a final account RFA (Commercial Comment : The RFA is for both FA and LD waiver)
12 Jan 26: Ditto
27 Jan 26: Ditto. MVW commercial consider this closed. FA including LDs waiver signed and agreed by both parties. 
(07 Feb 26: Ditto. MVW commercial consider this closed. FA ( AMA01100-GENCORR-002209) including LDs waiver signed and agreed by both parties. )</t>
  </si>
  <si>
    <t>1TB01002-002C23-STE-LTR-0026</t>
  </si>
  <si>
    <r>
      <t xml:space="preserve">Commercial Team rejects the Contractor's claim as per the letter 1TB01002-002C23-STE-LTR-0026. Rejection was based on the claim's improper format, incomplete backup, and lack of detailed particulars (Draft letter sent to PMIS team to start W/F).
The Contractor is urged to resubmit their EOT claim in strict adherence to the correct procedure and format, emphasizing the importance of this compliance
Initial response under process with commercial  and targeted to issue EOD
28 May 24: initial response issued to the contractor to resubmit the claim with further particulars and to address the the comments &amp; feedback provided durign the workshop held on 01 May 24
03 Jun 24: still with contractor sent on may 30
15-Jul-24: Commercial to issue a follow-up letter to the contractor for the resubmission
29 Jul 24: Ditto
</t>
    </r>
    <r>
      <rPr>
        <b/>
        <strike/>
        <sz val="12"/>
        <rFont val="Amaala Sans"/>
      </rPr>
      <t>this line Item is a duplicate of Item 19 above</t>
    </r>
  </si>
  <si>
    <t>1TB01006C22</t>
  </si>
  <si>
    <t>1TB01006-006C22-STE-LTR-0031</t>
  </si>
  <si>
    <t>1TB01006-006C22-AMA-LTR-0060</t>
  </si>
  <si>
    <t>1TB01006-006C22-STE-LTR-0044 dated 17 Aug 24
1TB01006-006C22-STE-LTR-0052 dated 02 Oct 24
1TB01006-006C22-STE-LTR-0054 dated 03 Oct 24
1TB01006-006C22-STE-LTR-0081 on 06 Mar 25
STE01006-GENCORR-000240 on 15 Jul 25
STE01006-GENCORR-000243 on 27 Jul 25
STE01006-GENCORR-000245 on 28 Jul 25
STE01006-GENCORR-000246 on 29 Jul 25
STE01006-GENCORR-000257 on 07 Aug 25
STE01006-GENCORR-000264  on 04 Oct 25</t>
  </si>
  <si>
    <t>1TB01006-006C22-AMA-LTR-0156</t>
  </si>
  <si>
    <r>
      <t xml:space="preserve">1TB01006-006C22-AMA-LTR-0070 dated 05 Aug 24 (Follow-up letter)
1TB01006-006C22-STE-LTR-0044 dated 17 Aug 24 (resubmission)
1TB01006-006C22-AMA-LTR-0084 dated 16 Sep 24
AMA01006-006C22-002812 dated 09 Feb 24
</t>
    </r>
    <r>
      <rPr>
        <sz val="12"/>
        <color rgb="FFFF0000"/>
        <rFont val="Amaala Sans"/>
      </rPr>
      <t>AMA01006-GENCORR-003497 dated 15 July 2025
STE01006-GENCORR-000240 dated 15 July 2025
AMA01006-GENCORR-003530 dated 24 July 2025</t>
    </r>
    <r>
      <rPr>
        <sz val="12"/>
        <color theme="1"/>
        <rFont val="Amaala Sans"/>
      </rPr>
      <t xml:space="preserve">
Further particulars provided via following submittals
STE01006-GENCORR-000243 on 27 Jul 25
STE01006-GENCORR-000245 on 28 Jul 25
STE01006-GENCORR-000246 on 29 Jul 25
STE01006-GENCORR-000257 on 07 Aug 25
STE01006-GENCORR-000264  on 04 Oct 25</t>
    </r>
  </si>
  <si>
    <t>24 August 25: under review with commercial.target date for submissin to Claims moved to 28 August 25.
04 Sep 25: Draft EAR sent to claims team for review
08 Sep 25: Ditto, under review with claims
28 Sep 25: Draft EAR sent to planning for TIA
29 Sep 25: Target date to be confirmed
01 Oct 25: Draft sent back to commercial for clarifications on the comments from Planning 
02 Oct 25: Draft EAR sent back to planning with clarifications
07 Oct 25: Ditto, Targeted to conclude by 21 Oct 25
13 Oct 25: Ditto
20 Oct 25: Ditto
25 Oct 25: TIA incorporated and sent to commercial for finalisation
27 Oct 25: Action with comm to finalise the EAR prior to claims final review &amp; sent to claims team for approval
28 Oct 25: Final Draft approved and sent back to commercial to initiate WF
02 Nov 25: EAR in WF- 037643
17 Nov 25: approved by GCEO, comm to initiate cover letter WF for issuance
18 Nov 25: WF for Cover letter initiated under ref WF-038234
23 Nov 25: EAR issued to contractor via 1TB01006-006C22-AMA-LTR-0156
01 Dec 25: contractor requested TIA native file via email on 29 Nov 25. TIA file was sent to the contractor via email on (date)
13 Dec 25: No response from the Contractor to the EAR
12 Jan 26 - No response from the Contractor, commercial to issue a follow up letter
13 Jan 26: follow up letter put in WF-040194
22 Jan 26: Contrator accepted the EOT report via 1TB01006-006C22-STE-LTR-0159 , commercial to issue EI
27 Jan 26 - Follow-up letter issued (Ref. 1Tb01006-006C22-AMA-LTR-0178). Tiejun has accepted the EAR (Ltr Ref.  1TB01006-006C22-STE-LTR-0159 dated 22 Jan 2026). Employer's Instruction under Workflow WF-040596
04 Feb 26: EI issued to contractor via AMA01006-EMPI-000042</t>
  </si>
  <si>
    <t>Omission of Glazing Works by Employer, Dispute Notice.</t>
  </si>
  <si>
    <t>1TB01003-003C03-SAB-LTR-0088</t>
  </si>
  <si>
    <t>1TB01003-003C03-AMA-LTR-0168</t>
  </si>
  <si>
    <t>1TB01003-003C03-AMA-LTR-0145, dated March 25, 2024
1TB01003-003C03-AMA-LTR-0144, dated March 17, 2024
1TB01003-003C03-AMA-LTR-0154, dated May 01, 2024.
1TB01003-003C03-SAB-LTR-0084, dated 27 Mar. 2024
1TB01003-003C03-SAB-LTR-0088, dated 04 May, 2024
1TB01003-003C03-AMA-LTR-0168 dated 20 May 2024</t>
  </si>
  <si>
    <t xml:space="preserve">06 May 24: Commercial to prepare the initial response. 
20 May 24: Initial response was made to the contractor 
this entry is in relation to an existing dispute notice (item No. 12) above and hence a duplicate. </t>
  </si>
  <si>
    <t>No</t>
  </si>
  <si>
    <t xml:space="preserve">Dissatisfaction with Determination of Variation Order (No. 07) - Variation Order No.
05 – BK Gulf Temporary Site Office (Cost Recovery) </t>
  </si>
  <si>
    <t>1TB01005-005C02-SAB-LTR-0128</t>
  </si>
  <si>
    <t>1TB01005-005C02-AMA-LTR-0131</t>
  </si>
  <si>
    <t>1TB01005-005C02-AMA-LTR-0117 dated 30 May 24 - Determination of Variation Order (No. 07) – The Cost Recovery for BK Gulf Temporary Site Office Construction
1TB01005-005C02-AMA-LTR-0117, dated 30 May 24 DVO issued.
1TB01005-005C02-SAB-LTR-0128, dated 05 June 24, Dissatisfaction with Determination of Variation Order (No. 07) issued by the Contractor
1TB01005-005C02-SAB-LTR-0140 dated 14 July 24, Dispute Notice issued by the Contractor
Amaala Responsed via letter ref 1TB01005-005C02-AMA-LTR-0131 on 13 Aug 24
further to that contractor responded via 1TB01005-005C02-SAB-LTR-0211 on 01 Dec 24</t>
  </si>
  <si>
    <t>13 Jan 25: unable to agree with SAB's value and propose to issue a formal determination
27 Jan 25: Ditto. Targeted to determine bt 6 Feb 2025
09 Feb 25: Please advise on the Action? Formal determination letter issued on 30th May 24. SAB  issued dispute notice and Ama responded. SAB issued further request for a revised determination on 1st Dec 24. If its determined do we keep responding?
24 Feb 25 - Project team awaiting confirmation on further action.
Dispute Notice issued by the Contractor via 1TB01005-005C02-SAB-LTR-0140 dated 14 July 24
Amaala Responsed via letter ref 1TB01005-005C02-AMA-LTR-0131 on 13 Aug 24
further to that contractor responded via 1TB01005-005C02-SAB-LTR-0211 on 01 Dec 24
09 Mar 25 - Project team awaiting confirmation on further action.
24 Mar 25: Ditto
07 Apr 25: Ditto
09 Apr 25: Ditto
20 Apr 25: Ditto
05 May 25: Ditto
19 May 25: Ditto
16 Jun 25 - ditto
30 Jun 25 - Ditto
13 Jul 25: Ditto
27 Jul 25: Ditto - Can this be closed not, since Contract terminated, time for dispute expired? A Notice of Termination was issued to SAB via 1TB01005-005C02-AMA-LTR-0210 on 23 Jul 25
09 Aug 25: Claims team to advise on what action is required.
24 August 25: Ditto
06 Oct 25: Ditto
17 Nov 25: Agreed item can be closed given Contractor is terminated  in internal calims/commercial meeting on  13 Nov 25.</t>
  </si>
  <si>
    <t>Extension of Time Claim AYC - non-readiness of site (Interim Claim)</t>
  </si>
  <si>
    <t>1TB01003C08</t>
  </si>
  <si>
    <t>1TB01003-003C08-RQN-LTR-0001</t>
  </si>
  <si>
    <t>1TB01003-003C08-AMA-LTR-0017</t>
  </si>
  <si>
    <t xml:space="preserve">RQN01003-CLM-000001 dated 31 Jul 24
RQN01003-CLM-000004 dated 22 Aug 24
RQN01003-CLM-000005 29 Aug 24
RQN01003-GENCORR-000028
</t>
  </si>
  <si>
    <t>1TB01003-003C08-AMA-LTR-0032</t>
  </si>
  <si>
    <t>AMA01003-EMPI-000005</t>
  </si>
  <si>
    <t>1TB01003-003C08-AMA-LTR-0020 dated 17 Aug 24
AMA01003-GENCORR-00094 dated 13 Dec 24</t>
  </si>
  <si>
    <t>13 Jan 24: commercial to chase the contractor for resubmission
25 Jan 2025 : Commercial currently reviewing, certain clarifications still pending and will be discussed with Planning and Delivery team this week
28 Jan 25: contractor submitted further particulars on 15 Jan 25 via aconex mail ref RQN01003-GENCORR-000028, revised EOT report was sent to claims &amp; planning for review
11 Feb 25: Ditto
17 Feb 25: Planning reverted the report incorporating TIA
18 Feb 25: EAR under approval with claims team
24 Feb 25: ditto
05 Feb 25: EAR approved by claims and sent to commercial to initiate WF
09 Mar 25: EOT Report (time) in WF for approval (WF-011406)
23 Mar 25: WF approved by GCEO, to be issued to the contractor
06 Apr 25: Letter approved on 05 April 2025 - Employer's Assessment to be issued to contractor by COB today
09 Apr 25: EAR issued to the contractor on 06 Apr 25 via ref 1TB01003-003C08-AMA-LTR-0032 
17 Apr 25: awaiting contractors acceptance of the report
20 Apr 25: Contractor accepts the Employer's Assessment on 17 Apr via ref  RQN01003-GENCORR-000032. Commercial to issue EI awarding EOT to formally close this line item
22 Apr 25: Ditto
29 Apr25: Employer's Instruction No. 02 - Extension of Time of the Time for Completion – EOT 01 issued to RAQTAN under Aconex mail AMA01003-EMPI-000005 on 28 Apr 2025.</t>
  </si>
  <si>
    <t>1TB01009C12</t>
  </si>
  <si>
    <t>1TB01009-009C12-MEC-LTR-0020</t>
  </si>
  <si>
    <t>1TB01009-009C12-AMA-LTR-0060</t>
  </si>
  <si>
    <t>1TB01009-009C12-MEC-LTR-0028 dated 13 Jul 24
1TB01009-009C12-MEC-LTR-0041 dated 11 Nov 24
MEC01009-TRANSMIT-000237
1TB01009-009C12-MEC-LTR-0042</t>
  </si>
  <si>
    <t>1TB01009-009C12-AMA-LTR-0091</t>
  </si>
  <si>
    <t>EOT Submission ref. 1TB01009-009C12-MEC-LTR-0020 dated 20 April 2024
Employers response to EOT ref. 1TB01009-009C12-AMA-LTR-0060 dated 12 June 2024
Contractor's response: 1TB01009-009C12-MEC-LTR-0028 dated 13 July 2024
1TB01009-009C12-MEC-LTR-0041 dated 11 Nov 24</t>
  </si>
  <si>
    <r>
      <t xml:space="preserve">23 Feb 26: Response to NOD issued to Contractor. Ref - 1TB01009-009C12-AMA-LTR-0103 dated 15 Feb 26.
08 Mar 26: Ditto
06 Apr 26: Determination previously issued and response to NOD issued. No further action required from RSG at the moment 
20 Apr 26: Ditto
04 May 26: Ditto
18 May 26: Ditto
31 May 26: Ditto
04 Jun 26: Ditto
15 Jun 26: Commercial to issue a letter confirimg this claim to be closed in the absence of any response from the contractor till date
27 Jun 26: Final account negotiation is ongoing with the Contractor, including EOT claim, aiming to conclude the draft Final Statement and receive the final letter of discharge from the Contractor by 21 July 26
13 Jul 26: Ditto
25 Jul 26: Ditto. Expected by first week of 03 August 2026
10 Aug 26: Contractor to settle the outstanding Accommodation payments. Once completed, TOC and FAS shall be issued. Target date 20 Aug 26
22 Aug 26: No further action. Discharge letter from Contractor is being prepared and shall be received by 27 Aug 26 - This shall confirm agreement to EOT issued, waive off all prolongation and any further claims and close the Contract.
</t>
    </r>
    <r>
      <rPr>
        <sz val="12"/>
        <color rgb="FFFF0000"/>
        <rFont val="Amaala Sans"/>
      </rPr>
      <t>5 Sep 26: Through letter ref. 1TB01009-009C12-MEC-LTR-0061 dated 25 Aug 26 contractor has confirmed the closure of the Contract with the provided EOT duration and confirmed no prolongation cost</t>
    </r>
    <r>
      <rPr>
        <sz val="12"/>
        <rFont val="Amaala Sans"/>
      </rPr>
      <t xml:space="preserve">
19 Sep 26: the Taking-Over Certificate (TOC) for the Contract is currently under internal review and approval. The target completion date is 03 October 2026</t>
    </r>
  </si>
  <si>
    <t>Extension of time - Precast Elements for fixed jetties variation order</t>
  </si>
  <si>
    <t xml:space="preserve">ALS01031-GENCORR-000412 </t>
  </si>
  <si>
    <t>AMA01031-GENCORR-000902</t>
  </si>
  <si>
    <t>ALS01031-GENCORR-000417 dated 30 Jul 24
ALS01031-GENCORR-000419</t>
  </si>
  <si>
    <t>1TB01031-031C02-AMA-LTR-0028</t>
  </si>
  <si>
    <t>ALS01031-GENCORR-000412 dated 07 Jun 24
ALS01031-GENCORR-000416 dated 30 Jul 24
AMA01031-GENCORR-000902 dated 31 Jul 24
AMA01031-GENCORR-000907 dated 07 Aug 24
ALS01031-GENCORR-000419 dated 08 Aug 24</t>
  </si>
  <si>
    <t>09 Sept 24 EOT-2 Employer report was put in WF for the Approval without claim's review, it got pulled back and currently getting reveiwed by Claims team
11 Sep 24: final draft report sent to commercial to put in for WF process
06 Oct 24: WF approval for Employer's EOT-02 report is in final stage of WF (1TB01031-031C02-AMA-RPT-PM-0001)
14 Oct 24: WF process completed, Commercial to prepare the cover letter &amp; issue the Assessment report to the contractor (WF-012007)
17 Oct 24: WF Approval for cover letter in its last stage, Targeted to issue the assessment to contractor this week
21 Oct 24: Assessment report issued to the contractor via letter ref 1TB01031-031C02-AMA-LTR-0028 on 20 Oct 24
4 Nov 24: P1 to update
20 Nov 24: Contractor confirmed acceptance of the assessment report (ALS01031-GENCORR-000430). Commercial team to prepare VO/PVO followed by a DVO for the fomral closure of the claim
04 Dec 24: VO/PVO in WF (WF ref to be provided)
15 Dec 24: No Cost hence no PVO VO DVO</t>
  </si>
  <si>
    <t>Extension of time (EOT) Claim 1- Rev 1
(delay due to late access to the site)</t>
  </si>
  <si>
    <t>1TB01100C04</t>
  </si>
  <si>
    <t>1TB01100-100C04-AIC-LTR-0007</t>
  </si>
  <si>
    <t>1TB01100-100C04-AMA-LTR-0062</t>
  </si>
  <si>
    <t>AIC01100-GENCORR-000077</t>
  </si>
  <si>
    <t>1TB01100-100C04-AMA-LTR-0075</t>
  </si>
  <si>
    <t>1TB01100-100C04-AIC-LTR-0007 dated 17 July 24
1TB01100-100C04-AMA-LTR-0062 dated 08 Aug 24
1TB01100-100C04-AMA-LTR-0068 25 Sep 24</t>
  </si>
  <si>
    <t>16 Feb 25: report sent back to commercial incorporating TIA.
17 Feb 25: report upated and reverted to planning for review and further inputs. Planning has approved the updates and now sent to claims team for approval
18 Feb 25: EAR approved by claims. commercial to intiate the WF process
23 Feb 25: EAR in WF (ref)
09 Mar 25: Assesment Report approved by GCEO. Cover letter to issue Assesment to Contractor in WF (WF-013133)
24 Mar 25: EAR issued to contractor on 81 Mar 25. awaiting acceptance from contractor
07 Apr 24: Ditto
09 Apr 25: Ditto
20 Apr 25: Ditto
22 Apr 25: recieved an email from contractor agreeing with our assessment on 21 Apr 25. Contractor to formally issue a letter via aconex
05 May 25: awaiting formal confirmation of EAR via Aconex
19 May 25: KIC issued confirmation by letter, however this was not submitted via ACONEX. KIC advised to submitt in ACONEX. 
02 Jun 25: Commercial Team preparing a EI for agreed EoT. KIC agreed with Employer assesment fo both Time and Cost i.e no Prolongation Costs claimed.
16 Jun 25: EI in the WF for approval WF-014884.
30 Jun 25: EI issued and acknowledged by Contractor. PVO under process in WF (RFC-000074) 
(1TB01100-100C04-AMA-EMIPM-0001)
NB- Commercial Team understands that the Contractor was required to demobilize off site by 30 September 2024 and thereby potentially putting RSG at risk since there was no formal Termination (only scope awarded to ASTRA is to be de-scoped as per PVO under process).
A VO is now approved and to be issued in retrospect, to cover the descoped works by 30 Sept 2024</t>
  </si>
  <si>
    <t>Extension of Time Claim #01 – Interim Report #01 (Time Claim)</t>
  </si>
  <si>
    <t>1TB01009C17</t>
  </si>
  <si>
    <t>1TB01009-009C17-HAM-LTR-0012</t>
  </si>
  <si>
    <t>1TB01009-009C17-AMA-LTR-0023</t>
  </si>
  <si>
    <t>1TB01009-009C17-HAM-LTR-0016 dated 31 Jul 24
1TB01009-009C17-HAM-LTR-0029 dated 08 Oct 24
1TB01009-009C17-HAM-LTR-0068 13 Apr 25
1TB01009-009C17-HAM-LTR-0084 (EOT rev 06) received on 25 May 25
1TB01009-009C17-HAM-LTR-0103 on 21 Jan 26
1TB01009-009C17-HAM-LTR-0112</t>
  </si>
  <si>
    <t>Response requesting better and further particulars uploaded to WF on 24 July 24.
1TB01009-009C17-AMA-LTR-0033 dated 29 Aug 24
1TB01009-009C17-AMA-LTR-0051 on 13 Feb 25
AMA01009-GENCORR-004847 dated 14 May 25</t>
  </si>
  <si>
    <r>
      <rPr>
        <sz val="12"/>
        <color rgb="FF000000"/>
        <rFont val="Amaala Sans"/>
      </rPr>
      <t xml:space="preserve">13 Dec 25: Commerical will start preparing the EAR - Target 15 Jan 26
10 Jan 26: Meeting held with Contractor on 07 Jan 26. Contractor agreed to update and resubmit the EOT request.
21 Jan 26: Contractor resubmitted their EOT claim Ref. 1TB01009-009C17-HAM-LTR-0103 ON 21- Jan- 2026. 
27 Jan 26: Shall be reviewed and processed once their second stage is concluded. Target date - 25 Feb 26. 
09 Feb 26: Ditto
22 Feb 26: Ditto
07 Mar 26:  Shall be reviewed and processed once their second stage is concluded. Target date to conclude 2nd stage by 21 March 26. 
06 Apr 26: Second stage values has been agreed. Contractor is working on the revised Programme. 
20 Apr 26: Ditto
04 May 26: DItto
18 May 26: Contractor accepted Second Stage officially  ref. 1TB01009-009C17-HAM-LTR-0109 on 14 May-2026. Contractor still working on the revised Programme. // Commercial to write to the contractor to resubmit the claim based on teh revised programme
31 May 26: Contractor will resubmit the EOT incorporating the second stage changes.
04 Jun 26: Ditto
15 Jun 26:Action still with contractor revising the programme in relation to stage 2
29 Jun 26: General Correcpondence issued to the Contractor AMA01009-GENCORR-006373 on (24 Jun 26) stating to resubmit the revised claim incorporating the 2nd stage conversion
13 Jul 26: Awaiting Contractor's revised submission
25 Jul 26: Contractor's revised submission received (1TB01009-009C17-HAM-LTR-0112 on 19 Jul 26). Planning comments received. Initial response shall be prepared - 5 Aug 26
10 Aug 26: Planning has no comments. EAR is being prepared. Target date - 20 Aug 26
22 Aug 26: EAR is under preparation. Target date deferred to 10 Sep 26
5 Sep 26: Site access information requested from Contractor and the Contractor provided this information on 2 Sep 26. Currently under review with Delivery team. Once finalised, EAR shall be updated and issued. 
19 Sep 26: Currently under review with Delivery team. Once finalised, EAR shall be updated and issued. 
</t>
    </r>
    <r>
      <rPr>
        <sz val="12"/>
        <color rgb="FFFF0000"/>
        <rFont val="Amaala Sans"/>
      </rPr>
      <t>04 Oct 26: The Contractor has not provided the WIRs and clearance logs for the affected areas, despite these being requested on 06 September 2026.Also, the Contractor has revised and resubmitted its EOT 01 (1TB01009-009C17-HAM-LTR-0067 on 28 September 26) with updated cut-off date of 31 Aug 26.Accordingly, draft EAR for Merit &amp; Chronology (Pre-TIA) to be updated following the receipt of pending information and considering the revised cutoff date submission.</t>
    </r>
  </si>
  <si>
    <t>Extension of Time Claim #01 – Interim Report #01 (Prolongation)</t>
  </si>
  <si>
    <t>1TB01009-009C17-HAM-LTR-0016</t>
  </si>
  <si>
    <t>14 Jul 24: Initial response is being prepared. 
29 Jul 24: initial response in  WF-010318
12 Aug 24: Initial response issued to the contractor on 30 Jul 24 to revise &amp; resubmit contractor submitted the interim report 2 on 31 Jul 24. Commercial to review &amp; respond
26 Aug 24: assosiated with above line item
08 Sep 24: Ditto
07 Oct 24: awaiting response from contractor
11 Feb 25 - 21 Sep 26: Ditto</t>
  </si>
  <si>
    <t>Delays suffered by the Contractor</t>
  </si>
  <si>
    <t>1TB01005C18</t>
  </si>
  <si>
    <t>1TB01005-005C18-ZSS-LTR-0025</t>
  </si>
  <si>
    <t>1TB01005-005C18-AMA-LTR-0058</t>
  </si>
  <si>
    <t xml:space="preserve">1TB01005-005C18-ZSS-LTR-0037 dated 03 Oct 24
1TB01005-005C18-ZSS-LTR-0043 on 10 Nov 24
1TB01005-005C18-ZSS-LTR-0054 </t>
  </si>
  <si>
    <t>1TB01005-005C18-AMA-LTR-0094 (1TB01005-005C18-AMA-EMI-PM-0007)</t>
  </si>
  <si>
    <t>-	Contractor has submitted a delay notice which includes a chronology of events, Contract clause references for entitlement and alleged reasons for entitlement. The Contractor’s alleged reasons are design changes / delays, addition of secondary steelwork to scope and delayed information from the façade contractor. 
-	The Contractor has stated they are preparing an EoT claim which will include the details above and that they will submit this shortly.
-	Project team are undertaking a review of the delay notice and will prepare a draft response for internal review</t>
  </si>
  <si>
    <r>
      <t xml:space="preserve">28 Jul 25: commercial to proceed with the assessment report preperation
12 Aug 25: commercial report prepartion on-going, target to issed to Claims by 19 August 
24 Aug 25: EAR under process, will be issued today. Project team have agreed a value for the return visit and propose to resubmit the DVO for approval extending the Completion date as per the Taking Over Date. EAR Targeted to issue to claims by EOD
25 Aug 25: Draft EAR report sent to claims for review with no entitlement as the contractor has agreed to withdraw the EOT claim based on the agreement that VO-05 provides an excusable, non-compensable extension of the Time for Completion and that the return visit would extend the Time for Completion to cover the period required to finalize the Works. Hence the start date for this claim has been considered as the contractor letter 1TB01005-005C18-ZSS-LTR-0054 received on 26 Mar 25
30 Aug 25: Draft Report sent back to commercial with comments to be addressed
03 Sep 25: Draft EAR sent to planning for TIA
08 Sep 25: Comm to confirm the dates with Planning
06 Sep 25: with Planning for TIA
07 Oct 25: TIA concluded and sent back to commercial &amp; Draft EAR sent to claims team for review
20 Oct 25: targeted to revert by 23 Oct 25
23 Oct 25: Draft EAR approved and sent to commercial to initiate WF
26 Oct 25: WF initiated under ref WF-035797
31 Oct 25: EAR internal WF approval with planning /Shaju(WF-035797)
</t>
    </r>
    <r>
      <rPr>
        <b/>
        <sz val="12"/>
        <rFont val="Amaala Sans"/>
      </rPr>
      <t>XX</t>
    </r>
    <r>
      <rPr>
        <sz val="12"/>
        <rFont val="Amaala Sans"/>
      </rPr>
      <t xml:space="preserve"> Nov 25: EI for the EOT issued to contractor via 1TB01005-005C18-AMA-LTR-0094 (1TB01005-005C18-AMA-EMI-PM-0007)
17 Nov 25: Internal EAR approved (AMA01005-WTRAN-069109) on 11 Nov 25. EI going through WF approvals (WF-036420 - Ref  1TB01005-005C18-AMA-EMI-PM-0007. Item can be closed? Works completed and Project team working to agree Final Statement
</t>
    </r>
    <r>
      <rPr>
        <b/>
        <u/>
        <sz val="12"/>
        <rFont val="Amaala Sans"/>
      </rPr>
      <t>EI approved in WF, but still not issued to contractor
17 Nov 25: EI issued to contractor</t>
    </r>
    <r>
      <rPr>
        <sz val="12"/>
        <rFont val="Amaala Sans"/>
      </rPr>
      <t xml:space="preserve">
</t>
    </r>
    <r>
      <rPr>
        <b/>
        <i/>
        <u/>
        <sz val="12"/>
        <rFont val="Amaala Sans"/>
      </rPr>
      <t>PS: this EAR is being prepared for internal purpose and will not be issued to the contractor</t>
    </r>
  </si>
  <si>
    <t>Extension of Time Claim No 1</t>
  </si>
  <si>
    <t>1TB01002C07</t>
  </si>
  <si>
    <t>Raqtan-CLM-000001</t>
  </si>
  <si>
    <t>1TB01002-002C07-AMA-LTR-0011</t>
  </si>
  <si>
    <t>Raqtan-CLM-000003 dated 02 Nov 24
 1TB01002-002C07-RQN-FRM-PM-0003 18 Jan 25
Raqtan-CLM-000005 on 21 Oct 25
Raqtan-CLM-000006 on 30 Dec 25
Raqtan-CLM-000007 11 Mar 26
Raqtan-CLM-000008</t>
  </si>
  <si>
    <t>The Contractor has submitted the Extension of Time as a submittal. The Contractor to submit the Extension of Time through a letter. 
The Contractor has generalized the impact of issuance of revised IFCs as it is impacting full scope and all engineering submission activities. 
The Employer recommends conducting a workshop or a presentation prior to submission of Extension of Time request.
1TB01002-002C07-RQN-FRM-PM-0001 (Raqtan-TRANSMIT-000064) dated 03 Sep 24 - Contractor aknowleded employers letter and confirms resubmission of claim
Raqtan- CLM-000003 "MLH EOT Claim Request" , EOT rev 01, dated 03 Nov 2024. 
1TB01002-002C07-AMA-LTR-0016 dated 29 Dec 24
1TB01002-002C07-RQN-FRM-PM-0003[C0] dated 18 Jan 25
AMA01002-GENCORR-002290 issued on 30 Jan 2025.</t>
  </si>
  <si>
    <t>11 Aug 24: EOT received on 08-August. Planning initial review ready. The response for fomral submission through letter to be issued during the day. Commercial to review and respond to contractor within 21 days.
25 Aug 24: Same as above
10 Nov 24: Contractor submitted revised submission on 02 Nov 24 wide Raqtan-CLM-000003
13 July 25: Ditto
01 Dec 25: Ditto
22 Apr 25: This line item has been cancelled as the contractor hasnt yet submitted a cost figure and is subject to sumbit upon finalising the EOT claim</t>
  </si>
  <si>
    <t>Notification of Extension of Time (EOT - 01) </t>
  </si>
  <si>
    <t>1TB01002C22</t>
  </si>
  <si>
    <t>CBE01002-GENCORR-000028</t>
  </si>
  <si>
    <t>1TB01002-002C22-AMA-LTR-0036</t>
  </si>
  <si>
    <t>CBE01002-GENCORR-000029 dated 12 Sep 24
CBE01002-GENCORR-000032 dated 17 Nov 24
CBE01002-GENCORR-000034 06 Dec 24
1TB01002-002C22-CBE-LTR-0008
CBE01002-GENCORR-000042 25 Feb 2025
1TB01002-002C22-CBE-LTR-0012 (CBE01002-GENCORR-000046) on 02 Jul 25
1TB01002-002C22-CBE-LTR-0015
CBE01002-GENCORR-000047 on 05 Aug 25
CBE01002-GENCORR-000049 on 21 Aug 25
CBE01002-GENCORR-000051</t>
  </si>
  <si>
    <t>1TB01002-002C22-AMA-RPT-PM-0002
report put in workflow via WF -036980 on 09 Feb 26
1TB01002-002C22-AMA-LTR-0056 on 05-Mar-2026</t>
  </si>
  <si>
    <t>Under review. Time claim only.
1TB01002-002C22-AMA-LTR-0039 dated 06 Oct 24
CBE01002-GENCORR-000041 dated 16 Jan 24
CBE01002-GENCORR-000042 dated 25 Feb 25
1TB01002-002C22-AMA-LTR-0048 dated 14 Apr 25</t>
  </si>
  <si>
    <r>
      <t xml:space="preserve">07 Feb 26:  EAR sent back to Claims team with updtaed TIA .
08 Feb 26: Approved and sent to commercial to initiate WF process
21 Feb 26: EAR for EOT 01 is under RSG's management  approval via WF -036980
05 Mar 26: EAR for EOT 01 was issued to the Contracor  via letter ref. 1TB01002-002C22-AMA-LTR-0056
10 MAr 26: Contractor responded rejecting the report via CBE01002-GENCORR-000058
28 Mar 26: letter sent to Planning for their comments
06 Apr 26: The Contractor has responded to RSG's letter via ref CBE01002-GENCORR-000058 (1TB01002-002C22-CBE-LTR-0029) dated 11-Mar-26, and provided addendum for the claim for RSG's review. Under Review by Planning.
13 Apr 26: Planning team targeted to provide comments on the response by 14 Apr 26
16 Apr 26: Planning provided their input in response to contractors letter
20 April 26: Letter in the WF (WF-039246)
04 May 26: RSG response to Contractor's comments to EAR was issued via letter ref: 1TB01002-002C22-AMA-LTR-0060 on 27- April-26 incorporating comments from planning to the contractor's concerns / dissatisfaction
18 May  26: the Contractor responded to the Employer's letter via  1TB01002-002C22-CBE-LTR-0034  on 06 May 2026. Contractor requested the Employer's review in the Final EOT submitted (EOT #2) - Comm to discuss with planning if all action can be closed under EOT 2 // if agreed, comm to responde to the contractor with the same 
31 May 26 : Pending confirmation from the Contractor for close-out of EOT #1 EAR considering the associated Delay Events have been addressed within the EOT 2 EAR. Draft EAR related to EOT # 2 shared with Claims team on 30 May 2026 for review and comments.
04 Jun 26: Claims responded to Commercial on 1 Jun 26.  Commercial to revise and resubmit.
15 Jun 26: under process with commercial to revise and resubmit addressing the commentsfrom claims team
28 June 26: Commercial to discuss with Contractor to close EOT 01 as the further particulars submitted by the Contractor is included and will be assessed under EOT 02.  After agreement with Contractor, Commercial will issue the EI for EOT 01, target date to complete this process by 06 July 26.
</t>
    </r>
    <r>
      <rPr>
        <sz val="12"/>
        <color rgb="FFFF0000"/>
        <rFont val="Amaala Sans"/>
      </rPr>
      <t xml:space="preserve">12 Jul 26: Based on the confirmation received from the Contractor's Project Director, EI related to EOT 1 under approval. Target date to issue to the Contractor 15 July 2026. </t>
    </r>
    <r>
      <rPr>
        <sz val="12"/>
        <color rgb="FFCC00FF"/>
        <rFont val="Amaala Sans"/>
      </rPr>
      <t>(Provide EI ref / WF ref etc)</t>
    </r>
    <r>
      <rPr>
        <sz val="12"/>
        <rFont val="Amaala Sans"/>
      </rPr>
      <t xml:space="preserve"> - - WF still not initiated
26 July26: Letter and EI issued on 23 July 26 (Ref. 1TB01002-002C22-AMA-LTR-0062, 1TB01002-002C22-AMA-EMI-PM-0007)</t>
    </r>
  </si>
  <si>
    <t>EOT Claim No. 01 - 7 Delay Events Due to the late response to RFIs</t>
  </si>
  <si>
    <t>1TB01006C20</t>
  </si>
  <si>
    <t>CBE01006-WTRAN-000409
1TB01006-006C20-CBE-PLN-SM-0002</t>
  </si>
  <si>
    <t>1TB01006-006C20-AMA-LTR-0035</t>
  </si>
  <si>
    <t>CBE01006-GENCORR-000033 dated 11 Aug 24
1TB01006-006C20-CBE-LTR-0003
(CBE01006-GENCORR-000047) dated 11 Jan 25
CBE01006-GENCORR-000049 date 05 Mar 25
1TB01006-006C20-CBE-LTR-0009
CBE01006-GENCORR-000051</t>
  </si>
  <si>
    <t>1TB01006-006C20-AMA-LTR-0055</t>
  </si>
  <si>
    <t>1TB01006-006C20-AMA-LTR-0044 dated 19 Sep 24
1TB01006-006C20-CBE-LTR-0003 dated 11 Jan 25
AMA01006-GENCORR-002731 dated 02 Feb 25</t>
  </si>
  <si>
    <t>20 Oct 25: Comm to write back to contractor addressing their comments &amp; issue a determination and ask them to submit revised claim as EOT 2, 
23 Oct 25: the abovementioned letter has been issued to contractor, Commercial to proceed with Determination
03 Nov 25: comm targeted to issue the determination by next week
17 Nov 25: letter requesting the contractor formally accept the EOT report to be put in WF, following to that Commercial to issue determination by 27 Nov 25
29 Nov 25 - letter issued requesting the Contractor to formally accept EOT Ass Report (ref.  1TB01006-006C20-AMA-LTR-0059). Contractor responded however the response does not focus on the EAR but just updated submissin. A meeting was held on 25  Nov 25 to discuss the way forward. Contractor will respond to the EAR and will submit an EOT 02 (FINAL) covering all delay events from EOT 01 cut-off date of 27 June 2025. 
02 Dec 25: contractor issued a letter disagreeing with the employer's response and further rejected EAR for EOT-01 due to a revision they issued before our EAR, Commercial seeks advice from claims team on whether to revise EAR for EOT-01.
06 Dec 25: Claim team suggested issuing a determination for EOT one and to address DE17 (additional event) in EOT 2 and further requested confirmation with planning
07 Dec 25: Planning confirmed on proceeding with the same
08 Dec 25: response letter clarifying the suggesion along with teh determination put in Workflow (WF-38973)
15 Dec 25: Determination letter  in the Workflow (WF-38973). We will issue an EI following the letter. // determination issued via 1TB01006-006C20-AMA-LTR-0061
21 Dec 25: EI Issued to contractor via AMA01006-EMPI-000040</t>
  </si>
  <si>
    <t>1TB01002C04</t>
  </si>
  <si>
    <t>1TB01002-002C04-SPM-LTR-0139</t>
  </si>
  <si>
    <t>1TB01002-002C04-AMA-LTR-0140</t>
  </si>
  <si>
    <t>1TB01002-002C04-SPM-LTR-0166 on 30 Jan 25
1TB01002-002C04-SPM-LTR-0187 on 28 May 25
1TB01002-002C04-SPM-LTR-0198 03 Aug 25
SPM01002-GENCORR-000438 on 08 Sep 25
SPM01002-GENCORR-000478 on 16 Oct 25
Additional particulars submitted via internal Email on 13 Nov 25
SPM01002-GENCORR-00050 on 13 Dec 25
Email dated 23 February 2026 with additional particulars related to DE-03 
Email dated 02 April 2026, with additional particulars related to DE-05, DE-06 and DE-7 requested by the Employer, linking the Claim chronology to impacted activities in Contractor’s TIA (Appendix DE-05, Appendix DE-06, Appendix DE-07)</t>
  </si>
  <si>
    <t>Currently in WF-040529 initiated on 02 Jun 26
1TB01002-002C04-AMA-RPT-PM-0002
30 Jun 26: EAR issued to contractor via 1TB01002-002C04-AMA-LTR-0270</t>
  </si>
  <si>
    <t xml:space="preserve">The Contractor to submit the Extension of Time through a letter. 
A feedback on methodology given to Contract in a  workshop lead by HO planning department on 30 Sep 2024.  
Response will be  drafted based on the workshop comments. 
</t>
  </si>
  <si>
    <t>Interim Extension of Time Claim No. 1 up to a cut-off date of 31 July 2024</t>
  </si>
  <si>
    <t>1TB01006C15</t>
  </si>
  <si>
    <t>1TB01006-006C15-SPM-LTR-0159</t>
  </si>
  <si>
    <t>1Tb01006-006C15-AMA-LTR-0140</t>
  </si>
  <si>
    <t>1TB01006-006C15-SPM-LTR-0196 on 26 Mar 25
1TB01006-006C15-SPM-LTR-0226
 on 03 Aug 25
1TB01006-006C15-SPM-LTR-0237 on 14 Sep 25
1TB01006-006C15-SPM-LTR-0245
Email dated 21 December 2025 (particulars related to DE-09, Appendix “DE-09”)
Email dated 01 January 2026 (particulars related to DE-13 &amp; DE-14, Appendix “DE-13”/Appendix “DE-14”)
Email dated 07January 2026 (particulars related to DE-06, Appendix “DE-06”)
Email dated 08 January 2026 (particulars related to DE-05, Appendix “DE-05”)
Email dated 18 January 2026 (particulars related to DE-04, Appendix “DE-04”)</t>
  </si>
  <si>
    <t>Workflow initiated under ref WF-042702 on 06 Apr 26
1TB01006-006C15-AMA-RPT-PM-0002</t>
  </si>
  <si>
    <t>Superseded</t>
  </si>
  <si>
    <r>
      <t>02 Mar 26: TIA targeted to be concluded by 12 Mar 2026
08 March 26: TIA still with Planning
16 Mar 26: To be issued 16 Mar 26
17 Mar 26: TIA incorporated and send to commercial 
18 Mar 26: Commercial requested clarification on TIA
29 Mar 26: Sent to Claims for final review.
05 Apr 26: EAR pre-approved and sent to commercial for WF approvals 
06 Apr 26: WF initiated via WF-042702
20 Apr 26: Ditto
02 May 2026 - WF-042702 pending with JP 
14 May 26: EAR approved. Letter for issuance of EAR under WF-043894 Ref. 1TB01006-006C15-AMA-LTR-0294
17 May 26: EAR issued 1TB01006-006C15-AMA-LTR-0294, awaiting contractor's acceptance
04 Jun 26: Ditto
06 Jun 26: Contractor responded via (1TB01006-006C15-SPM-LTR-0307) on 06 Jun 26, action with planning for their input
15 Jun 26: Ditto (shaju to update)
21 Jun 26: Planning responded that the contractor highlights its disagreement witth the validated chronology of the employer, and that the issues surrounding the chronology and cause &amp; effect of the events are to be addressed by the Commercial team. Planning also suggested to conduct a WS meeting with the contractor
29 June 26: Workshop with the Contractor is arranged on 30 June 2026
12 July 26: Workshop held on 30 Jun 26. Contarctor submitted further particulars (</t>
    </r>
    <r>
      <rPr>
        <sz val="12"/>
        <color rgb="FFCC00FF"/>
        <rFont val="Amaala Sans"/>
      </rPr>
      <t>through email on 4 July 26</t>
    </r>
    <r>
      <rPr>
        <sz val="12"/>
        <rFont val="Amaala Sans"/>
      </rPr>
      <t xml:space="preserve">), under review by Commercial. target to complete by 23 July 26 - reassessment to be added as a new item
</t>
    </r>
    <r>
      <rPr>
        <u/>
        <sz val="12"/>
        <rFont val="Amaala Sans"/>
      </rPr>
      <t>14 Jul 26: This line item has been superseded as a reassment is being carried out based on the email from contractor received on 04 Jul 26 rejecting the EAR by providing additional particulars. reassement line item has been added below as Item 148.0</t>
    </r>
  </si>
  <si>
    <t>Extension fo Time Claim No. 1</t>
  </si>
  <si>
    <t>1TB01006C06</t>
  </si>
  <si>
    <t>RAQTAN-CLM-000001</t>
  </si>
  <si>
    <t>1Tb01006-006C06-AMA-LTR-0018</t>
  </si>
  <si>
    <t>1TB01006-006C06-RQN-FRM-PM-0002
(Raqtan-TRANSMIT-000105) dated 31 Jan 25
DEOT - AMA01006-EMPI-000020 
1TB01006-006C06-AMA-EMI-CM-0002 on 15 Jun 25
Raqtan-CLM-000003 on 13 Oct 25
Raqtan-CLM-000004 on 15 Jan 26
Raqtan-CLM-00005 on 15 Mar 26
Raqtan-CLM-00006 on 22 Apr 26
Raqtan-GENCORR-000089 on 24 Aug 26</t>
  </si>
  <si>
    <r>
      <t xml:space="preserve">AMA01006-GENCORR-002811 dated 09 Feb 25
AMA01006-GENCORR-002834 dated 11 Feb 25
</t>
    </r>
    <r>
      <rPr>
        <sz val="12"/>
        <color rgb="FFFF0000"/>
        <rFont val="Amaala Sans"/>
      </rPr>
      <t>1TB01006-006C06-AMA-LTR-0028 dated 05 May</t>
    </r>
  </si>
  <si>
    <t>06 Apr 26: awaiting response from contractor
20 April 26: Awaiting Contractor's response
22 Apr 26: Revised / Updated claim submitted by contractor, Planning confirmed that the Methodology is in compliance TIA window analysis, commercial to review and update the EAR
04 May 2026: EAR target date 20 May. 
18 May 26: ditto. Target date moved to 08 Jun 26 due to Eid holidays.
31 May 26: Ditto - target date to complete by 15 June 26
04 Jun 26: Ditto
15 Jun 26:Target date moved to 21 Jun 26
29 June 26:  Target date moved to 09 July 26
11 July 26: Further particulars were requested form the Contractor. (Ref. AMA01006-CLRSP-000003 on 09 Jul 26)
14 Jul 26: no response received from the contractor till date, commercial proceeded with the EAR with the available data. Updated draft EAR sent to claims team for review
27 July 26: EAR sent to planning for TIA
03 Aug 26: TIA targeted to be concluded by 13 Aug 26
05 Aug 26: Planning team reverted with comments for commercial to address // updated draft sent back to planning on the same day
08 Aug 26: planning team reverted the EAR to commercial as some comments were 
not addressed
06 Aug 26: Further particulars requested from the Contractor (Gen Cor. AMA01006-GENCORR-004953)
24 Aug 26: Contractor submitted further particulars via Raqtan-GENCORR-000089
07 Sep 26: updated Draft EAR sent to claims team for further review
21 Sep 26: EAR reverted to commercial as most comments remained unanswered. Commercial to update &amp; resubmit 
29 Sep 26: Updated EAR sent back to claims team for review
02 Oct 26: EAR reverted to commercial with comments</t>
  </si>
  <si>
    <t>Interim Extension of Time Claim - EOT 01</t>
  </si>
  <si>
    <t>1TB01003C09</t>
  </si>
  <si>
    <t>1TB01003-003C09-DCC-LTR-0129</t>
  </si>
  <si>
    <t>1TB01003-003C09-AMA-LTR-0089</t>
  </si>
  <si>
    <t>1TB01003-003C09-DCC-LTR-0171 dated 26 Nov 24
1TB01003-003C09-DCC-LTR-0202</t>
  </si>
  <si>
    <t>1TB01003-003C09-AMA-LTR-0126</t>
  </si>
  <si>
    <t>1TB01003-003C09-DCC-LTR-0129 dated 8 October 2024
1TB01003-003C09-AMA-LTR-0089 dated 05 Nov 24
1TB01003-003C09-DCC-LTR-0171 dated 26 Nov 24
1TB01003-003C09-AMA-LTR-0102 dated 07 Jan 25</t>
  </si>
  <si>
    <t>10 Feb 2025 Commercial drafting the report (delivery /BIM imput delayed) ,targeted  to be issued to Claims on 16 February
18 Feb 25: EAR issued to claims team for review
18 Feb 2025 - EAR sent to Claims &amp; planning team for review
25 Feb 25: Final Draft report sent to planning to incorporate TIA
10 Mar 25: Ditto, finalising the TIA, Targeted to revert by this week
16 Mar 25: Planning has reverted the draft report incorporating TIA. 
17 Mar 25: Final Draft sent to claims for review &amp; Approval
09 Apr 25: Ditto
13 April 25: sent to KM for approval
15 Apr 25: Final EAR draft approved and sent back to commercial to proceed with WF approval
20 Apr 25: WF final EAR initiated in Aconex for approval on 15 Apr.  (WF - 012102 )
29 Apr 25: Employer's Assessment Report for EOT-01 (DEPA) approved under Aconex mail AMA01003-WTRAN-030618 on 25 Apr 2025.
29 Apr 25: Employer's Assessment Report for EOT-01 issued to DEPA for review and agreement under Aconex mail 1TB01003-003C09-AMA-LTR-0126 on 28 April 2025.
19 May 25: Awaiting DEPA's response/agreement to the assessment.
14 June 25 : Ditto to Last
21 Jun 25: received Depa's response requesting for a reassessment (1TB01003-003C09-DCC-LTR-0255)
30 Jun 25: Depa issued disagreement letter on the employer's assessment via aconex ref (DCC01003-GENCORR-000953) commercial to review and respond
14 Jul 25:action with Delivery to assess technical merit, commercial to respond that reassessment / review of the additional substantiation provided is ongoing and will submit an assessment shortly
28 July 25: Commercial carried out the review, in process of  approval/agreening with Delivery. 
12 Aug 25 - Planning team currently reviewing DEPA dispute of the time assesment from the Planning Team
18 Aug 25: Targeted to revert by 24 Aug 25
25 Aug 25: Ditto. Planning team target to complete their response by 26 Aug 2025. 
01 Sep 25: Target date moved to 04 Sep 25
08 Sep 25: Targeted to issue by 09 Sep 25</t>
  </si>
  <si>
    <t>Triple Bay Marina - Alsaad Consolidated Claim Report 03 (EOT 3)</t>
  </si>
  <si>
    <t>1TB01031-031C02-ALS-LTR-0300</t>
  </si>
  <si>
    <t>1TB01031-031C02-AMA-LTR-0040</t>
  </si>
  <si>
    <t>1TB01031-031C02-AMA-LTR-0040 date 16 Mar 25</t>
  </si>
  <si>
    <t>13 Feb 25: Contractor confirmed variation order and provided costs related to dewatering and stated that the additional time due to the dewatering is sufficient - Commercial assumes this closes the EOT - 1TB01031-031C12-ALS-LTR-0018 - claims team to advise
24 Feb 25: contractor to formally withdraw this claim to close this item
10 Mar 25: DVO issued to contractor for Dewatering. This claim to be closed upon formal withdrawal by the contractor
12 Mar 25: letter in WF advising the contractor to formally withdraw the EOT
16 Mar 25: letter (1TB01031-031C02-AMA-LTR-0040) has been issued to the contractor to formally withrdraw this EOT claim as the Contract has already been extended to 31 December 2024 in accordance with signed DVO-040 related to EI-45 and VO-54
12 March 2025 - WF-012981 Withrawal of EOT rerquest on WF by RSG
09 Apr 25: Ditto
22 Apr 25: Ditto
22 Apr 25: The Contractor withdraw the EOT, 1TB01031-031C02-ALS-LTR-0308
04 May 25: Ditto</t>
  </si>
  <si>
    <t xml:space="preserve">EOT-01 Extension of time - Installation Remeasured Contract for Fixed Jetty Strucuture </t>
  </si>
  <si>
    <t>1TB01031C12</t>
  </si>
  <si>
    <t xml:space="preserve">	
1TB01031-031C12-ALS-LTR-0008
ALS01031-TRANSMIT-000685</t>
  </si>
  <si>
    <t>AMA01031-GENCORR-000935</t>
  </si>
  <si>
    <t>1TB01031-031C12-ALS-LTR-0021</t>
  </si>
  <si>
    <t>Employer's Review on claim received on 14th Nov 2024 is under process. Commercial team to issue initial response within 21 days from the receipt of the claim
04 Dec 24: intial response under process
09 Dec 24: EOT report sent to claims for review. however, intiial response is still pending acknowledging  the claim. commercial to dicuss with claims on preparing the initial response
12 Dec 24: Initial comments issued to contractor on 11 Dec 24 via transmittal AMA01031-GENCORR-000935
22 Dec 24: Ditto
13 Jan 25: Ditto. Awaiting response from contractor
27 Jan 25: Commercial to issue a follow up letter
10 Feb 25: Ditto
24 Feb 25: Ditto
10 Mar 25: revised claim recieved on 10 Mar 25 (Letter Ref: 1TB01031-031C12-ALS-LTR-0021)
16 Mar 25: letter (1TB01031-031C12-AMA-LTR-0029 ) has been issued to the contractor to formally withrdraw this EOT claim as the Contract has already been extended to 30 April 2025 in accordance with DVO-001 related to EI-02 and VO-02
10 Mar 2025 Revised EOT-01 claim revised 1TB01031-031C12-ALS-LTR-0021
12 March 2025 - Withrawal of EOT rerquest on WF by RSG-WF-012984)
09 Apr 25: Ditto
20 Apr 25: Ditto, 
22 Apr 25: Contractor has withdrawn the EOT submission via ref 1TB01031-031C12-ALS-LTR-0025 on , therefore this line item is considered closed</t>
  </si>
  <si>
    <t>TB Marina Project - Request for Extension of Time</t>
  </si>
  <si>
    <t>1TB01031C10</t>
  </si>
  <si>
    <t>MME01031-TRANSMIT-000042
1TB01031-031C10-MME-LTR-0015</t>
  </si>
  <si>
    <t>AMA01031-GENCORR-000929</t>
  </si>
  <si>
    <t>MME01031-TRANSMIT-000043
1TB01031-031C10-MME-LTR-0015</t>
  </si>
  <si>
    <t xml:space="preserve">1TB01031-031C10-AMA-LTR-0029 </t>
  </si>
  <si>
    <t>1TB01031-031C10-AMA-EMI-PM-0001</t>
  </si>
  <si>
    <r>
      <t xml:space="preserve">22 Jan 25: Report sent to commercial for further updation as per planning's comments. report also need to capture the optimized design, implementation of accelerated measures &amp; the negative cost impact. Commercial team requested delivery team to provide necessary supporting documentation related to the chronology of events
25 Jan 25: action with planning proceed with the TIA. 
27 Jan 25: Ditto, Targeted to revert by end of this week
05 Feb 25: Report sent back to commercial on 03 Feb 25
09 Feb 25: Final Draft report with claims team for approval (Sent KM on 11 Feb 25)
13 Feb 25: EOT report approved by claims, report now put in WF (WF-012746)
22 Feb 25: WF still in progress
05 Mar 25: EAR issued to contractor via letter 1TB01031-031C10-AMA-LTR-0029 
10 Mar 25: awaiting acceptance from contractor
14 Mar 25: confirmation of acceptance of EAR recieved from the contrator.
09 Apr 25: Commercial to issue EI awarding the EOT 
20 Apr 25: </t>
    </r>
    <r>
      <rPr>
        <strike/>
        <sz val="12"/>
        <rFont val="Amaala Sans"/>
      </rPr>
      <t xml:space="preserve">No EI required as there is no Cost impact
</t>
    </r>
    <r>
      <rPr>
        <sz val="12"/>
        <rFont val="Amaala Sans"/>
      </rPr>
      <t>EI for Time to be issued in order to formally close this line item, commercial to check if EI is required or not
04 May 25:EI is currently on WF 013444 for approval
10 May 25: EI issued to contractor</t>
    </r>
  </si>
  <si>
    <t>Extension of Time - Claim No. 01</t>
  </si>
  <si>
    <t>1TB01009C19</t>
  </si>
  <si>
    <t>1TB01009-009C19-HAM-LTR-0017 dated 02 Dec 24
1TB01009-009C19-HAM-LTR-0024</t>
  </si>
  <si>
    <t>1TB01009-009C19-AMA-LTR-0043</t>
  </si>
  <si>
    <t>1TB01009-009C19-HAM-LTR-0040 on 27 May 25
1TB01009-009C19-HAM-LTR-0044 on 23 Oct 25
1TB01009-009C19-HAM-LTR-0049 on 21 Jan 26
1TB01009-009C19-HAM-LTR-0057 on 13 May 26
1TB01009-009C19-HAM-LTR-0062</t>
  </si>
  <si>
    <r>
      <rPr>
        <sz val="12"/>
        <color rgb="FF000000"/>
        <rFont val="Amaala Sans"/>
      </rPr>
      <t xml:space="preserve">17 Nov 25: The Contractor replied to the Rate of Progress letter refuting to submit Revised Programme until receipt of determination on the submitted EOT Claim, Target date for EAR moved to 11 Dec 2025
01 Dec 25: Ditto
13 Dec 25: EAR shall be issued to Claims for review by 15 Jan 26
12 Jan 26: Target date to conclude the EAR by 18 Mar 26
21 Jan 26: Contractor resubmitted their updated EOT Claim, ref.  1TB01009-009C19-HAM-LTR-0049 on 21 Jan 2026. 
27 Jan 26: Shall be reviewed and EAR shall be prepared. Target date 18 Mar 26.
09 Feb 26: Ditto
22 Feb 26: Ditto
24 Feb 26: Response issued on 15 Feb 26: AMA01009-GENCORR-005991
08 March 26: Response was issued on 07 March 26: AMA01009-GENCORR-006049
06 Apr 26: Revised submission, addressing the Employer comments is awaited.
20 Apr 26: Ditto, commercial to issue a follow up letter
02 May 26: Follow up letter issued to contractor via 1TB01009-009C19-AMA-LTR-0073
04 May 26: Awaiting response from Contractor.
18 May 26: Contractor Response received on 13 May 26 ref 1TB01009-009C19-HAM-LTR-0057. To be reviewed and process further. EAR Targeted to submit for claims review by 15 June 2026.
31 May 26: Ditto
04 Jun 26: Ditto
15 Jun 26:Target date moved to TBC
29 June 26: Traget date moved to TBC, Kumar to advise
13 Jul 26: Works are forecasted to be completed by first week of August 2026. Contractor has verbally confirmed to update and resubmit his EOT once the works are complete, so that a final and comprehensive assessment can be completed. Formal letter shall be issued by 14 Jul 26. 
25 Jul 26: Contractor has resubmitted its EOT (1TB01009-009C19-HAM-LTR-0062 on 15 Jul 26). Planning has no comments. Initial commercial comments if any shall be issued by 8 Aug 26. If no comments, EAR shall be prepared by 30 Aug 26
10 Aug 26: Review is being done. EAR target date remains same (30 Aug 26)
24 Aug 26: Ditto
5 Sep 26: Target date deferred to 30 Sep 26
21 Sep 26: Ditto
</t>
    </r>
    <r>
      <rPr>
        <sz val="12"/>
        <color rgb="FFFF0000"/>
        <rFont val="Amaala Sans"/>
      </rPr>
      <t>04 Oct 26: Contractor has revised and resubmitted its EOT 01 (1TB01009-009C19-HAM-LTR-0067 on 19 September 26) with updated cut-off date of 31 Aug 26.Accordingly, EAR for Merit &amp; Chronology (Pre-TIA) target date is revised to 25 Oct 26.</t>
    </r>
  </si>
  <si>
    <t>Extension of Time - Claim No. 01 (DEOT)</t>
  </si>
  <si>
    <t>1TB01005C24</t>
  </si>
  <si>
    <t>1TB01005-005C24-PRA-LTR-0007</t>
  </si>
  <si>
    <t>1TB01005-005C24-AMA-LTR-0027</t>
  </si>
  <si>
    <t>1TB01005-005C24-PRA-LTR-0011 dated 05 Apr 25
1TB01005-005C24-PRA-LTR-0016</t>
  </si>
  <si>
    <t xml:space="preserve">1TB01005-005C24-AMA-LTR-0042 </t>
  </si>
  <si>
    <r>
      <t xml:space="preserve">11 Oct 25: Draft report sent to planning to proceed with TIA
13 Oct 25: Target date TBC
17 Oct 25: EAR issued to planning on 11 Oct 25
20 Oct 25: Planning team targeted to revert by 30 Oct 25
27 Oct 25: Target date moved to 05 Nov 25
03 Nov 25: Ditto
10 Nov 25: Target date moved to 13 Nov 25
17 Nov 25: Ditto, to be finalised and send to commercial by 17 Nov 25
19 Nov 25: TIA incorporated and sent to claims team
23 Nov 25: EAR approved and sent to commercial to initiate WF
25 Nov 25: EAR put in workflow for approval - WF-036960
14 Dec 25: EAR questioned by BE in regard to concurrent delay. NE said he would close out with BE prior to issuance to Contractor. Meeting held with planning on 14 Dec 25, commercial to updat the chronology following the meeting. NE to advise if the new WF is required.
15 Dec 25: KM confirmed that the report can be issued directly to the contractor with amendments
24 Dec 25: EAR issued to contractor via 1TB01005-005C24-AMA-LTR-0042 
09 Jan 26: Pangea have responded confirming they do not accept concurrent delay and have issued a letter to confirm the reasons why procurement of handrails, lifts and ladders were delayed.(1TB01005-005C24-PRA-LTR-0020). 
10 Jan 26: Letter forwaded to planning and claims team to advise next steps.
12 Jan 25: claims team to responde by end of the day today
20 Jan 26: planning was advised to reassess the TIA
22 Jan 26: Issued to planning on 20 Jan
28 Jan 26: TIA incorporated and issued to claims
</t>
    </r>
    <r>
      <rPr>
        <b/>
        <u/>
        <sz val="12"/>
        <rFont val="Amaala Sans"/>
      </rPr>
      <t>New line Item added below under 113 as a reassessment of this EOT 01 EAR</t>
    </r>
  </si>
  <si>
    <t>1TB01005C06</t>
  </si>
  <si>
    <t>1TB01005-005C06-SSC-LTR-0033</t>
  </si>
  <si>
    <t>1TB01005-005C06-AMA-LTR-0048</t>
  </si>
  <si>
    <t>1TB01005-005C06-SSC-LTR-0040 on 02 Feb 25
1TB01005-005C06-SSC-LTR-0078</t>
  </si>
  <si>
    <t>1TB01005-005C06-AMA-LTR-0100</t>
  </si>
  <si>
    <r>
      <t xml:space="preserve">1TB01005-005C06-SSC-LTR-0034 dated 20 Jan 25
</t>
    </r>
    <r>
      <rPr>
        <b/>
        <sz val="12"/>
        <color theme="1"/>
        <rFont val="Amaala Sans"/>
      </rPr>
      <t xml:space="preserve">DEOT
</t>
    </r>
    <r>
      <rPr>
        <sz val="12"/>
        <color theme="1"/>
        <rFont val="Amaala Sans"/>
      </rPr>
      <t>1TB01005-005C06-AMA-LTR-0063
(1TB01005-005C06-AMA-EMI-PM-0004) issued on 07 May 25</t>
    </r>
  </si>
  <si>
    <r>
      <t>08 Aug 25: EoT Assessment Report being prepared - Target issue date is 27 Sept 25.
03 Oct 25: targeted to finalise by  11 Oct 
12 Oct 25: Targeted date moved to 17 Oct 25
17 Oct 25: Report issued to BK for review on 18 Oct 25. Targeted for review/ sent to claims is 20 Oct 25. 
20 Oct 25: Targeted to submit for claims revie by 21 Oct 25
25 Oct 25: Draft report sent to claims team for review, targeted to revert by 26 Oct 25
27 Oct 25: reviewed and sent back to commercial with comments, commercial resubmitted the updated draft for review on the same day// Draft report sent to Planning to proceed with TIA
03 Nov 25: Ditto / Fahad's Priority Planning to provide Target date
10 Nov 25: revised target date by 13 Nov 25
15 Nov 25: TIA incorporated and sent to commercial for finalisation prior to claims final review &amp; approval
16 Nov 25: Final Draft sent to claims team for review &amp; approval
17 Nov 25: Targeted to revert by 22 Nov 2025
20 Nov 25: EAR approved and sent to commercial to initiate WF
23 Nov 25: EAR put in</t>
    </r>
    <r>
      <rPr>
        <b/>
        <sz val="12"/>
        <rFont val="Amaala Sans"/>
      </rPr>
      <t xml:space="preserve"> WF-069996</t>
    </r>
    <r>
      <rPr>
        <sz val="12"/>
        <rFont val="Amaala Sans"/>
      </rPr>
      <t xml:space="preserve">
01 Dec 25: Ditto
14 Dec 25: WF with CEO
15 Dec 25: EAR approved by GCEO, comm to initiate WF for cover letter
23 Dec 25: EAR issued to contractor via 1TB01005-005C06-AMA-LTR-0100
12 Jan 25: awaiting acceptance from the contractor
22 Jan 26: Salco issued an acknowledge letter on 17 Jan (1TB01005-005C06-SSC-LTR-0088) - 
27 Jan 26: Formal determination and EI to be issued.
07 Feb 26: Determination( WF-040012 )&amp; EI award (WF-040013) on WF for approvals. 
21 Feb 26: Determination and EI award issued to Contractor on 16 Feb. No response from Contractor to date. 1TB01005-005C06-AMA-LTR-0112, 1TB01005-005C06-AMA-EMI-PM-0015</t>
    </r>
  </si>
  <si>
    <t>Extension 0f Time Claim No. 1</t>
  </si>
  <si>
    <t>1TB01006B01</t>
  </si>
  <si>
    <t>1TB01006-006B01-MGS-LTR-0013</t>
  </si>
  <si>
    <t>1TB01006-006B01-MGS-LTR-0020</t>
  </si>
  <si>
    <t>1TB01006-006B01-AMA-LTR-0014</t>
  </si>
  <si>
    <t>27 Jan 25 - Ditto. a revised submission was made on the 8th of Jan 2025, commercial to provide reference Under review by commercial, targted to issue by 29 Jan 25. Latest revised claim was sent to site planning team on 13 Jan 25
09 Feb 25 - Revised  Claim submission received form the Contractor  on 03 Feb 2025 (1TB06006B01-MGS-LTR-0020)
Under commercial review.
16 Feb 25 - Contractual merits were sent to Planning team on  11 Feb 25. Commercial is preparing for Commercial report.
24 Feb 25 - Commercial is preparing the Report
10 Mar 25 Commercial to send draft report to Claims by 11 March 2025
13 Mar 25: Draft Report sent to claims team for review
20 Mar 25: Draft report sent to Planning for TIA &amp; review
09 April 25 - Claims Report is with Planning Team for review (Shaju), Targeted to revert by 10 Apr 25
14 Apr 25: with planning targeted to revert by 15 Apr 25
20 Apr 25: Ditto
22 Apr 25: draft report sent back to commercial after TIA, Targeted 01 may 25
27 Apr 25: EAR put in WF for approvals (WF-029526)
03 May 25 - Draft report under WF-029593; 
04 May 25: Commercial to cancel the WF and submit to claims for final review and approval
05 May 25: Final Draft report submitted to claim for approval to proceed with WF process
07 May 25: Final assessment report approved by claims &amp; sent to commercial to proceed with WF
10 May 25: EAR put in WF for approval (WF-030532)
24 May 25: EAR issued to contractor via 1TB01006-006B01-AMA-LTR-0014
14 June 25 - Awaiting Contractor's response on the issued EOT Assessment Report
28 June 25 - Awaiting Contractor's response on the issued EOT Assessment Report, commercial to issue a follow up letter
14 July 25 -  Awaiting Contractor's response on the issued EOT Assessment Report, commercial to issue a follow up letter
28 July 25 - Follow-up letter is currently in the workflow (WF-034189 )
12  Aug 25: Contractor has formally accepted the Employer's Assessment under Letter Ref. 1TB01006-006B01-MGS-LTR-0022 -  EI for EOT Award  to be issued under WF-034702 with Fahad
24 Aug 25: EI issued on 12 August AMA01006-EMPI-000028, can be closed</t>
  </si>
  <si>
    <t>1TB01006C23</t>
  </si>
  <si>
    <t>1TB01006-006C23-RMA-LTR-0052</t>
  </si>
  <si>
    <t>1TB01006-006C23-AMA-LTR-0054</t>
  </si>
  <si>
    <r>
      <t xml:space="preserve">REA-TRANSMIT-000190 on 17 Apr 25
1Tb01006-006C23-RMA-LTR-0107
</t>
    </r>
    <r>
      <rPr>
        <sz val="12"/>
        <color rgb="FFFF0000"/>
        <rFont val="Amaala Sans"/>
      </rPr>
      <t>REA-TRANSMIT-000303 (13 Jul 26)</t>
    </r>
  </si>
  <si>
    <t>15 Dec 25: draft response to revise &amp; resubmit the claim under process. letter to be sent to contractor by 23 Dec 25
05 Jan 26 - Letter sent to Contractor to submit further particulars on 25 Dec 25 (Ref. AMA01006-GENCORR-004106)
10 Jan 26 - Awaiting response from Contractor
27 Jan 26 - ditto, Comm to issue reminder
07 Feb 26 - Reminder was issued on 02 Feb 26 (Ref. AMA01006-GENCORR-004294)
09 Feb 26: Ditto
23 Feb 26: Ditto
09 Mar 26: Awaiting Contractor's revised submission, commercial to issue a 2nd reminder via aconex
18 April 26: 2nd reminder sent on 18 March 26 AMA01006-GENCORR-004474 for the revised submission
06 Apr 26: awaiting revised submission
20 April 26: Awaiting Contractor's revised submission, commercial to issue a follow up letter
02 May 2026: Reminder sent to REEM (AMA01006-GENCORR-004649)
04 May 26: Ditto
18 May 26: Awaiting Contractor's submission
31 May 26: Ditto
04 Jun 26: Ditto
15 Jun 26: commercial to issue a follow up letter
29 Jun 26: follow up letter issued to the Contractor for  Submission of EOT no.1 via AMA01006-GENCORR-004818 dated 21 June 26
11 July 26: Awaiting Contractor's submission
27 July 26: Awaiting Contractor's submission
10 Aug 26: Awaiting Contractor'submission
23 Aug 26: Contractor Submitted Supporting Information (ref. REA-TRANSMIT-000303 on 13 Jul 26).  Target date TBC
07 Sep 26: Commercial to review
21 Sep 26: Ditto</t>
  </si>
  <si>
    <t>HLEAR</t>
  </si>
  <si>
    <t>1TB01002C24</t>
  </si>
  <si>
    <t>1TB01002-002C24-RMA-LTR-0028</t>
  </si>
  <si>
    <t>1TB01002-002C24-AMA-LTR-0051</t>
  </si>
  <si>
    <t>21 Sep 26: -Ditto-. Contractor yet to submit the EOT. Commercial to process HLEAR as confirmed/approved by claims team during the fornightly meeting on 21 Sep 26</t>
  </si>
  <si>
    <t xml:space="preserve">
REA-TRANSMIT-000099,  dated 03 Apr 25 
1TB01002-002C24-RMA-LTR-0052
REA-TRANSMIT-000100,101,102 on 07 Apr 25
1TB01002-002C24-RMA-LTR-0087
REA-TRANSMIT-000187</t>
  </si>
  <si>
    <t>1TB01002-002C24-RMA-LTR-0028 on 14 Jan (EOT Nr 01)
1TB01002-002C24-AMA-LTR-0051 on 9 Feb - revise and resubmit
REA-TRANSMIT-000099,  1TB01002-002C24-AMA-LTR-0052 dated 03 Apr 25
REA-TRANSMIT-000100,101,102, dated 07 Apr 25</t>
  </si>
  <si>
    <t>1TB01100C29</t>
  </si>
  <si>
    <t>1TB01100-100C29-ACN-LTR-0025</t>
  </si>
  <si>
    <t>1TB01100-100C29-AMA-LTR-0030</t>
  </si>
  <si>
    <t>1TB01100-100C29-ACC-LTR-0045 on 03 Jun 25
Astra shared supporting docuements via email on 11 Sep 25
Astra shared further supporting docuements via email to support some DEs on 14 Sep 25</t>
  </si>
  <si>
    <t>1TB01100-100C29-AMA-LTR-0069</t>
  </si>
  <si>
    <t>08 Sept 25: Targeted to finalise and submit to claims by 14 September 2025
24 Sep 25: Draft EAR sent to claims for review
06 Oct 25: ditto, review under progress, EAR reviewed by BK and sent back to commercial to update and resubmit using the right template.
19 Oct 25: EAR targeted to be send to claims team for review by 20 Oct 25.  
20 Oct 25: Draft EAR sent to claims for review
23 Oct 25: Draft report sent to planning to proceed with TIA
27 Oct 25: Targeted to conclude by (TBC) by next meeting
03 Nov 25: Ditto (Shaju to provide Target date)
10 Nov 25: Targeted to revert by 18 Nov 25
17 Nov 25: Ditto
23 Nov 25: Targeted to revert by 25 Nov 25
24 Nov 25: TIA being finalised, targeted to revert by 25 Nov 25
01 Dec 25: Ditto, Targeted to finalise by 03 Dec 2025
04 Dec 25: TIA incorporated and sent to commercial for finalisation
07 Dec 25: Final Draft sent to claims team for final review &amp; pre-approval prior to WF approvals
15 Dec 25: final draftf reviewed and pre approved by ED-Claims. commercial to initiate WF
11 Jan 26: Final EoT Report pending GCEO approval in WF-019516, 
12 Jan 26: EAR approved by GCEO, comm to prepare cover letter 
20 Jan 26: EAR issued to contractor via 1TB01100-100C29-AMA-LTR-0069
27 Jan 26: EAR issued to ASTRA via letter  (1TB01100-100C29-AMA-LTR-0069 date 20 Jan 2026) . Awaiting their feedback
07 Feb 26: Ditto
09 Feb 26: awaiting contractor's response
23 Feb 26: Contractor agreed with RSG assesment (1TB01100-100C29-ACC-LTR-0144 dated 01 February 2026). EI to award time in the WF for approval (WF-020844)
08 Mar 26 : EI issued to Astra Ref. 1TB01100-100C29-AMA-EMI-PM-0012</t>
  </si>
  <si>
    <t>1TB01005C45</t>
  </si>
  <si>
    <t>1TB01005-005C45-OJC-LTR-0001</t>
  </si>
  <si>
    <t>1TB01005-005C45-AMA-LTR-0012</t>
  </si>
  <si>
    <r>
      <t xml:space="preserve">14 Apr 25: TIA under process, targted to revert by end of the week (17 Apr 25)
22 Apr 24: Ditto, will be revereted EoD
24 Apr 24: commercial to confirm that the quantities from the claim submission has been reviewed and accepted by the Commercial team
28 Apr 25: Draft EAR sent to claims for review
05 may 25: Ditto
07 May 25: Final assessment report approved by claims &amp; sent to commercial to proceed with WF
18 May 2025 - EOT assessment report issued to WF but rejected due to date discrepancy - Updated needed with re-issue to WF
26 May 25: Revised EAR draft sent to claims team for approval
01 Jun 25: Final EAR approved by claims, commercial to initiate WF
02 Jun 25: Workflow initiated for EAR under ref WF-030183
14 June 25: Ditto
30 Jun 25: Assessment report WF approved on 25 Jun - Cover letter and claim on WF in WF (WF-031024)
13 Jul 25: </t>
    </r>
    <r>
      <rPr>
        <strike/>
        <sz val="12"/>
        <rFont val="Amaala Sans"/>
      </rPr>
      <t xml:space="preserve">Awaiting response from Contractor. (comm to provide letter ref and issued date)
</t>
    </r>
    <r>
      <rPr>
        <sz val="12"/>
        <rFont val="Amaala Sans"/>
      </rPr>
      <t xml:space="preserve">14 Jul 25: cover letter still in workflow, approval pendfing with lead planning, assessment report yet to be issued to contractor 
17 Jul 25: Assessment report issued to contractor via 1TB01005-005C45-AMA-LTR-0012, awaiting contractor's acceptance
28 Jul 25 Ditto
12 Aug 25 - Commercial team chasing for a response.
25 Aug 23: Ditto - Contractor keeps postponing the acceptence, because it is linked with ToC documents submission and OJEC EOT 02 resubmission - Contractor's internal approval proccess issue. 
06 Sept 25: Additional information recieved via email on 25 Aug 25 - This is being reviewed by the Project team, by 11 Sept
08 Sept 25: additiaonl info refered to above did not challenge EOT-01.  Commercial to proceed with Determination 
06 Oct 25: 1TB01005-005C45-AMA-LTR-0017 determination issued 02 Oct </t>
    </r>
  </si>
  <si>
    <t>1TB01005-005C45-AMA-DVO-CM-0001</t>
  </si>
  <si>
    <r>
      <t xml:space="preserve">22 Feb 25: BK issued commercial assessment report to claims team on 20 Feb 25
02 June 25: WF reinitiated WF-030183 claim rejected (no prolongation cost)
14 June 25: Ditto
28 Jun 25: Assessment report WF approved on 25 Jun - Cover letter and claim on WF and will be issued when approved
17 Nov 25: Meetings on-going with OJEC to close any prelim costs with the Variaition 01 - Conclusion targeted by end Nov 25.
01 Dec 25: Ditto
12 Dec 25: Project team responded to Contractor's latest submission via email on 11 Dec 25 - Project team to raise RFA internally to gain approval on formal determination. To be submitted to WF by Mid Jan.
09 Jan 26: Variation Order 01 is determined and Variation Costs are agreed. We will proceed to formally determine EoT 1 - By End Jan.
22 Jan 26: Ditto
07 Feb 26: EI award issued on 03 Feb 26 (1TB01005-005C45-AMA-LTR-0020) 
21 Feb 26: No response from Contractor. Project team believe this matter is now closed? Please advise any further action? 
23 Feb 26: Comm to confirm with the contractor whether the contractor will be claiming for further cost other than the variation
08 Mar 26: We have asked the question but the Contractor is reluctant to do so. They are still waiting to receive the EoT 02 assessment, the feel they should have been given other Variations and they are unable to obtain a TOC due to FLS compliance.
06 Apr 26 - Ditto
20 Apr 26 - Ditto
04 May 26 - Ditto
18 May 26 - Ditto
31 May 26: Ditto
04 Jun 26: Ditto
15 Jun 26: Ditto
29 June 26: Ditto
13 Jul 26: Ditto, commercial to check and confirm the determination
</t>
    </r>
    <r>
      <rPr>
        <sz val="12"/>
        <color rgb="FFFF0000"/>
        <rFont val="Amaala Sans"/>
      </rPr>
      <t xml:space="preserve">26 Jul 26: Employer Instruction No.PM-0003 (1TB01005-005C45-AMA-EMI-PM-0003) confirms that the Contractor's Cost Entitlement for EoT 01 has been determined via DVO 01. (1TB01005-005C45-AMA-DVO-CM-0001)
</t>
    </r>
  </si>
  <si>
    <t>Extention of time 001 under Clause 8.4.1 Conditions of Contract</t>
  </si>
  <si>
    <t>1TB01003C27</t>
  </si>
  <si>
    <t>1TB01003-003C27-ATA-LTR-0021</t>
  </si>
  <si>
    <t xml:space="preserve">1TB01003-003C27-AMA-LTR-0030 </t>
  </si>
  <si>
    <t xml:space="preserve">	
1TB01003-003C27-ATA-LTR-0027 dated 03 Jun 25
1TB01003-003C27-ATA-LTR-0028. on 21 Aug 25
1TB01003-003C27-ATA-LTR-0029</t>
  </si>
  <si>
    <t>1TB01003-003C27-AMA-LTR-0023 dated 22 Jan 2025 - Delay damages Notification
1TB01003-003C27-ATA-LTR-0021 dated 3 Feb 2025 EOT Submission
- 1TB01003-003C27-AMA-LTR-0030  dated 20 Feb 25.</t>
  </si>
  <si>
    <t>01 Dec 25: Updated draft EAR sent back to claims team for review
02 Dec 25: Draft EAR sent to claims team for review
05 Dec 25: Draft EAR sent to planning for TIA
08 Dec 25: TIA targeted to conclude by (TBC)
13 Dec 25: EAR with Planning Team for Time Impact Assessment (TIA). shaju to update
17 Dec25: Chronology of Events will be updated for DE-03 as per the information received from Planning Team on 17 Dec 25.
11 Jan 26: action with commercial to update the chronology  (to be concluded by 15 Jan 26)
19 Jan 26: Updated EAR sent to Planning for TIA. Following this, Planning confirmed that the Contractor will resubmit the claim based on their recent discussions. Awaiting the Contractor’s resubmission.
24 Jan 26: As agreed between RSG and Alutec Planning Team, Alutec to resubmit EOT 001, updating the cut-off date (AMA01003-GENCORR-001436 dated 20 Jan 26).
07 Feb 26: Awaiting revised submission from Alutec.
09 Feb 26: Ditto, commercial to issue a follow up letter
21 Feb 26: Ditto, follow-up letter in WF for approval. WF- 020184
08 Mar 26: Awaiting revised submission from Alutec. Follow-up letter issued on 1 Mar 26 under Aconex mail reference 1TB01003-003C27-AMA-LTR-0062.
06 Apr 26 - Ditto
20 Apr 26 - Ditto, commercial to issue a follow up letter
04 May 26: Follow up letter (WF-021052) under approval in Aconex workflow.
18 May 26: Follow up letter issued to Alutec on 4 May 2026 under  1TB01003-003C27-AMA-LTR-0070.	
31 May 26: Ditto
04 Jun 26: Ditto
15 Jun 26: Ditto
29 June 26: Follow-up letter issued on 22 June 26 (Ref. AMA01003-GENCORR-001562)
11 Jul 26: Still awaiting from Alutec revised EOT submission.
27 July 26: Awaiting Contractor's submisison
10 Aug 26: Ditto, comm to issue 2nd follow up letter
24 Aug 26: follow up Letter issued on 15 Aug 26 Ref AMA01003-GENCORR-001611
5 Sep 26: Awaiting Contractor's submission</t>
  </si>
  <si>
    <t>Revise &amp; resubmit</t>
  </si>
  <si>
    <t xml:space="preserve">Extention of time 001 under Clause 6.3 Conditions of Contract </t>
  </si>
  <si>
    <t>1TB01003F03</t>
  </si>
  <si>
    <t>ESCO1003-TRANSMIT-000121
1TB01003-003F03-ESC-LTR-0011</t>
  </si>
  <si>
    <t>AMA01003-GENCORR-000985</t>
  </si>
  <si>
    <t>ESC01003-GENCORR-000019 dated 03 Feb 25
ESC01003-GENCORR-000020</t>
  </si>
  <si>
    <t>1TB01003-003F03-AMA-LTR-0033</t>
  </si>
  <si>
    <t>ESC01003-TRANSMIT-000121 dated 26 Jan 2025
AMA01003-GENCORR-000985 dated 2 Feb 2025
ESC01003-GENCORR-000019 dated 3 Feb 2025
AMA01003-GENCORR-000986 Dated 3 Feb 2025
AMA01003-GENCORR-000988 dated 5 Feb 2025
ESC01003-GENCORR-000020 dated 5 Feb 2025</t>
  </si>
  <si>
    <t>10 Feb 2025 - Commercial are currently preparing the EOT report with the planning team,  still awaiting  backup info from Escco requested on 03 Feb (Aconex)
16 Feb 25: Draft report sent to claims and planning for review and TIA on 15 Feb 25
18 Feb 25: Draft report sent to claims for review
26 Feb 25: sent to planning for TIA
02 Mar 25: Draft report sent to commercial incorporating TIA
05 Mar 25: Final Draft sent to claims team for approval
09 Mar 25: EAR under approval with claims (KM)
16 Mar 25: EAR approved by Claims team &amp; commercial to proceed with WF process
23 Mar 25: EOT (time) under WF approval (WF-011601)
06 Apr 25: EOT approved by GCEO on 03 April 25 - Draft letter in WF for approval (WF-011890)
16 Apr 25:  EAR issued to ESCCO on 10 Apr 25 1TB01003-003F03-AMA-LTR-0033. awaiting acceptance from contractor
22 Apr 25: Ditto.
05 May 25: Ditto
18 May 25: Ditto
16 Jun 25: Ditto, commercial to issue a reminder
29 Jun 25: Ditto
14 Jul 25: Reminder letter sent on 13 Jul 25,  ref  1TB01003-003F03-AMA-LTR-0034
28 July 25: awaiting Contractor's response. 
10 Aug 25: Employers Determination currently WF-014837 for approval
24 Aug 25: Employer's Determination (time and cost) issued to ESCCO under 1TB01003-003F03-AMA-LTR-0038. Can this be closed?</t>
  </si>
  <si>
    <t>Extension of Time and Additional Payment – Claim No.01</t>
  </si>
  <si>
    <t>1TB01009C05</t>
  </si>
  <si>
    <t>Marina Hotel 3</t>
  </si>
  <si>
    <t>MEP Works</t>
  </si>
  <si>
    <t>Kortech Sharqawi JV</t>
  </si>
  <si>
    <t>1TB01009-009C05-KTH-LTR-0081</t>
  </si>
  <si>
    <t>1TB01009-009C05-AMA-LTR-0076</t>
  </si>
  <si>
    <t>KTH01009-TRANSMIT-000190 on 05 Aug 25
1TB01009-009C05-KTH-LTR-0153 - KTH01009 on 13 Nov 25
KTH01009-RESP-000015</t>
  </si>
  <si>
    <r>
      <t xml:space="preserve">18 Oct 25: The teams meeting with the Contractor held on 07 October, and the way forward agreed- collaborative work on assessment.  
20 Oct 25: Targeted to submit for claim's review by 06 Nov 2025
03 Nov 25: Target date moved to 17 Nov 25
17 Nov 25: Target date moved to 04 Dec 25
01 Dec 25: Ditto, contractor resubmitted on 13 Nov 25, via (1TB01009-009C05-KTH-LTR-0153 - KTH01009), and further update on 30 Nov 2025 (-RESP-000015) .  Planning to review TIA methodology applied by the contracor,Commercial targeted to submit the EAR for claims review by 25 Dec 2025
13 Dec 25: Ditto
10 Jan 26: Draft EAR being prepared. Target date 25 Jan 26.
12 Jan 26: Target date to conclude the EAR by 15 Apr 26
27 Jan 26: Ditto
09 Feb 26: Ditto
22 Feb 26: Ditto
08 March 26: Ditto
06 Apr 26: Second stage is finalised and RFA being prepared. Contractor shall resubmit the EOT post second stage agreement based on the amended Programme. Target date to finalise 2nd stage by (TBC) // Comm to write to the contractor to resubmit the claims upon agreement of stage 2
20 Apr 26: awaiting 2 stage agreement, 
04 May 26: Ditto, 2 stage CA to be put in WF
16 May 26 : Second Stage RFA is being reviewed and discussed with Planning / Forensic team
18 May 26: Commercial to write to the contractor rejecting the existing claim and to advise them to resubmit upon completion of stage two
</t>
    </r>
    <r>
      <rPr>
        <sz val="12"/>
        <color rgb="FFFF0000"/>
        <rFont val="Amaala Sans"/>
      </rPr>
      <t xml:space="preserve">31 May 26: This EOT has been closed following the approval of the Second Stage RFA with revised Completion dates. RFA approved under WF-088923 </t>
    </r>
    <r>
      <rPr>
        <sz val="12"/>
        <color rgb="FFCC00FF"/>
        <rFont val="Amaala Sans"/>
      </rPr>
      <t>(@NE to advise whether to close or not)
04 Jun 26 - CA issued to Contractor via letter refer AMA0109-Transmit-002758 on 01 Jun 26
15 Jun 26: stage 2 
RFA for 2nd stage &amp; EOT has been approved under WF 088923</t>
    </r>
    <r>
      <rPr>
        <sz val="12"/>
        <rFont val="Amaala Sans"/>
      </rPr>
      <t xml:space="preserve">
</t>
    </r>
    <r>
      <rPr>
        <strike/>
        <sz val="12"/>
        <rFont val="Amaala Sans"/>
      </rPr>
      <t>28 Jun 26: letter issued to the contractor to resubmit the claim incorporating 2nd stage conversion via ref on (date)</t>
    </r>
  </si>
  <si>
    <t>Extension of Time Claim No. 02 - Interim Report No. 01</t>
  </si>
  <si>
    <t>1TB01009-009C03-HAM-LTR-0200</t>
  </si>
  <si>
    <t xml:space="preserve">1TB01009-009C03-AMA-LTR-0174 </t>
  </si>
  <si>
    <t xml:space="preserve">1TB01009-009C03-HAM-LTR-0239 on 03 Jun 25
1TB01009-009C03-HAM-LTR-0254 on 11 Nov 25
1TB01009-009C03-HAM-LTR-0269 </t>
  </si>
  <si>
    <r>
      <t xml:space="preserve">15 Dec 25: Commercial to review the claim by First Week of January and prepare the report.
10 Jan 26: Meeting held with Contractor. The Contractor agreed to update abd resubmit their EOT report. Formal letter shall be issued confirming this. 
20 Jan 26: Contractor resubmitted their EOT claim ref. 1TB01009-009C03-HAM-LTR-0269 on 20 Jan 2026. 
27 Jan 26: Shall be reviewed and processed once their second stage is concluded. Target date - 25 Feb 26. 
09 Feb 26: Ditto
23 Feb 26: Ditto
08 Mar 26: Shall be reviewed and processed once their second stage is concluded. Target date to conclude 2 stage by 21 March 26. 
06 Apr 26: Target date to complete second stage is 30 Apr 26. Once the revised Programme is agreed, EOT shall be revised and reviewed accordingly
20 Apr 26: Ditto
04 May 26: Ditto. Target date to complete second stage moved to 20 May 26. 
18 May 26: Ditto. Target date deferred to 15 Jun 26.
</t>
    </r>
    <r>
      <rPr>
        <b/>
        <sz val="12"/>
        <rFont val="Amaala Sans"/>
      </rPr>
      <t>18 May 26: Commercial to write to the contractor rejecting the existing claim and to advise them to resubmit upon completion of stage two</t>
    </r>
    <r>
      <rPr>
        <sz val="12"/>
        <rFont val="Amaala Sans"/>
      </rPr>
      <t xml:space="preserve">
31 May 26: Second stage RFA with Claims for Review. Once Second stage contract addendum is issued, Contractor will revise the EOT to incorporate second stage + delay events and resubmit.
04 Jun 26: Commercial submitted CA to legal for offline approval.
15 Jun 26: CA with legal team for offline approval
17 Jun 26: Legal team reviewd and revereted to commercial for issuance 
24 Jun 26: contractor has been informed to resubmit the claim upon finalising the 2 stage conversion via AMA01009-GENCORR-006373 
29 Jun 26: Ditto
13 Jul 26: Contractor to submit revised claim based on 2nd stage
25 Jul 26: Ditto
10 Aug 26: Ditto, Commercial to issue a letter requesting the contractor for revised claims based on 2nd stage
24 Aug 26: Letter requesting the Contractor to revise the Programme based on the agreed second stage and subsequently update the EOT is under WF approval. WF-098713
5 Sep 26: Above letter ref. 1TB01009-009C03-AMA-LTR-0216 issued on 24 Aug 26
19 Sep 26:Stage 2 Addendum was issued to the Contractor on 24 August 2026. Awaiting the Contractor’s revised EOT submission.</t>
    </r>
  </si>
  <si>
    <t>Extension of Time Claim No. 01 - Interim Report No. 01</t>
  </si>
  <si>
    <t>1TB01006C42</t>
  </si>
  <si>
    <t>1TB01006-006C42-HOI-LTR-0004
HOI01006-TRANSMIT-000028</t>
  </si>
  <si>
    <t>1TB01006-006C42-AMA-LTR-0010</t>
  </si>
  <si>
    <t>1TB01006-006C42-HOI-LTR-0011
HOI01006-TRANSMIT-000054</t>
  </si>
  <si>
    <t>31 March 2025 -  This package is subject to Discretionary EOT route, revised completion date is 31 Oct 2025.
10 Apr 25: Initial response under process. Draft letter sent to claims for review. Claims had reviewd and sent back to commercial for issuance
16 Apr 25: Draft response put in WF-028687 for approval on 14 Apr 25
20 Apr 25 - Response was sent to the Contractor on 20 Apr 2025 1TB01006-006C42-AMA-LTR-0010
03  May 25 - Awaiting revised submission from Contractor
19 May 25: Ditto
14 June 25 - Ditto
30 June 25 - Awaiting revsied submission from the Contractor, commercial to issue a follow up letter
14 July 25 - Contractor issued the revised claim on 09 Jul 2025 via HOI01006-TRANSMIT-000054 - 1TB01006-006C42-HOI-LTR-0011, revised claim under review with commercial, 
27 July 2025:  Ditto. Commercial drafting the response, to be issued to Claims by 31 July 25.
13 Aug 25: following  a meeting b/w RSG claims, commercial &amp; planning, it has been decided to move ahead with a Contract Amendment is more suitable than the EOT process as it allows formal restructuring of the Works, Sections, and Completion Dates to reflect major variations while keeping the Contractor’s liability for Delay Damages.
25 Aug 25 - in process of completing contract amendment in coordination with planning 
01 Sep 25: Litha
08 September 25: CA reviewed by Claims and returned to commercial on 03 Sep 25. Commercial to update target date TBC
24 Sep 25: Draft CA sent to commercial for review
25 Sep 25: claims reverted with approval to proceed with offline legal approval prior to WF 
06 Oct 25: CA submitted to legal on 26 September 2025
20 Oct 25: Ditto, 
23 Oct 25: Contract amendment issued to contractor and therefore this line item is now considered closed</t>
  </si>
  <si>
    <t>EOT-02 TB Marina Project - Request for Extension of Time</t>
  </si>
  <si>
    <t>MME01031-TRANSMIT-000102 (1TB01031-031C10-MME-LTR-0032)
1st submission on 16 Apr 25
updated claim submission
MME01031-TRANSMIT-000108 (1TB01031-031C10-MME-LTR-0032)</t>
  </si>
  <si>
    <t>1TB01031-031C10-AMA-LTR-0035</t>
  </si>
  <si>
    <t>MME01031-TRANSMIT-000130
1TB01031-031C10-MME-LTR-0035</t>
  </si>
  <si>
    <t>1TB01031-031C10-AMA-LTR-0062</t>
  </si>
  <si>
    <t xml:space="preserve">09 Sep 25: Draft EAR sent to Planning for TIA
15 Sep 25: meeting held with commercial on Thursday (date), commercial actioned to update the chronology 
22 Sep 25: Draft EAR sent to Planning for TIA
29 Sep 25: TIA ongoing, targeted to finalise by 12 Oct 25
07 Oct 25: Target date moved to 16 Oct 25
13 Oct 25: Ditto
20 Oct 25: Target date moved to 23 Oct 25
27 Oct 25: Target date moved to 06 Nov 25
03 Nov 25: Ditto
10 Nov 25: TIA incorporated and sent to commercial for finalisation prior to claims team's final review &amp; approval
17 Nov 25: targeted to issue to Claims team for final approval before the WF by 19 Nov 25. 
23 Nov 25: Final Draft EAR sent to claims team for review &amp; approval 
01 Dec 25: Ditto
03 Dec 25: EAR approved by Claim team and sent to commercial to initiate WF
04 Dec 25: WF initiated under ref WF-015537
13 Dec 25: with Tareq since 11 Dec.
06 Jan 26 : Employer's Assessment Report EOT-02 has been sent to the Contractor Ref : 1TB01031-031C10-AMA-LTR-0062
12 Jan 26: awaiting contractor's response
27 Jan 26: Ditto, comm to issue follow up letter
08 Feb 26: Ditto ( Contractor's acceptance is expected today)
09 Feb 26: comm to issue follow up if the contractor doesnt respond by end of this week
24 Feb 26: the Contractor accepted EAR and confirmed that they are preparing a revised cost claim in line with the EAR, 1TB01031-031C10-MME-LTR-0054 received on 09 Feb 26, Commercial to prepare EI for issuance
08 Mar 26: EI will be issued this week. 
06 Apr 26: EI is issued by RSG commercial team ref AMA01031-EMPI-000007 and accepted by MME via MME01031-GENCORR-000109 </t>
  </si>
  <si>
    <t>1TB01002C50</t>
  </si>
  <si>
    <t>This date refers to the date we started processing the DEOT / the same date we entered to this tracker</t>
  </si>
  <si>
    <r>
      <t xml:space="preserve">31 March 2025 -  Contractor did not submit EOT claim. Assessment is based on the impact of Engineering delays and Additional scope of works. This EOT is subject to Discretionary EOT route, revised completion date is 31 Aug 2025.
</t>
    </r>
    <r>
      <rPr>
        <u/>
        <sz val="12"/>
        <rFont val="Amaala Sans"/>
      </rPr>
      <t xml:space="preserve">EOT's only need to be recorded to this tracker upon formal submission 
</t>
    </r>
    <r>
      <rPr>
        <sz val="12"/>
        <rFont val="Amaala Sans"/>
      </rPr>
      <t xml:space="preserve">
Contractor did not submit EOT claim. Assessment is based on the impact of Engineering delays and Additional scope of works. This EOT is subject to Discretionary EOT route, revised completion date is 31 Aug 2025. 
17 May 25:Discretionary EOT rejected by planning  (Naveen D Souza), delete this line. 
</t>
    </r>
  </si>
  <si>
    <t>DEOT under process where the contractot hasn’t submitted an EOT claim till date</t>
  </si>
  <si>
    <t>1TB01005C19</t>
  </si>
  <si>
    <t>This date refers to the date the DEOT EI was issued to the contractor</t>
  </si>
  <si>
    <t>1TB01005-005C19-AMA-LTR-0133</t>
  </si>
  <si>
    <t>Discretionary EOT / EI Issued</t>
  </si>
  <si>
    <t>Contractor did not submit EOT claim. Assessment is based on the impact of Engineering delays and Additional scope of works. This EOT is subject to Discretionary EOT route
18 May 25:  Discretiory EOT Employers instruction issued on 21 April 25 (Awarded upto 17 Jan 25), 1TB01005-005C19-AMA-LTR-0133
01 June 25: Ditto
14 June 25: Ditto</t>
  </si>
  <si>
    <t>Extension 0f Time Interim Claim No. 2</t>
  </si>
  <si>
    <t>1TB01005-005C45-OJC-LTR-0005</t>
  </si>
  <si>
    <t>1TB01005-005C45-AMA-LTR-0011</t>
  </si>
  <si>
    <t>1TB01005-005C45-OJC-LTR-0005 on 27 Aug 25
1TB01005-005C45-OJC-LTR-0005 (OJC01005-TRANSMIT-000034) on 14 Oct 25
OJC01005-GENCORR-000012 on 09 Sep 25
OJC01005-GENCORR-000013 on 21 Sep 25
OJC01005-GENCORR-000016</t>
  </si>
  <si>
    <t>WF-041533 (1TB01005-005C45-AMA-ASS-CM-0001
on 15 Mar 26) - WF + 7 days
19 Apr 26: EAR Approved// EAR issued on the same day via 1TB01005-005C45-AMA-LTR-0022</t>
  </si>
  <si>
    <r>
      <t xml:space="preserve">03 Nov 25: Ditto
</t>
    </r>
    <r>
      <rPr>
        <b/>
        <sz val="12"/>
        <rFont val="Amaala Sans"/>
      </rPr>
      <t>**</t>
    </r>
    <r>
      <rPr>
        <sz val="12"/>
        <rFont val="Amaala Sans"/>
      </rPr>
      <t xml:space="preserve">04 Nov 25: revised supporting documents submitted via OJC01005-GENCORR-000016
17 Nov 25: Target date moved to 28 Nov 25
01 Dec 25: Target date moved to 28 Dec 25 (Ad hoc delivery handover support taking precedence)
09 Jan 26: Draft being finalised with delivery team. To be with BK by 22 Jan.
22 Jan 26: Draft issued to BK on 18 Jan. 
27 Jan 26: Targeted to submit for Claims review by 30 Jan 26. 
03 Feb 26: Draft EAR sent to claims team for review
08 Feb 26: Draft EAR sent to Planning for TIA
09 Feb 26: Target date TBC
16 Feb 26: Targeted to conclude TIA by 26 Feb 2026
23 Feb 26: Ditto
02 Mar 26: TIA targeted to be concluded by 03 Mar 2026
03 Mar 26: TIA incorporated and sent to claims / commercial for finalisation
08 Mar 26: with claims for approval, targeted to revert by 12 Mar 26
15-Mar-26: Reviewed and issued the final draft to Commercial for for WF issuance
16-Mar-26: EAR issued in WF for management approval
23-Mar-26: Deferred to Apr-26 KPI report
04 Apr 26:EAR approved WF-041533. Issuance WF approved ongoing WF-041987
19 Apr 26: EAR Approved// EAR issued on the same day via 1TB01005-005C45-AMA-LTR-0022
04 May 26: Awaiting feedback from Contractor
</t>
    </r>
    <r>
      <rPr>
        <sz val="12"/>
        <color rgb="FFFF0000"/>
        <rFont val="Amaala Sans"/>
      </rPr>
      <t>18 May 26:  No response has been received from the Contractor. The site team proposes to proceed with determination and issuance of an EI. Comm to issue EI</t>
    </r>
    <r>
      <rPr>
        <sz val="12"/>
        <rFont val="Amaala Sans"/>
      </rPr>
      <t xml:space="preserve">
31 May 26: Ditto
04 Jun 26: EI was issued via letter ref 1TB01005-005C45-AMA-LTR-0025
</t>
    </r>
  </si>
  <si>
    <t>Extension 0f Time Claim No. 1 (Damage)</t>
  </si>
  <si>
    <t>1TB01005C20</t>
  </si>
  <si>
    <t>RPT01005-GENCORR-000029: TB01005-005C20-LTR-0022</t>
  </si>
  <si>
    <t>1TB01005-005C20-AMA-LTR-0056</t>
  </si>
  <si>
    <t>Claims team approved via email to process HLEAR on 28 Jul 26</t>
  </si>
  <si>
    <t>28 - 364</t>
  </si>
  <si>
    <t>1TB01005-005C20-AMA-LTR-0064 dated 10 Aug 25</t>
  </si>
  <si>
    <r>
      <t xml:space="preserve">20 Apr 26: Ditto, commercial to write to the contrator to submit an updated EOT claim for time
29 Apr 26: the above letter put in workflow (WF-042750)
02 May 26: letter advising the contractor for a formal EOT submission has been issued via 1TB01005-005C20-AMA-LTR-0074
18 May 26: Awaiting Contractor EoT Claim
31 May 26: Ditto
04 Jun 26: Ditto
15 Jun 26:  Ditto, Commercial to issue a follow up
28 Jun 26: Follow up letter under WF-044048 (Ref. 1TB01005-005C20-AMA-LTR-0076 ) that states the contractor is required to submit the updated claim within 10 BD - Letter has not been approved as Reynolds have confirmed they are unable to complete a compliant Claim. 
29 Jun 26: commercial to revise the letter stating that the employer will undertake its own assessment in absebce of a compliant claim 
10 July 26: Letter updated and going through WF  approvals . Commercial target 28 Aug for HLEAR. 
13 Jul 26: Commercial to send an email to claims to proceed with HLEAR route
24 Jul 26: Email seeking approval to proceed with HLEAR sent to claims team
27 Jul 26: Targeted to finalise the HLEAR by 28 Aug 26
28  Jul 26: Claims team approved via email to proceed with HLEAR, actoin with commercial to prepare Draft HLEAR
10 Aug 26: Ditto. Target to complete HLEAR by  28 August 26
24 Aug 26: Ditto
31 Aug 26: Updated draft EAR sent to claims team for review
05 Sept 26: Ditto
15 Sep 26: EAR sent back to commercial with comments to update &amp; resubmit for further review // updated EAR submitted to claims team for review. HLEAR sent to planning for TIA
21 Sep 26: Targeted to revert by 04 Oct 26
</t>
    </r>
    <r>
      <rPr>
        <sz val="12"/>
        <color rgb="FFFF0000"/>
        <rFont val="Amaala Sans"/>
      </rPr>
      <t>04 Oct 26: Ditto</t>
    </r>
  </si>
  <si>
    <t>AMA01005-GENCORR-002532</t>
  </si>
  <si>
    <r>
      <t xml:space="preserve">04 May 25: Claim against damage caused by the alleged unathorised movement of the Acrylic Dome by the employer and the associated cost. (anticiapated delay from </t>
    </r>
    <r>
      <rPr>
        <b/>
        <sz val="12"/>
        <rFont val="Amaala Sans"/>
      </rPr>
      <t xml:space="preserve">28 days to 52 weeks </t>
    </r>
    <r>
      <rPr>
        <sz val="12"/>
        <rFont val="Amaala Sans"/>
      </rPr>
      <t xml:space="preserve">with a total cost for the replacement / Major repair of </t>
    </r>
    <r>
      <rPr>
        <b/>
        <sz val="12"/>
        <rFont val="Amaala Sans"/>
      </rPr>
      <t>SAR 1,312,425</t>
    </r>
    <r>
      <rPr>
        <sz val="12"/>
        <rFont val="Amaala Sans"/>
      </rPr>
      <t xml:space="preserve">) Draft response under preperation, to be submitted to claims team for review </t>
    </r>
    <r>
      <rPr>
        <strike/>
        <sz val="12"/>
        <rFont val="Amaala Sans"/>
      </rPr>
      <t xml:space="preserve">
</t>
    </r>
    <r>
      <rPr>
        <sz val="12"/>
        <rFont val="Amaala Sans"/>
      </rPr>
      <t>25 Jul 25: Cost agreed for repair at SAR 95k and agreement in place to finish works by end Aug 25. Site Works progress has improved.
12 Aug 25 - PVO now approved and VO issued - Formal close out by the End of Aug
01 Dec 25: Ditto, DVO issued for cost only (SAR 95,887.00) via AMA01005-GENCORR-002532, contractor returned the signed DVO via RPT01005-GENCORR-000038 and therefore, this claim is now considered closed</t>
    </r>
  </si>
  <si>
    <t>Access delay events - Contractor's claim for an Extension of the Time for Completion and Additional Payment - Interium Claim No 1
with cut-off date 28 March 2025</t>
  </si>
  <si>
    <t>1TB01005C11</t>
  </si>
  <si>
    <t>1TB01005-005C11-ALE-LTR-0099</t>
  </si>
  <si>
    <t>1TB01005-005C11-AMA-LTR-0078</t>
  </si>
  <si>
    <t>1TB01005-005C11-ALE-LTR-0146</t>
  </si>
  <si>
    <t>1TB01005-005C11-AMA-LTR-0124</t>
  </si>
  <si>
    <t>30 Oct 25: TIA incorporated and sent to commercial for finalisation // commercial issued the final draft to claims team for approval prior to WF initiation
03 Nov 25: under review &amp; approval with claims 
10 Nov 25: EAR approved and sent to commercial to initiate WF approval
11 Nov 25: EAR put in WF for approval via WF-036411
17 Nov25: Ditto
01 Dec 25: Ditto
12 Dec 25: EAR issued to Contractor on 11 Dec 25 - 1TB01005-005C11-AMA-LTR-0124
09 Jan 26: Contractor questioned why the EoT award did not align with the accepted Programme for the F&amp;B Variation delay event. Planning have responded and letter on WF for approvals 1TB01005-005C11-AMA-LTR-0131
12 Jan 26: Ditto
22 Jan 26: Alec request further information on the EAR via 1TB01005-005C11-ALE-LTR-0269- Site team reviewing request 
27 Jan 26: Ditto
06 Feb 26: Planning back-up data being shared with Contractor - To go to WF by 10 Feb 26
09 Feb 26: Ditto
23 Feb 26: Full back-up was issued to the Contractor on 09 Feb.  Site team preparing EI and determination with target issuance of 01 Mar
08 Mar 26: Determination letter issued (1TB01005-005C11-AMA-LTR-0149) 02 Mar 26 &amp; EI issued (1TB01005-005C11-AMA-LTR-0150) 02 Mar 26.</t>
  </si>
  <si>
    <t>Request for Extension of Time</t>
  </si>
  <si>
    <t>1TB01009C04</t>
  </si>
  <si>
    <t>1TB01009-009C04-TIC-LTR-0024</t>
  </si>
  <si>
    <t>1TB01009-009C04-AMA-LTR-0072 dated 05 May  2025</t>
  </si>
  <si>
    <t xml:space="preserve"> 1TB01009-009C04-TIC-LTR-0027 on 30 Jun 25
1TB01009-009C04-TIC-LTR-0067</t>
  </si>
  <si>
    <r>
      <rPr>
        <sz val="12"/>
        <color rgb="FF000000"/>
        <rFont val="Amaala Sans"/>
      </rPr>
      <t xml:space="preserve">23 Feb 26: Ditto, comm to issue a 2nd follow up letter
08 March 26: follow up Letter to be issued on 21 March 26
06 Apr 26: Awaiting feedback from Contractor
20 Apr 26: Ditto, commercial to issue a follow up letter
04 May 26: RFA for LD to be Levied aganist Contractor (WF-079385) on  10 March 26. Accepted .
18 May 26: Notice of Termination issued on 13 May 26 via 1TB01009-009C04-AMA-LTR-0121
31 May 26: Ditto. Final Account under process. No further action required.  Please let us know if this can be closed. 
08 Jun 26: Contractor submitted updated claim via 1TB01009-009C04-TIC-LTR-0067
15 Jun 26: Ditto, NE to advise
27 June 26: The Employer's responses to the Contractor's letters ref.TIC-LTR-0067 &amp; 0068 was issued via letter ref. 1TB01009-009C04-AMA-LTR-0129
29 Jun 26: Commercial to prepare draft response to the most recent letter from contractor (ref. 1TB01009-009C04-TIC-LTR-0068 dated 08 June 26) related to the termination and submit to Legal for review.   - This letter was responded already on 25 June 26 Ref. 1TB01009-009C04-AMA-LTR-0129
12 Jul 26: Contractor's EOT submission shall be reviewed and if all details available, EAR shall be prepared by 20 Aug 26
13 Jul 26: Claims &amp; commercial to have meeting to discuss 
25 Jul 26: Planning has provided their comments on 25 Jul 26. Legal has recommend to issue a thoroughly reviewed feedback to the Contractor. Target date by 2 August 2026
01 Aug 26: Draft letter in relation to ARTIC's EOT claim sent to claims team for review and has been reverted for issuance on the same day, Comm to provide letter ref and WF ref
10 Aug 26: Letter ref. 1TB01009-009C04-AMA-LTR-0135 in WF-096363. Once approved will be issued. Meanwhile additional commercial comments are being prepared. letter issued to contractor, and awaiting response
22 Aug 26: Employer's comments issued through letter 1TB01009-009C04-AMA-LTR-0135 dated 10 Aug 26.
26 Aug 26: letter related EOT claim sent to claims team for review
30 Aug 26: reverted with comment to resubmit
31 Aug 26: updated draft letter sent to claims team and approved for issuance on the same day
07 Sep 26: Contractor responded to our letter through ref. 1TB01009-009C04-TIC-LTR-0078 dated 4 Sep 26. No new arguments, however confirmed that they will not resubmit their claim. RSG will proceed drafting the EAR based on the information available. Target date - 15 OCt 26
14 Sep 26: Draft letter in response to contractor's EOT sent to claims team for review, claims team approved and reverted to initiate WF
19 Sep 26: Commercial team working on EAR, expected issuance 30 Sep 2026
</t>
    </r>
    <r>
      <rPr>
        <sz val="12"/>
        <color rgb="FFFF0000"/>
        <rFont val="Amaala Sans"/>
      </rPr>
      <t>04 Oct 26: Commercial team working on EAR, expected issuance 25 Oct 2026</t>
    </r>
  </si>
  <si>
    <r>
      <t>Costs Claim Requests associated with EOT-2 (</t>
    </r>
    <r>
      <rPr>
        <b/>
        <sz val="12"/>
        <color theme="1"/>
        <rFont val="Amaala Sans"/>
      </rPr>
      <t>cost claim related to item 61 above</t>
    </r>
    <r>
      <rPr>
        <sz val="12"/>
        <color theme="1"/>
        <rFont val="Amaala Sans"/>
      </rPr>
      <t>)</t>
    </r>
  </si>
  <si>
    <t>1TB01031-031C10-MME-LTR-0039</t>
  </si>
  <si>
    <t>AMA01031-GENCORR-001000</t>
  </si>
  <si>
    <t>1TB01031-031C10-MME-LTR-0055 on 27 Feb 26 
revised claim received via email on 12 Sep 26</t>
  </si>
  <si>
    <t>1TB01006-006C06-RQN-FRM-PM-0002
(Raqtan-TRANSMIT-000105)</t>
  </si>
  <si>
    <t>AMA01006-EMPI-000020 
1TB01006-006C06-AMA-EMI-CM-0002</t>
  </si>
  <si>
    <r>
      <t>3 Nov 2024 - EOT Claim No.1 received through Transmittal ref. RAQTAN-CLM-000001 dated 31 Oct 2024
17 Nov 24: Claim was rejected (Revise and resubmit) letter Ref/ 1Tb01006-006C06-AMA-LTR-0018 
04 Dec 24: Ditto. Awaiting contractor's resubmission
12  Dec 24 - Awaiting Contractor's resubmission
12 Jan 25: Ditto
27 Jan 25 - Ditto. commercial to follow up with contractor and get a target date for the resubmission
09 Feb 25 - Awaiting for Contractor's revised submission. Reminder sent to Contractor (AMA01006-GENCORR-002811
11 Feb 25 - Revised EOT submission received on 30 Jan 25 (Raqtan-TRANSMIT-000105). Commercial is reviewing
11 Feb 2025 Additional particulars requested, AMA01006-GENCORR-002834
16 Feb 25 - Awaiting Contractor's revised submission 
24 Feb 25 - ditto
10 Mar 25: Ditto
24 Mar 25: Ditto
09 Apr 25: Ditto
22 Apr 25: Ditto, commercial to chase the contractor for resubmission
03 May 25 -  Follow-up letter under WF-029852
05 may 25: Ditto
18 May 25 - Awaiting for Contractor's revised submission (follow up letter issued on 05 May (1TB01006-006C06-AMA-LTR-0028)
02 Jun 25: DEOT put in WF (</t>
    </r>
    <r>
      <rPr>
        <b/>
        <sz val="12"/>
        <rFont val="Amaala Sans"/>
      </rPr>
      <t>WF-032410 - AMA01006-WTRAN-090895)</t>
    </r>
    <r>
      <rPr>
        <sz val="12"/>
        <rFont val="Amaala Sans"/>
      </rPr>
      <t xml:space="preserve">
15 Jun 25: DEOT issued to contractor AMA01006-EMPI-000020</t>
    </r>
  </si>
  <si>
    <t>1TB01005-005C24-PRA-LTR-0011</t>
  </si>
  <si>
    <t>1TB01005-005C24-AMA-LTR-0037</t>
  </si>
  <si>
    <t>24 Feb 25: Draft report not yet commenced, revised target 06Mar.
09 Mar 25: Draft report preparation on going - will be issued to Claims by 13 Mar
10 Mar 25: Draft report preparation on going while awaiting resubmission from contractor - targeted to be issued to Claims by 13 Mar
23 Mar 25 - Project team finalising report, target issue to Claims by 30 Mar
09 Apr 25 - Ditto - target date mid Apr
19 Apr 25 - Revised ToC submitted by Contractor on 5th April  (1TB01005-005C24-PRA-LTR-0011). Project team working on EoT assessment report. commercial to commit a date for finalisation of the claims by next meeting
05 May 25 - Information recieved from the delivery team on 22 Apr. Commercial will finalise the report by the 22nd May
19 May 25 - Commercial assessment report will be issued to claims by 22 May. Planning rejected the revised Contractor's revised TIA assessment following a workshop with the Contractor on the 13th May. The Contractor will update and resubmit. Rejection letter issued in WF-029469  (1TB01005-005C24-AMA-LTR-0036)
29 May 25: Draft EAR sent to claims team for review
01 June 25 - EOT Commercial assessment report issued to claims. Discretionary award EI in WF (Aconex ref WF-030051).
Discretionary award EI issued on  15 June 25 via aconex Ref: 1TB01005-005C24-AMA-LTR-0037
15 Jun 25: EAR with claims for review
17 Jun 25: furtehr to a meeting bw planning and claims, an early draft report of the Pangea shared with planning team to start with the TIA
23 Jun 25: Contractor to resubmit updated claim to proceed with TIA</t>
  </si>
  <si>
    <t>Start is the date of the email from Planning where they decided to issue a DEOT</t>
  </si>
  <si>
    <t>1TB01006-006C03-AMA-EMI-PM-0001
AMA01006-EMPI-000012</t>
  </si>
  <si>
    <t>DEOT Assessment is based on the impact of Engineering delays and Additional scope of works. This EOT is subject to Discretionary EOT route</t>
  </si>
  <si>
    <t>AMA01002-EMPI-000016
1TB01002-002C23-AMA-EMI-CM-0005</t>
  </si>
  <si>
    <t>AMA01006-EMPI-000011
1TB01006-006C22-AMA-EMI-CM-0006</t>
  </si>
  <si>
    <t>1TB01005-005C18-AMA-LTR-0088</t>
  </si>
  <si>
    <t>Notification of Extension of Time (EOT) </t>
  </si>
  <si>
    <t>AMA01002-EMPI-000015
1TB01002-002C22-AMA-EMI-PM-0001</t>
  </si>
  <si>
    <t>1TB01002-002C04-AMA-EMI-PM-0001</t>
  </si>
  <si>
    <t>1TB01006-006C15-AMA-EMI-CM-0004</t>
  </si>
  <si>
    <t>1TB01005-005C06-AMA-LTR-0063
1TB01005-005C06-AMA-EMI-PM-0004</t>
  </si>
  <si>
    <t>1TB01002-002C24-AMAEMI-PM-0001</t>
  </si>
  <si>
    <t>Request for Interim Extension of Time due to Additional works Front of House, Public Space ID Package (EOT Rev 01)</t>
  </si>
  <si>
    <t>1TB01002C06</t>
  </si>
  <si>
    <t>TB01002-002C06-HOI-LTR-0031</t>
  </si>
  <si>
    <t xml:space="preserve">1TB01002-002C06-AMA-LTR-0044 </t>
  </si>
  <si>
    <t>Submission of Extension of Time (EOT-01 Rev.0) – Marina Hotel 3 Stone Cladding Package</t>
  </si>
  <si>
    <t>1TB01009C34</t>
  </si>
  <si>
    <t>1TB01009-009C34-TIC-LTR-0007
DAC01009-TRANSMIT-000033</t>
  </si>
  <si>
    <t>AMA01009-GENCORR-005177</t>
  </si>
  <si>
    <t xml:space="preserve">1TB01009-009C34-DAC-LTR-0024 on 22 Sep 25
1TB01009-009C34-DAC-LTR-0028 on 19 Oct 25
1TB01009-009C34-DAC-LTR-0033 on 16 Dec 25
1TB01009-009C34-DAC-LTR-0036 on 24 Jan 26
1TB01009-009C34-DAC-LTR-0038 on 15 Feb 26
1TB01009-009C34-DAC-LTR-0038 </t>
  </si>
  <si>
    <r>
      <rPr>
        <sz val="12"/>
        <color rgb="FF000000"/>
        <rFont val="Amaala Sans"/>
      </rPr>
      <t xml:space="preserve">23 Feb 26: The Contractor resubmitted the EOT Claim on 09 Feb (1TB01009-009C34-DAC-LTR-0038)  and sent  xer files on 15 Feb DAC01009-GENCORR-000015,  with updated cut-off date. EAR shall be updated. Target date - 15 March 26
09 March 26: Ditto
06 Apr 26: Target date shall be deferred to 30 Apr 26
20 Apr 26: Ditto
04 May 26: Under review by Commercial, trget date 10 May 26. 
18 May 26: Ditto. Target date deferred to 15 Jun 26
31 May 26: Contractor's updated submission received (letter ref 1TB009-01009-009C34-DAC-LTR-0048 and 23 May 26) . Target date for review and response - 25 Jun 26
15 Jun 26: Ditto
29 Jun 26:  Target date for review and response moved to 09 July 26
13 Jul 26: Contractor's works are complete on site. Contractor agreed to resubmit updated final EOT claim for consolidated review. same confimred via AMA01009-GENCORR-006433
25 Jul 26: Contractor has confirmed to revise and resubmit their claim with the latest cut-off date through GC DAC01009-RESP-000004 dated 13 Jul 26
10 Aug 26: Contractor has resubmitted the claim through letter ref. 1TB01009-009C34-DAC-LTR-0038 dated 4 Aug 26. EAR shall be prepared by 20 Sep 26
24 Aug 26: Ditto
07 Sep 26: Target date to be deferred - 15 Oct 26
21 Sep 26: Ditto
</t>
    </r>
    <r>
      <rPr>
        <sz val="12"/>
        <color rgb="FFFF0000"/>
        <rFont val="Amaala Sans"/>
      </rPr>
      <t>04 Oct 26: Ditto</t>
    </r>
  </si>
  <si>
    <t>Extension of Time</t>
  </si>
  <si>
    <t>1TB01009C13</t>
  </si>
  <si>
    <t>1TB01009-009C13-LUT-LTR-0022</t>
  </si>
  <si>
    <t>1TB01009-009C13-AMA-LTR-0065</t>
  </si>
  <si>
    <t>1TB01009-009C13-LUT-LTR-0049 on 21 Jun 26
1TB01009-009C13-LUT-LTR-0049</t>
  </si>
  <si>
    <r>
      <t xml:space="preserve">29 Nov 25: Meeting held with Contractor on 27 Nov 25, Awaiting revised submission from the Contractor, commercial to issue a follow up letter with details discussed and agreed during the meeting
13 Dec 25: Follow up letter issued. ( WF-069103 - AMA01009-WTRAN-204487 - Released on 16 Dec 2025, 1TB01009-009C13-AMA-LTR-0078.
10 Jan 26: Awaiting revised submission from the Contractor
12 Jan 26: Comm to issue a follow up letter
25 Jan 26: Follow up letter in WF-WF-075753
03 Feb 26: Follow up letter isuued to the Contractor - 1TB01009-009C13-AMA-LTR-0083
09 Feb 26: Awaiting revised submission from Contractor
23 Feb 26: Awaiting revised submission from Contractor
09 March 26: Ditto, comm to issue 2nd follow up letter
06 Apr 26: Awaiting Contractor's revised submission incorporating Employer's comments
20 Apr 26: Ditto, 2nd follow up not issued yet, comm to issue a follow up
21 Apr 26: Letter issued to the Contractor 1TB01009-009C13-AMA-LTR-0094. 
04 May 26: Ditto
18 May 26: Ditto
04 June 26: Revised EOT submission received on 5 April 26 under letter Ref. TB0009-009C3-LUT-LTR-0043. The Employer rejected the submission through letter ref. TB0009-009C13-AMA-LTR-0094 dated 21 April 26 advising to revise and resubmit.  Awaiting Contractor's revised submission
15 Jun 26: Ditto
29 June 26: The Contractor's revised submission submitted on 21 June 26 via letter ref.1TB01009-009C13-LUT-LTR-0049, Target date TBC
13 Jul 26: Contractor resubmitted their EOT on 9 Jul 26 via 1TB01009-009C13-LUT-LTR-0049. Initial response shall be prepared by 30 Jul 26. 
25 Jul 26: resposne letter under WF-094287, target to issue before 30 July 2026.
10 Aug 26: Planning comments issued to Contractor through letter ref. 1TB01009-009C13-AMA-LTR-0117 dated 29 Jul 26. Commercial comments under preparation. commercial targeted to issue the comments back to contractor by 15 Aug 26
24 Aug 26: Awaiting feedback from Contractor. 
</t>
    </r>
    <r>
      <rPr>
        <sz val="12"/>
        <color rgb="FFFF0000"/>
        <rFont val="Amaala Sans"/>
      </rPr>
      <t>07 Sep 26: Ditto</t>
    </r>
    <r>
      <rPr>
        <sz val="12"/>
        <rFont val="Amaala Sans"/>
      </rPr>
      <t xml:space="preserve">
21 Sep 26: Ditto</t>
    </r>
  </si>
  <si>
    <t>EOT-01  TB Marina Project - Request for Extension of Time -Elmaar</t>
  </si>
  <si>
    <t>1TB01031C15</t>
  </si>
  <si>
    <t>1TB01031-031C15-EMC-LTR-0008</t>
  </si>
  <si>
    <t>AMA01031-GENCORR-001021</t>
  </si>
  <si>
    <t>1TB01031-031C15-EMC-LTR-0010</t>
  </si>
  <si>
    <t>1TB01031-031C15-AMA-LTR-0025</t>
  </si>
  <si>
    <t>06 Oct 25: The draft EAR is submitted to the Prgram-01 Claim team before it is issued to Nigel. BK: target date 09 October. 
11 Oct 25: Draft report sent to claims team for review
12 Oct 25: EAR sent to planning to proceed with TIA
13 Oct 25: Target date TBC
19 Oct 25 : Ditto, Targeted to revert bt 30 Oct 25
27 Oct 25: Target date moved to 5 Nov 05
01 Nov 25: TIA incorporated and sent to commercial for finalisation
03 Nov 25: Commercial to review and to be sent to Claims team for final approval before WF. Target date 04 Nov 25. 
05 Nov 25: Draft EAR sent to planning for review to outline any compensable delays and non-compensable delays. Final Draft sent to claims team for approval 
17 Nov 25: Ditto, Targeted to revert by 18 Nov 25
18 Nov 25: EAR approved &amp; sent back to commercial to initiate WF
19 Nov 25: EAR put in WF (015404)
01 Dec 25: Ditto, approved by GCEO on 01 Dec 25. comm to put cover letter in WF
08 Dec 25: 1TB01031-031C15-AMA-LTR-0025 EAR issued to Contractor
15 Dec 25: Contractort requested P6 native file via email,
16 Dec 25: Native file shared with the contractor via AMA01006-GENCORR-004077
12 Jan 26 : Ditto, comm to follwo up with the contractor 
25 Jan 26: Contractor has submitted the Cost assessment via 1TB01031-031C15-EMC-LTR-0024 based on the Employer's Assessment report issued. Employer's Review is in progress (to be added as new line item) 
27 Jan 26: Comm to ask the contractor to formally accept the EAR for EOT-01 in order to issue the EI and close this line item
08 Feb-26: Contractor has submitted the formal acceptance vis ACONEX ref 1TB01031-031C15-EMC-LTR-0025. EI to be issued
22 Feb 26: EIissued on 05 Feb, AMA01031-EMPI-000006</t>
  </si>
  <si>
    <t>EoT Claim - De-Watering Services</t>
  </si>
  <si>
    <t>1TB01005-005C02-SAB-LTR-0307</t>
  </si>
  <si>
    <t>09 Aug 25: Under review by the Project Team. Claim relates to the extension of temporary works services that were provided by the Contractor. (De-watering). Calim is for four month extension to the Contract removal date - Circa SAR 3m. Project team review to be completed by 30 Aug 25.
25 Aug 25 - Site planning have rejected TIA - Commercial assessment of the Claim to be completed and responded to. Proposed the assessment is put forward as RFA given contractor is now terminated. Target close out end Oct.
Perhaps this can be removed from the Claims tracker?
NE &amp; BK to discuss offline
14 Nov 25: Agreed item can be closed given Contractor is terminated.</t>
  </si>
  <si>
    <t>Contractor’s Claim – Interim Extension of Time For Completion No. 01</t>
  </si>
  <si>
    <t>1TB01006C05</t>
  </si>
  <si>
    <t>1TB01006-006C05-DCC-LTR-0105</t>
  </si>
  <si>
    <t>DCC01006-GENCORR-000660</t>
  </si>
  <si>
    <t>1TB01006-006C05-AMA-RPT-PM-0001
(Workflow initiated under ref  WF-040404) on 19 Jan 26
1TB01006-006C05-AMA-LTR-0098 issued on 05 Feb 26</t>
  </si>
  <si>
    <t>08 March 26: Awaiting Contractor's acceptance of the EAR
06 April 26: awaiting acceptance of EOT 1, EOT 02 received on 26 March AMA01006-TRANSMIT-002802 // commercial to follow up and issue a determination by 16 Apr 26,
12 Apr 26: follow up letter put in WF-042920
20 Apr 26: Ditto
04 May 26: Letter issued via 1TB01006-006C05-AMA-LTR-0109 on 22 Apr 26
18 May 2026:  Depa responded on 05 May 26, 1TB01006-006C05-DCC-LTR-0219 challenging EAR. Commercial drafted response, waiting fro BIM and planning input. Target date 08 June 26 to send to WF. 
31 May 26: Ditto
04 Jun 26: Ditto
15 Jun 26: Awaiting planning input on contractor's response to the EAR
22 Jun 26: targeted to revert by 25 Jun 26
29 June 26: Still awaiting input from BIM and Planning (Shaju to update)
30 Jun 26: BIM reveretd with their input on the queries 
11 July 2026: Commercial awaiting planning input, shaju to update
14 Jul 26: Planning team targeted to conclude TIA by 15 Jul 26
20 Jul 26: Planning provided the comments on 16 Jul 26
26 July 26: Response letter to DEPA Challenging EOT 01 now in WF-046199
02 Aug 26: Response letter issued to Contractor (1TB01006-006C05-AMA-LTR-0125) 
10 Aug 26: Ditto, awaiting response from contractor
24 Aug 26: Awaiting feedback from Contractor. 
07 Sep 26: Ditto
21 Sep 26: Ditto</t>
  </si>
  <si>
    <t xml:space="preserve">Request for Extension of Time </t>
  </si>
  <si>
    <t>1TB01009C06</t>
  </si>
  <si>
    <t>1TB01009-009C06-SBM-LTR-0009</t>
  </si>
  <si>
    <t>AMA01009-GENCORR-005743</t>
  </si>
  <si>
    <t>25 Jan 26: Contractor shall resubmit their EOT after the second stage finalization.
09 Feb 26: Ditto
23 Feb 26: Ditto, comm to provide target date to conclude 2nd stage CA
09 Mar 26: Ditto ,target to conclude 2nd Stage by 15 April 26.
06 Apr 26: Awaiting closure of second stage. Target date 5 May 26
20 Apr 26: Ditto
04 May 26: Target date moved to 20 May 26 for second stage closure. 
18 May 26: Ditto
31 May 26: Based on the finalised quantities, Contractor has submitted revised Programme which is currently under planning review. ONce agreed, EOT shall be based on the revised Programme. 
04 Jun 26: Target date for 2-Stage is 30 June 26
15 Jun 26: Ditto
27 Jun 26:  Target date for 2-Stage moved to 09 July 26
13 Jul 26: Second Stage Programme is reviewed by Planning Team. To be agreed with Contractor and formal letter to be submitted for proceeding with Contract Amendment. 
25 Jul 26: Planning has finalized the second stage impact. Cost Finalization is under final stages. Once reviewed Contract Amendment shall be processed, following which Contractor shall submit the updated EOT based on the Second Stage Programme. 
10 Aug 26: Ditto. Awaiting closure of second stage, Targeted to close 2nd stage is by 20 Aug 26
24 Aug 26: Second stage closure date deferred to 15 Sep 26
07 Sep 26: Ditto
21 Sep 26: Ditto</t>
  </si>
  <si>
    <t>SALCO - Submission of Interim Extension of Time</t>
  </si>
  <si>
    <t>1TB01009C16</t>
  </si>
  <si>
    <t>SSC01009-TRANSMIT-000285
1TB01009-009C16-SSC-LTR-0052
1TB01009-009C16-SSC-LTR-0053</t>
  </si>
  <si>
    <t xml:space="preserve">1TB01009-009C16-AMA-LTR-0043 </t>
  </si>
  <si>
    <t>1TB01009-009C16-SSC-LTR-0058</t>
  </si>
  <si>
    <t>12 Jan 26: further updates were requested to the contractor via email and is awaiting response and further particulars
13 Jan 26: Contractor to revise, update and resubmit the EOT claim based on the revised Programme incorporating the second stage. 
Formal request shall be sent by RSG
27 Jan 26: Formal request to update &amp; resubmit the EOT shall be sent once the Second Stage Contract Amendment is signed off. Draft EAR sent to Planning on 22 Dec (is pending Contract Amendment of Stage 2, after which we will request the Contractor to submit the Revised Programme. After the Revised Programme is approved, they will be requested to resubmit the EOT claim - Planning's comments)
09 Feb 26: CA for 2 stage is under process. Once completed, Contractor shall resubmit the revised EOT submission.
23 Feb 26: Ditto, comm to provide target date to conclude 2nd stage CA
07 Mar 26: Ditto, target to conclude 2nd stage CA 21 March 26.
06 Apr 26: Second Stage RFA under approval. Contractor shall resubmit EOT once the Programme is approved.
20 Apr 26: Second Stage is finalised. Contractor is updating the Programme.
04 May 26: Ditto
18 May 26: Ditto, comm to issue a follow up letter 
31 May 26: Ditto
04 Jun 26: Target date to issue is the 9 June 26
15 Jun 26: Ditto
29 June 26: Letter under WF-091490 (1TB01009-009C16-AMA-LTR-0054)
13 Jul 26: follow up letter via 1TB01009-009C16-AMA-LTR-0054 issued on 30 Jun 26
25 Jul 26: Awaiting Contractor's feedback.
10 Aug 26: Ditto
24 Aug 26: Ditto
07 Sep 26: Ditto
21 Sep 26: Ditto</t>
  </si>
  <si>
    <t>SALCO - Submission of Interim Extension of Time (EOT – 1)</t>
  </si>
  <si>
    <t>1TB01009C15</t>
  </si>
  <si>
    <t>SSC01009-TRANSMIT-000286
1TB01009-009C15-SSC-LTR-0069
1TB01009-009C15-SSC-LTR-0070</t>
  </si>
  <si>
    <t xml:space="preserve">1TB01009-009C15-AMA-LTR-0050 </t>
  </si>
  <si>
    <t>1TB01009-009C15-SSC-LTR-0091  on 29 Oct 25
1TB01009-009C15-SSC-LTR-0136 on 25 Apr 26
1TB01009-009C15-SSC-LTR-0141</t>
  </si>
  <si>
    <r>
      <rPr>
        <sz val="12"/>
        <color rgb="FF000000"/>
        <rFont val="Amaala Sans"/>
      </rPr>
      <t xml:space="preserve">25 Jan 26: Formal request to update &amp; resubmit the EOT shall be sent once the Second Stage Contract Amendment is signed off. RFA Currently in WF-075556.
29 Jan 26: Draft EAR sent to claims for review (this is being done in the background while await the contractors revised Programm &amp; the EOT claim)
01 Feb 26: commercial was advised to write to Salco to resubmit the claim to incorporate the missing information and update based upon the new 2-Stage programme
09 Feb 26: Formal request to resubmit EOT with updated Programme is being initiated. Draft letter targeted to be sent for Claims review by 13 Feb 26
23 Feb 26: Request to resubmit EOT in WF-079311 
24 Feb 26: CA issued ref. AMA01009-TRANSMIT-002711 dated 5 February 2026, the Revised Time for Completion is 545 Calendar Days.”
09 Mar 26:  The Contractor was requested to Revise &amp; Resubmit EOT  via 1TB01009-009C15-AMA-LTR-0063 dated 26 Febraury 2026.
06 Apr 26: Awaiting revised submission from the Contractor. commercial to issue follow up
19 April 26: Follow up in the WF-084644
04 May 26: Contractor confirmed submission of revised EOT up to 20 May 26 via  1TB01009-009C15-SSC-LTR-0136 on 25 Apr 26 </t>
    </r>
    <r>
      <rPr>
        <i/>
        <sz val="12"/>
        <color rgb="FF000000"/>
        <rFont val="Amaala Sans"/>
      </rPr>
      <t xml:space="preserve">(just a confirmation letter and no additional particulars were provided)
</t>
    </r>
    <r>
      <rPr>
        <sz val="12"/>
        <color rgb="FF000000"/>
        <rFont val="Amaala Sans"/>
      </rPr>
      <t xml:space="preserve">18 May 26: Contractor's latest submission is under review. Target date is 30 May 26.  
31 May 26: Contractor has resubmitted the EOT based on the Second Stage approved Programme(1TB01009-009C15-SSC-LTR-0141 on 21 May 26). Target date for review and response if any - 25 Jun 26
15 Jun 26: Ditto
27 Jun 26:Target date for review and response moved to 09 July 26
13 Jul 26: EAR shall be prepared and issued to Claims team by TBC
25 Jul 26: EAR shall be prepared by 20 Aug 26
10 Aug 26: Target date for EAR remains same (20 Aug 26)
22 Aug 26: EAR date deferred to 20 Sep 26
07 Sep 26: Ditto
21 Sep 26: Ditto
</t>
    </r>
    <r>
      <rPr>
        <sz val="12"/>
        <color rgb="FFFF0000"/>
        <rFont val="Amaala Sans"/>
      </rPr>
      <t>04 Oct 26: EAR date deferred to 30 Oct 26</t>
    </r>
  </si>
  <si>
    <t>Extension of Time Claim - EOT 01 Rev 01 Re-Assessment of Item 43 above</t>
  </si>
  <si>
    <t>1TB01003-003C09-DCC-LTR-0255</t>
  </si>
  <si>
    <t xml:space="preserve">	
1TB01003-003C09-AMA-LTR-0169</t>
  </si>
  <si>
    <t>23 Feb 26: Response to DEPA's letter DCC01003-GENCORR-001103 regarding comments to EAR R1 issued under 1TB01003-003C09-AMA-LTR-0222 on 15 Fe 26.
09 Mar 26: Awaiting response/confirmation of EAR R1 from DEPA.
06 Apr 26: Ditto
20 April 26: The response from DEPA received on 4 Apr 2026 reference 1TB01003-003C09-DCC-LTR-0395, planning and commercial are working on it, The meeting with BIM on Thursday 23 April, to finilise the response
27 Apr 26: Targeted to provide comments by 30 Apr 26
04 May 26: Required meeting with Commercial, Planning and Delivery Team to discuss the response to DEPA's letter. Target by 10 May 26.
11 May 26: 
18 May 26: Meeting with Commercial, Planning and Delivery Team to discuss the response to DEPA's letter. Target by 18 May 26.
31 May 26: Response still with Commercial and Planning Team. Target by 10 June 26.
04 Jun 26: Ditto
15 Jun 26: Awaiting response from Planning team 
22 Jun 26: targeted to revert by 25 Jun 26
28 June 26: Awaiting response from Planning team
06 Jul 26: planning team targeted to revert by 07 Jul 26
13 Jul 26: Ditto, commercial to chase planning for the update (Last email sent to planning on 25 May 2026
20 Jul 26: Planning suggested a meeting with contractor to finalise the employer's position
27 Jul 26: Ditto, awaiting date confirmation form Planning
28 Jul 26: planning input provided and response issued to Depa via AMA01003-GENCORR-001587
10 Aug 26: Awaiting response from DEPA
24 Aug 26: Ditto
07 Sep 26: Ditto
21 Sep 26: Ditto</t>
  </si>
  <si>
    <t>Extension of Time Claim No 1 (DEOT)</t>
  </si>
  <si>
    <t>1TB01002-002C07-AMA-EMI-PM-0001 issued on 22 May 25</t>
  </si>
  <si>
    <t>DEOT Assessment is based on the impact of Engineering delays and Additional scope of works. This EOT is subject to Discretionary EOT route
28 Sep 25: issuance of this DEOT was not reported to claims team on the same date, hence this is entered late in to this tracker</t>
  </si>
  <si>
    <t>Interim Extension of Time Request No. 01</t>
  </si>
  <si>
    <t>1TB01009C25</t>
  </si>
  <si>
    <t>1TB01009-009C25-SDE-LTR-0032</t>
  </si>
  <si>
    <t>AMA01009-GENCORR-005683</t>
  </si>
  <si>
    <t>1TB01009-009C25-SDE-LTR-0038 dated 27-11-2025
1TB01009-009C25-SDE-LTR-0049</t>
  </si>
  <si>
    <r>
      <t xml:space="preserve">08 Feb 26: Contractor resubmitted the claim via 1TB01009-009C25-SDE-LTR-0049. However, Planning comments were not addressed. Initial response shall be issued by 20 Feb 26.  </t>
    </r>
    <r>
      <rPr>
        <u/>
        <sz val="12"/>
        <rFont val="Amaala Sans"/>
      </rPr>
      <t>Comm to provide contractor ref</t>
    </r>
    <r>
      <rPr>
        <sz val="12"/>
        <rFont val="Amaala Sans"/>
      </rPr>
      <t xml:space="preserve">
NE to discuss with BK
24 Feb 26: The Contractor's response ref.  1TB01009-009C25-SDE-LTR-0049 states that the claim submitted via 1TB01009-009C25-SDE-LTR-0038 dated 27-11-2025 contained requested documents. Planning comments not addressed, should respond by 20 Feb. VK: Response status missing
09 Mar 26: Target date for response 14 March 2026
06 Apr 26: Contractor's latest submission is under review. Target date is 10 May 26. 
20 Apr 26: Ditto
04 May 26: Ditto
18 May 26:  Target date moved to 30 May 26.
31 May 26: Target date deferred to 20 Jun 26.
04 Jun 26: Ditto
15 Jun 26:  Ditto
29 Jun 26:  commercial to submit EAR for claims review by 15 July 26
13 Jul 26: Contractor agreed to resubmit the claim shortly, commercial to follow up with a letter to confirm the same, Same confirmed via email AMA01009-GENCORR-006434
25 Jul 26: Contractor has confirmed to update and resubmit their claim with the latest cut-off date through GC SDE01009-GENCORR-000031 dated 25 Jul 26
10 Aug 26: Awaiting Contractor submission
24 Aug 26: Ditto
07 Sep 26: Ditto
21 Sep 26: Ditto</t>
    </r>
  </si>
  <si>
    <t>TB-04.3 Marina Hotel Closeout &amp; Final EOT</t>
  </si>
  <si>
    <t xml:space="preserve">1TB04004-004C03-SIC-LTR-0120 </t>
  </si>
  <si>
    <t>AMA04004-GENCORR-000772</t>
  </si>
  <si>
    <t xml:space="preserve">5 Oct 25: The Contractor submitted final claim to cover the time between EOT 06 (item 03 in Claims Tracker ) and ToC: 1TB04004-004C03-SIC-LTR-0120  on 08 September 2025.  Planning comments issued through General Correspondance on Aconex AMA04004-GENCORR-000772 on 22 September 2025.  The Contractor requested XER files for EAR EOT 06  on 30 Sept 25. The files were provided by Employer through email on a same day.  Commercial to formailised EOT responset through letter, target date 14 October 2025. 
18 Oct 25:  EAR issued to the P1 claim team on 14 Oct 25 for review. BK's initial review conducted, need a bit of rework, target date 26 October 25. 
01 Nov 25:  draft EAR  issued on 29-Oct-25 to Claims for review.
03 Nov 25: under review with claims team by 13 Nov 25
17 Nov 25: new direction, RFA to close SIC FA accross TB will wrap up all EOTs. This claim to be closed once FA is agreed?
01 Dec 25: Ditto
10 Jan '26 : No further direction received. Claims team liaise with the TB Wide Claims associated with SIC
25 Jan 26: Ditto
27 Jan 26: draft RFA for LD waiver issued to commercial leads for processing
07 Feb 26: An RFA for LD waiver is under circulation. Initiated by RSG Rosewood Commercial Team  (SIC Administrator)
09 Feb 26: Ditto
23 Feb 26: Ditto, AZAM/Poloko to update 
24 Feb 26: RFA finalised for permanent waiver of delay damages to the Contractoracross all programms </t>
  </si>
  <si>
    <t>IMAR - Extension of Time - EOT 1 - Interim Assessment</t>
  </si>
  <si>
    <t>1TB01009C09</t>
  </si>
  <si>
    <t>1TB01009-009C09-IMR-LTR-0069</t>
  </si>
  <si>
    <t>AMA01009-GENCORR-005504</t>
  </si>
  <si>
    <t>1TB01009-009C09-IMR-LTR-0085 on 17 Nov 25
1TB01009-009C09-IMR-LTR-0114</t>
  </si>
  <si>
    <t>WF-092960
1TB01009-009C09-AMA-RPT-PM-0001
AMA01009-WTRAN-265839 dated 06 Jul 26
EAR issued (Ref. 1TB01009-009C09-AMA-LTR-0102 dated 20 July 2026)</t>
  </si>
  <si>
    <t>01 May 26: Draft EAR sent to planning team for TIA
03 May 26:  Planning issued comments, will be responded asap, with delivery. 
05 May 26: Updated draft sent back to claims addressing planning's comments
08 May 26: Draft EAR reviewed and forwarded to Planning to proceed with TIA
11 May 26: Planning team targeted to revert by 21 May 26
18 May 26: Ditto
31 May 26: Planning has issued further comments on the EOT and issued Revise and Resubmit status on (date??). Letter to be issued to Contractor. 
04 Jun 26: Letter in WF089388
15 Jun 26: Commercial to update
27 Jun 26: The EAR for EOT 1 was forwarded to the claim team for final review and to obtain the legal's offline approval.
06 Jul 26: EAR approved and sent back to commercial. WF initiated via WF-092960
07 Jul 26: Workflow reinitiated via ref WF-93007
13 Jul 26: Cover letter put in WF (WF-093650)
26 July 26: EAR issued (Ref. 1TB01009-009C09-AMA-LTR-0102 dated 20 July 2026)
10 Aug 26: Awaiting Contractor's response
22 Aug 26: Ditto. For the prolongation cost, respond to Contractor requesting concurrency analysis.
07 Sep 26: Ditto
21 Sep 26: Ditto</t>
  </si>
  <si>
    <t>Fibrex - Submission of Extension of Time (EOT)</t>
  </si>
  <si>
    <t>1TB01005-005C19-FEX-LTR-0083</t>
  </si>
  <si>
    <t>1TB01005-005C19-AMA-LTR-0165</t>
  </si>
  <si>
    <t>1TB01005-005C19-AMA-RFA-CM-0006</t>
  </si>
  <si>
    <t>09 Jan 26: Ditto, contractor targeted to submit the revised claim by 07 Feb 2026 via email
upon the introduction of the HLEAR route, contractor's email date where it agreed to submit further particularhas been considered the last correspondence received from the contractor as teh start date + 20 BD</t>
  </si>
  <si>
    <t>1TB01005-005C19-AMA-RPT-PM-0002
AMA01005-WTRAN-082930: (WF-043718) 
KPI Date +7 days
EAR Issued to Contractor via 1TB01005-005C19-AMA-LTR-0185 on 21 July 2026</t>
  </si>
  <si>
    <r>
      <t xml:space="preserve">09 Mar 26: HLEAR being prepared by commercial following RFA (WF-040808 initiated on 24 Feb 26) approved on 04 Mar 26. Commercial are targeting to issue report to Claims by 19 Mar 26.
02 Apr 26: Draft HLEAR sent to claims for review
06 Apr 26: Targeted to revert by 09 Apr 26
15 Apr 26: HLEAR draft sent back to commercial with comments to resubmit 
17 Apr 26: Updated draft HLEAR sent to claim team for further review
19 Apr 26: Draft HLEAR sent to planning for review
20 Apr 26: Ditto, Shaju to update 
27 Apr 26: HLEAR targeted to be reverted by 10 May 26
04 May 26: Ditto
11 May 26: Target date revised to 14 May 2026
18 May 26: Ditto, Shaju to update
04 Jun 26: With Claims for final review before WF.  Target 08 Jun 26.  NE to discuss with Paul M.
09 Jun 26: currently in workflow (WF-043718) 
15 Jun 26: HLEAR approved by claim and 
28 June 26: HLEAR Approved and to be issued to the Contractor. Document has no signature of the CEO. Chasng to sign. Meeting with Fibres is required prior to issue as Site team want to avoid an external consultant completing this Claim for Fibrex.
10 July 26:  Claim going through WF approvals for issuance to Fibrex 1TB01005-005C19-AMA-LTR-0185. 
21 Jul 26: Issued to Contractor via 1TB01005-005C19-AMA-LTR-0185 on 21 July 2026
27 Jul 26: Awaiting response from contractor
10 Aug 26: Ditto
21 Aug 26: Fibrex responded on 12 Aug 26 (1TB01005-005C19-FEX-LTR-0106) rejecting the assessment in particular regard to the non assessment of Employer related delays and recent instructions. Sent to Site planning team for their response on 21 Aug 26.
07 Sep 26: Ditto
14 Sep 26: planning team targeted to revert by 21 Sep 26
20 Sep 26: Planning team responded with clarification &amp; comments
23 Sep 26: Commercial team responded seeking advise on a route whereby we could award additional time, on a strictly zero-cost basis and reflecting the accepted concurrency position without the need for a resubmission by the contractor
30 Sep 26: queries raised to commercial by planning
</t>
    </r>
    <r>
      <rPr>
        <sz val="12"/>
        <color rgb="FFFF0000"/>
        <rFont val="Amaala Sans"/>
      </rPr>
      <t>04 Oct 26: Commercial to respond to planning by 06 Oct.</t>
    </r>
  </si>
  <si>
    <t>TB AYC - Letter to RSG-Amaala-Contractor’s Claim – Interim Extension of Time For Completion No. 02 - Using Time Impact Analysis - EOT -02</t>
  </si>
  <si>
    <t>1TB01003-003C09-DCC-LTR-0299</t>
  </si>
  <si>
    <t>1TB01003-003C09-AMA-RPT-PM-0003
WF-020320 initiated on 25 Feb 26
EAR issued to DEPA on 24 Mar 26 under 1TB01003-003C09-AMA-LTR-0230</t>
  </si>
  <si>
    <t xml:space="preserve">05 Dec 25: Draft EAR sent to Planning for TIA
08 Dec 25: TIA targeted to conclude by (TBC)
13 Dec 25: Draft EAR with Planning Team for Time Impact Assessment,
15 Dec 25: TIA targeted to conclude by 06 Jan 25
10 Jan 26: TIA under review by Planning Team., Shaju to update 
13 Jan 26: Targeted to finalise by 25 Jan 26
19 Jan 26: Targeted to finalise by 22 Jan 26
24 Jan 26: Under review by Planning Team.
27 Jan 26: TIA incorporated and sent to commercial for finalisation
09 Feb 26: Commercial drafting a letter to response to EOT 01 DEPA . Then EAR would be finalized by BK
18 Feb 26: Final Draft EAR sent to Claims Team for Pre-approval
23 Feb 26: Ditto, targeted to revert by 01 Mar 2026
25 Feb 26: EAR approved and Sent back to commercial to initiate WF
09 Mar 26: EAR put in WF-020320 on 25 Feb 26 and is under approval.
24 Mar 26: EAR issued to DEPA on 24 Mar 26 under 1TB01003-003C09-AMA-LTR-0230. 
06 Apr 26: Awaiting acceptance from DEPA.
19 Apr 26:  Depa requested xer files, sent on 14 April, awaiting response from DEPA
04 May 26: Awaiting DEPA's response to EAR. Comm to issue a follow up, if they dont respond in a week's time
16 May 26: Reminder/follow-up to DEPA for the response to EAR drafted/initiated in WF-021266 for approval.
31 May 26: DEPA provided their response on 25 May 26 (1TB01003-003C09-DCC-LTR-0410). Commercial and Planning teams are to respond accordingly (target 10 June 26).
04 Jun 26: Revised draft sent to Planning 03 Jun 26.
08 Jun 26: Target 25 Jun 26
15 Jun 26: this line item closed as a reassessment is being carried (Item 140 below) out based on the contractor's response on EOT 1 EAR issued 
</t>
  </si>
  <si>
    <t>Request for Extension of Time (EOT) for Project VBH Claim 001</t>
  </si>
  <si>
    <t>1TB01006C52</t>
  </si>
  <si>
    <t>1TB01006-006C52-MIN-LTR-0014 on 24 Sep 25
MIN01006-GENCORR-000039</t>
  </si>
  <si>
    <t>AMA01006-GENCORR-003854</t>
  </si>
  <si>
    <t xml:space="preserve">MIN01006-TRANSMIT-000044) , 1TB01006-006C52-MIN-LTR-0020 on 08 Nov 25
1Tb01006-006C52-LTR-0030 on 20 Dec 25
1TB01006-006C52-MIN-LTR-0034 
MIN01006-TRANSMIT-000071 20 Jan 26
MIN01006-GENCORR-000094 on 17 Feb 26
1TB01006-006C52-MIN-LTR-0051
MIN01006-TRANSMIT-000115 on 15 Apr 26
MIN01006-GENCORR-000106 on 15 Apr 26
MIN01006-GENCORR-000116, 115, 114 on 14 Apr 26
</t>
  </si>
  <si>
    <t>WF-045369
1TB01006-006C52-AMA-RPT-PM-0001
WF initiated on 01 Jul 26
KPI+7 days
EAR issued to the Contractor (Ref. 1TB01006-006C52-AMA-LTR-0058)</t>
  </si>
  <si>
    <t>04 May 26: Commercial to revsie EAR, target to complete by Tuesday 05 May 2026
05 May 26: Updated draft EAR sent to claims team for review
11 May 26: documents shared previously was incorrect and correct document sent to claims team for review
18 May 26: Ditto, Targeted to issue the EAR to planning by 21 May 26
24 May 26: Draft EAR sent back to commercial with comments to addres and resubmit for further review
31 May 26: Commercial to address Claim's team comments - to finish by 08 June 26
04 Jun 26: Ditto
08 Jun 26: updated draft EAR sent to claims team for further review
09 Jun 26: Draft EAR sent to planning for TIA
15 Jun 26: Ditto, Targeted to revert by 18 Jun 26
18 Jun 26: TIA incorporated and sent to commercial for finalisation
21 Jun 26: Final Draft EAR sent to claims team for pre-approval prior to WF
23 Jun 26: Resubmitted the final draft for pre approval
28 June 26: EAR with claims team to obtain Kieran's offline approval
01 Jul 26: EAR approved and sent back to commercial to initiate WF // WF initiated via WF-045369
11 July 26: EAR in workflow still under approval
20 Jul 26: Cover letter put in workflow for issuance of EAR (WF-046004)
26 July 26: EAR issued to the Contractor (Ref. 1TB01006-006C52-AMA-LTR-0058)
10 Aug 26: Awaiting response from the Contractor
24 Aug 26: Contractor's Response to EAR - ref 1TB01006-006C52-MIN-LTR-0074 (partial disagreement).  Target date TBC
07 Sep 26: Ditto
07 Sep 26: Commercial sent letter of Contractor's response to Planning on 6 Sept 26
21 Sep 26: Ditto</t>
  </si>
  <si>
    <t xml:space="preserve">EOT Claim No. 02 </t>
  </si>
  <si>
    <t xml:space="preserve"> CBE01006-GENCORR-000055, 1TB01006-006C20-CBE-LTR-0016</t>
  </si>
  <si>
    <t>AMA01006-GENCORR-003855</t>
  </si>
  <si>
    <t>CBE01006-GENCORR-000056 on 08 Nov 25
CBE01006-GENCORR-000059 02 Dec 25
CBE01006-GENCORR-000061 on 10 Dec 25</t>
  </si>
  <si>
    <t>1TB01006-006C20-AMA-RPT-PM-0002
WF-041883 initiated on 03 Mar 26
23 Mar 26: EAR issued to contractor via 1TB01006-006C20-AMA-LTR-0066</t>
  </si>
  <si>
    <t>Commercial and Planning</t>
  </si>
  <si>
    <t>25 Feb 26: final updated draft sent to claims for pre-approval
02 Mar 26: EAR approved by claims team for WF initiation
03 March 26: EAR currently under WF-041883
08 Mar 26: Ditto
18 Mar 26: cover letter to issue the EAR-02 put in WF-042310
23 Mar 26: EAR issued to contractor via 1TB01006-006C20-AMA-LTR-0066
06 Apr 26: awaiting acceptance from contrator
18 April 26: Contractor disagrees with the EAR maintaining its position of the Completion Date of 23 Ocotber 2025 (CBVE01006-GENCORR-000067). Employer responded asking further particulars of the disagreement (AMA01006-GENCORR-004578) - Awaiting Contractor's response.
21 Apr 26: Contractor responded challenging employer's TIA via CBE01006-GENCORR-000068, contractor's response sent to Planning for their input
04 May 26: Planning to respond on Tuesday 05 May 2026
11 May 26: Planning undertaking the concurrency analysis and has t argeted to revert by 31 May 26
14 May 26: Employer responded on 10 May 26 in regards of DE-14 clarification via Ref. AMA01006-GENCORR-004687. Concurrency assessment is yet to be issued by planning 
31 May 26: Concurrency assessment to be issued - awaiting from Planning
04 Jun 26: Ditto
08 Jun 26: Target 11 Jun 26
15 Jun 26: Ditto, targeted to revert by 18 Jun 26
22 Jun 26: responded to commercial on 21 Jun 26
28 June 26: Awaiting Contractor's response to the EAR, Commercial issued Concurrency Analysis to Contractor (Ref. AMA01006-GENCORR-004824 dated 22 June 26). awaiting Contractor's response to the EAR.
11 July 26: Ditto
26 July 26: Awaiting Contractor's response to EAR
10 Aug 26: Awaiting response from the Contractor, Commercial to issue a follow up letter
02 Sept 26: Contractor requested for a copy of the XER file (CBE01006-GENCORR-000076). Commercial provided the XER file (AMA01006-GENCORR-005007)
16 Sep 26: Contractor responded via CBE01006-GENCORR-000078 following up on the cost assessment of its claim. 
29 Sep 26: Draft response sent to claims team for review
30 Sep 26: draft letter reverted with commetns to revise &amp; resubmit // Planning preparing inputs on concerns related to TIA</t>
  </si>
  <si>
    <t>Request for Interim Extension of Time due to Additional works Front of House, Public Space ID Package (EOT  02)</t>
  </si>
  <si>
    <t>1TB01002-002C06-HOI-LTR-0056</t>
  </si>
  <si>
    <t>1TB01002-002C06-HOI-LTR-0076</t>
  </si>
  <si>
    <t>19 Jul 26: Workflow initiated via WF-042032 (AMA01002-WTRAN-164629) on 19 Jul 26
10 Aug 26: EAR issued to contractor via 1TB01002-002C06-AMA-LTR-0083</t>
  </si>
  <si>
    <t>Request for Interim Extension of Time Residences 49 Condos ID Package (EOT Rev 01)</t>
  </si>
  <si>
    <t>1TB01002C61</t>
  </si>
  <si>
    <t>1TB01002-002C61-HOI-LTR-0007</t>
  </si>
  <si>
    <t>advince copy of additional Particulars received on 06 Jan 26 via email
HOI01002-GENCORR-000235 (same particulars as above formally submitted via aconex)</t>
  </si>
  <si>
    <t xml:space="preserve">1TB01002-002C61-AMA-RPT-PM-0001
WF-037644 initiated on 02 Mar 26
EAR with letter reference 1TB01002-002C61-AMA-LTR-0007 dated 23-Mar-26 </t>
  </si>
  <si>
    <t>Cost Claim - Interim Application for Extension of Time (EOT) No.1 Rev.2</t>
  </si>
  <si>
    <t>1TB01002-002C03-MEC-LTR-0077 on 08 Nov 25
1TB01002-002C03-MEC-LTR-0084 on 18-Jan-26.</t>
  </si>
  <si>
    <t>1TB01002-002C03-MEC-LTR-0092 on 05-Apr-26
 1TB01002-002C03-MEC-LTR-0093 on 13 May 2026.</t>
  </si>
  <si>
    <t>1TB01002C59</t>
  </si>
  <si>
    <t xml:space="preserve"> ICAE-TRANSMIT-000012</t>
  </si>
  <si>
    <t>AMA01002-GENCORR-002961</t>
  </si>
  <si>
    <t>ICAE-TRANSMIT-000012 on 19 Nov 25
ICAE-TRANSMIT-000027 (1TB01002-002C59-ICA-LTR-0022 on 28 Jan 26
E-TRANSMIT-000055 on 15-Mar-26 (1TB01002-002C59-ICA-LTR-0057) on 15 Mar 26
ICAE-TRANSMIT-000070 on 07 Apr 26
ICAE-TRANSMIT-000094 on 16 May 26
ICAE-GENCORR-000011</t>
  </si>
  <si>
    <r>
      <t xml:space="preserve">31 May 26: Response to Contractor issued via AMA01002-GENCORR-003251 dated 21 May 26, confirming that the Contractor's submission in unacceptable. 
04 Jun 26: Ditto
15 Jun 26: Ditto
17 Jun 26: contractor submitted revised claim via ICAE-GENCORR-000011,
22 Jun 26: submission sent to site planning for review &amp; comments
24 Jun 26: Planning team reverted with their input to incorporate in the draft response
25 Jun 26: Draft response requesting revise &amp; resubmit sent to claims team for review // reviewed and sent back to proceed with issuance
28 Jun 26: letter to be issued to contractor via Ref. 1Tb01009-002C59-AMA-LTR-0023 dated 28 June 26 - under WF-041370
11 July 26: Employer's letter (to revise and resubmit) issued to the Contractor via 1TB01002-002C59-AMA-LTR-0023 on 5 July 2026. Currently, action with the Contractor. 
26 July 26: Awaiting Contractor's revised submission
10 Aug 26: Ditto
24 Aug 26: Ditto.  Issue reminder.
</t>
    </r>
    <r>
      <rPr>
        <sz val="12"/>
        <color rgb="FFFF0000"/>
        <rFont val="Amaala Sans"/>
      </rPr>
      <t>07 Sep 26 : Reminder issued on 27 Aug 26 via AMA01002-GENCORR-003354. Pending submission by the Contractor.</t>
    </r>
    <r>
      <rPr>
        <sz val="12"/>
        <rFont val="Amaala Sans"/>
      </rPr>
      <t xml:space="preserve">
21 Sep 26 : Pending submission by the Contractor.</t>
    </r>
  </si>
  <si>
    <t>Request for approval of Extension of Time &amp; Cost submitted</t>
  </si>
  <si>
    <t>1TB01002-002C22-CBE-LTR-0018 on  23 Oct 25
1TB01002-002C22-AMA-LTR-0051</t>
  </si>
  <si>
    <t>(CBE01002-GENCORR-000067) on 07 Jun 26</t>
  </si>
  <si>
    <r>
      <t xml:space="preserve">18 May 26: Contractor confirmed that the Prolongation Cost submission will be revised as it lacks substantiation. Comm to respond to the contractor to resubmit a revised claim with all the required particulars
04 Jun 26: Response issued to Contractor under letter ref 1TB01002-002C22-AMA-LTR-0061 dated 1 Jun 26.
15 Jun 26: Ditto
28 June 26: Contractor responded under Letter Ref. (CBE01002-GENCORR-000067) on 07 Jun 26
29 Jun 26: commercial to issue response by 02 Jul 2026
11 July 26: No compensable delays awarded to the Contractor. This cost claim is related to Additional Engineering Manhours &amp; Accommodation costs which shall be dealt seperately. Claims team to advise 
26 July 26 : Discussed with the Contractor on 19 July 2026 and Additional Engineer Manhours not proved by the Contractor. Accommodation costs shall be dealt via an RFC. Formal response (MOM) will be issued to the Contractor. Target date to issue 27 July 2026. 
10 Aug 26: The Employer held a meeting with the Contractor to clarify the submitted cost claim and requested the Contractor to revise and resubmit the claim accordingly, as recorded in the MOM issued  through Ref. AMA01002-TRANSMIT-001738)
23 Aug 26 : Pending submission from the Contractor
</t>
    </r>
    <r>
      <rPr>
        <sz val="12"/>
        <color rgb="FFFF0000"/>
        <rFont val="Amaala Sans"/>
      </rPr>
      <t xml:space="preserve">07 Sep 26: Ditto. Pending Action with the Contractor. </t>
    </r>
    <r>
      <rPr>
        <sz val="12"/>
        <rFont val="Amaala Sans"/>
      </rPr>
      <t xml:space="preserve">
21 Sep 26: Ditto. Pending Action with the Contractor. </t>
    </r>
  </si>
  <si>
    <t>DEOT EI to Hassan Allam (009C19 Lime Rendering Works) - Employer's Instruction No. 005 - Extension of Time to the Time for Completion – to 23 April 2025</t>
  </si>
  <si>
    <t>This date refers to the date when it was decided to issue a DEOT</t>
  </si>
  <si>
    <t>AMA01009-EMPI-000006
1TB01009-009C19-AMA-EMI-PM-0005 issued on 15-6-25</t>
  </si>
  <si>
    <r>
      <t xml:space="preserve">12 Dec 25: Claim reviewed by commercial and planning and rejected - No detailed chronology, No monthly window analysis, Global cost assessment - Letter to be issued to WF by 18 Dec 25.
09 Jan 26: Line item removed from tracker? Revised claim submitted on 07 Jan 26 and TIA comments not addressed - site team to arrange a meeting with Contractor.
</t>
    </r>
    <r>
      <rPr>
        <sz val="12"/>
        <color rgb="FFFF0000"/>
        <rFont val="Amaala Sans"/>
      </rPr>
      <t>26 Jan 26: Meeting held with Contractors Claim consultant on 15 Jan 26 and they will update the Claim so it is compliant with the Contract. Letter to confirm issued to WF for approvals 1TB01005-005C26-AMA-LTR-0122.</t>
    </r>
  </si>
  <si>
    <t>Extension of Time Claim No. 01</t>
  </si>
  <si>
    <t xml:space="preserve">1TB01006-006C23-RMA-LTR-0107 </t>
  </si>
  <si>
    <t>08 Dec 25: Contractor submitted EOT-01 via 1TB01006-006C23-RMA-LTR-0107  on 05 Dec 25,
13 Dec 25: planning accepted methodology. Response currently prepered, target date 15 Dec. Target date for report 08 Jan (depending on other priorities it may change).  duplicate entry</t>
  </si>
  <si>
    <t>EXTENSION OF TIME CLAIM NO.01 - 384 CALENDAR DAYS</t>
  </si>
  <si>
    <t>1TB01005C26</t>
  </si>
  <si>
    <t>1TB01005-005C26-BGC-LTR-0211</t>
  </si>
  <si>
    <t>1TB01005-005C26-AMA-LTR-0119</t>
  </si>
  <si>
    <t>1TB01005-005C26-BGC-LTR-0226 on 07 Jan 26
BGC01005-GENCORR-000169 (1TB01005-005C26-BGC-LTR-0255) on 23 Apr 26
BGC01005-GENCORR-000176 on 25 May 26 (states previous submission is full &amp; final
1TB01005-005C26-AMA-LTR-0145 (stating that employer will proceed with EAR based on the avilable data)</t>
  </si>
  <si>
    <r>
      <t xml:space="preserve">10 May 26: Site Planning team provided comments on contractor's latest submission
11 May 26: Draft response sent to site planning team for review prior to WF
15 May 26: Rejection letter going through WF approvals 1TB01005-005C26-AMA-LTR-0138
31 May 26: Contractor rejects Employer's rejection of their EOT claim No. 1 (Rev. 02), ref. </t>
    </r>
    <r>
      <rPr>
        <b/>
        <sz val="12"/>
        <rFont val="Amaala Sans"/>
      </rPr>
      <t>BGC01005-GENCORR-000176</t>
    </r>
    <r>
      <rPr>
        <sz val="12"/>
        <rFont val="Amaala Sans"/>
      </rPr>
      <t xml:space="preserve"> 
04 Jun 26: Commercial to respond.
09 Jun 26: commercial sent email to site planning to advise if the TIA Methodology  applied is in compliance 
11 Jun 26: planning confirmed that the TIA is in compliance
15 Jun 26: commercial to write to the contractoor confirming that Employer will proceed with the EAR based on the avialable Data and proceed with TIA
22 June 26: Letter issued to the Contractor via Ref. 1TB01005-005C26-AMA-LTR-0145 dated 22 June 26, in response to BGC01005-GENCORR-000176 stating that following review of the Contractor’s submission and further to the meeting held on 04 June 2026, the Employer confirms that it will proceed with its detailed assessment of the Claim in its current submitted form. 
28 Jun 26: EAR being prepared - target date for issue to Claims is  24 Jul 26.
12 Jul 26: Ditto
27 Jul 26: Target date moved to 07 Aug 26
10 Aug 26: Target date moved to 21 Aug 26
21 Aug 26: EAR sent to claims team for review
23 Aug 26: EAR reverted to commercial with comments
24 Aug 26: updated Draft report sent to claims team for further review.  Target 25 Aug 26.
25 Aug 26: EAR sent to planning for TIA
03 Sep 26: EAR sent back with planning's comments 
05 Sep 26: Updated draft addressing planning's comments sent to claims team for review
06 Sep 26: updated EAR sent to planning 
08 Sep 26: Planning revereted the EAR stating that the chronology for access delays does not have adequate details to prepare TIA
16 Sep 26: EAR sent to commercial to review comments from planning team
19 Sept 26: Commercial and Site Planning to complete a review of Shaju comments on 20 Sept
23 Sep 26: Updated EAR sent to Claims team for TIA
28 Sep 26: EAR reviewd and sent to plannign to commence TIA
</t>
    </r>
    <r>
      <rPr>
        <sz val="12"/>
        <color rgb="FFFF0000"/>
        <rFont val="Amaala Sans"/>
      </rPr>
      <t>04 Oct 26: Ditto, issued to planning on 28 Sept.</t>
    </r>
  </si>
  <si>
    <t>EXTENSION OF TIME CLAIM NO.01 - 384 CALENDAR DAYS - Cost</t>
  </si>
  <si>
    <t>1TB01005-005C26-BGC-LTR-0226</t>
  </si>
  <si>
    <t>09 Jan 26: EAR to be updated and issued to BK by 17 Jan 26.
26 Jan 26: Meeting held with Contractors Claim consultant on 15 Jan 26 and they will update the Claim so it is compliant with the Contract. Letter to confirm issued to WF for approvals 1TB01005-005C26-AMA-LTR-0122.
07 Feb 26: Letetr was issued to COntractor on 03 Feb 26 (Ref.1TB01005-005C26-AMA-LTR-0122)
08 March 26 : Ditto
06 Apr 26: Ditto
20 Apr 26: Ditto
04 May 26: Ditto
31 May 26: Ditto
04 Jun 26: Ditto
15 Jun 26: Ditto
12 Jul 26: Ditto
27 Jul 26: Ditto
10 Aug 26: Ditto
24 Aug 26: Ditto</t>
  </si>
  <si>
    <t>Access delay events - Contractor's claim for an Extension of the Time for Completion and Additional Payment - Interim Claim No 2
with cut-off date 07 November 2025</t>
  </si>
  <si>
    <t>1TB01005-005C11-ALE-LTR-0236</t>
  </si>
  <si>
    <t>1TB01005-005C11-AMA-RPT-PM-0002
WF-041060 initiated on 02 Mar 26
18 Mar 26: EAR issued to contractor via 1TB01005-005C11-AMA-LTR-0154</t>
  </si>
  <si>
    <t>10 Jan 26: Under review.
26 Jan 26: Draft EAR issued to BK 22 Jan, targeted to submit the draft for claims team by 01 Feb 26
31 Jan 26: Draft EAR sent to claims for initial review
07 Feb 26: EAR sent back to commercial with comments, commercial to update and return to proceed with TIA
08 Feb 26: Updated EAR sent to claims for review
09 Feb 26: targeted to revert by 10 Feb 26
10 Feb 26: Draft EAR sent to planning for TIA
11 Feb 26: EAR sent back to claims with comments for review // EAR sent to commercial to address the comments // Updated draft EAR sent back to claims
13 Feb 26: Updated Draft EAR sent to Planning to proceed with TIA
16 Feb 26: TIA targeted to conclude by 26 Feb 26
24 Feb 26: Planning raised queries on the chronology
25 Feb 26: clarifications were provided, planning to proceed with TIA
26 Feb 26: TIA incorporated and sent to claims / commercial for finalisation
02 MAr 26: EAR approved and sent to commercial for formal WF approval
08 Mar 26: EAR on WF for approval (WF-041060) - Forecast approval date 11 Mar 26
11 Mar 26: Cover letter put in WF-041422
18 Mar 26: EAR issued to contractor via 1TB01005-005C11-AMA-LTR-0154
06 Apr 26: Awaiting acceptance from contractor
20 Apr 26: Ditto
01 May 26: No response from Contractor so determination 1TB01005-005C11-AMA-LTR-0165 and EI 1TB01005-005C11-AMA-LTR-0166 going through WF approvals to issue to Contractor, WF-042859, WF-042860
04 May 26: Ditto
15 May 26: EI and determination issued to Contractor on 04 May 26, AMA01005-WTRAN-081461</t>
  </si>
  <si>
    <t>Extension of Time - EOT 01 &amp; 02 - Prolongation Cost</t>
  </si>
  <si>
    <t>1TB01009-009C12-MEC-LTR-0058</t>
  </si>
  <si>
    <t>10 Jan 26: Under Review, Comm team target Commercial review to Claims team on (TBC)
09 Feb 26: target to Claims team on 01 March 26
23 Feb 26: target to Claims team on 01 March 26
08 March 26:  Target to send EAR to claims team on 05 April 26
06 Apr 26: Ditto, discussions ongoing with contractor as the contractor may waive off all cost
20 Apr 26: Ditto
04 May 26: Ditto
18 May 26: Awaiting contractor's formal confirmation for the same
31 May 26: Ditto
04 June 26: Ditto
15 Jun 26: Ditto, Commercial to follow up with contractor
24 Jun 26: Kumar advised to hold, Contractor will issue Final Account Statments within 2 weeks. 
13 Jul 26: Ditto
26 July 26: Final Account Statement target to issue by 10 August 2026.
10 Aug 26: Ditto, target for FAS date moved to 20 Aug 26
24 Aug 26: Discharge letter closing all the claims is expected by 30 Aug 26
19 Sep 26: As of 24 August 2026, the Contractor submitted a Discharge Letter waiving all claims(1TB01009-009C12-MEC-LTR-0061)
@NE, can we close this claim or to keep until final account? any further action required from RSG?</t>
  </si>
  <si>
    <t>Extension of Time- EOT 1</t>
  </si>
  <si>
    <t>1TB01002C64</t>
  </si>
  <si>
    <t>1TB01002-002C64-HOI-LTR-0006</t>
  </si>
  <si>
    <t>AMA01002-WTRAN-152353
1TB01002-002C64-AMA-RPT-PM-0001
WF-039951 initiated on 11 May 26
16 Jun 26: EAR issued to contractor via 1TB01002-002C64-AMA-LTR-0007</t>
  </si>
  <si>
    <r>
      <t xml:space="preserve">04 May 26: Draft EAR sent to Planning for TIA, targeted to revert by 12 May 26
07 May 26: TIA incorporated and sent to commercial for finalisation
09 May 26: Final Draft EAR sent to claims team for pre-approval
10 May 26: EAR approved and sent back to commercial to initiate WF approval
11 May 26: EAR put in workflow for approva under ref WF-039951
18 May 26: Ditto
04 Jun 26: EAR approved by GCEO, Cover letter to be put in WF039951.  Commercial to issue to Contractor.
16 Jun 26: EAR issued to contractor via 1TB01002-002C64-AMA-LTR-0007
28 June 26: Awaiting Contractor's response to EAR
11 Jul 26: Contractor responsed to Employer's EAR for EOT 01 via 1TB01002-002C64-HOI-LTR-0016 dated 30 June 2026, and in disagreement with the Employer's assessment of concurrent delay. RSG Commercial forwarded letter to Planning for review and further comment on 30th June 2026
13 Jul 26: Targeted to revert by 14 Jul 26
20 Jul 26: Targeted to revert by 21 Jul 26
26 July 26: Awaiting Forensic Planning team input since the 30th June 2026, Commercial has sent follow up emails on the 12 July and 26 July 26.
27 Jul 26: Planning provided its input for the in response to contractor's disagreement
10 Aug 26: Commercial is drafting the reponse letter and will be uploaded in WF (09 AUg 26) .  WF reference to advise once done.
23 Aug 26 : Action with Commercial, draft letter under preparation
24 Aug 26:  With claims for review.
</t>
    </r>
    <r>
      <rPr>
        <sz val="12"/>
        <color rgb="FFFF0000"/>
        <rFont val="Amaala Sans"/>
      </rPr>
      <t>07 Sep 26: RSG's response issued via 1TB01002-002C64-AMA-LTR-0012  on 31 August 2026. In principle, initial EAR remains same. EI to be issued for granting the EOT #1, EAR for the Contractor's acceptance and sign-off.</t>
    </r>
    <r>
      <rPr>
        <sz val="12"/>
        <rFont val="Amaala Sans"/>
      </rPr>
      <t xml:space="preserve">
21 Sep 26: No further concerns received from the Contractor. EI to grant the EOT is under preparation. Target to initiate the workflow on 21 Sep 26.</t>
    </r>
  </si>
  <si>
    <t>Extension of Time- EOT 2</t>
  </si>
  <si>
    <t xml:space="preserve">1TB01002-002C03-MEC-LTR-0084 </t>
  </si>
  <si>
    <t>AMA01002-GENCORR-003125</t>
  </si>
  <si>
    <t>1TB01002-002C03-MEC-LTR-0089  on 11-Mar-26
1TB01002-002C03-MEC-LTR-0091 dated 18-Mar-26</t>
  </si>
  <si>
    <t>Extension 0f Time Claim No. 1 - Rev 1</t>
  </si>
  <si>
    <t>1TB01100C01</t>
  </si>
  <si>
    <t>1TB01100-100C01-SSC-LTR-0024-C1 on 13 Jan 26
SSC01100-GENCORR-000048</t>
  </si>
  <si>
    <t>1TB01100-100C01-SSC-LTR-0024-1 on 22 Aug 2026</t>
  </si>
  <si>
    <r>
      <t xml:space="preserve">27 Apr 26: TIA under process and targetd to revert by 05 May 26
04 May 26: Ditto
11 May 26: EAR sent to commercial team with comments &amp; queries on the IFC event 
18 May 26 : With Comm team to sort it. Target date 04 June 2026.
04 Jun 26: Commercvial issued query to Claims
07 Jun 26: Draft EAR sent to claims team for review
15 Jun 26: Targeted to revert by 18 Jun 26
23 Jun 26: EAR sent to Planning for TIA 
29 Jun 26: (Shaju to update)
06 Jul 26: planning team targeted to conclude TIA by 16 Jul 26
13 Jul 26: Ditto
20 Jul 26: Targeted to revert by 26 Jul 26
25 Jul 26: Ditto
03 Aug 26: TIA targeted to be concluded by 03 Aug 26
10 Aug 26: Ditto | Meeting held with Salco &amp; RSG Planning team on 09 Aug 2026 highlighting the deficiencies in Salco chronology for access delays. Salco stated that they will submit updated chronology and particulars within this week. This is essential to meaningfully assess the TIA.
24 Aug 26: Ditto (check with planning team to see if recorded formally)
</t>
    </r>
    <r>
      <rPr>
        <sz val="12"/>
        <color rgb="FFFF0000"/>
        <rFont val="Amaala Sans"/>
      </rPr>
      <t>07 Sep 26: The Contractor submitted additional info to Planners ref. 1TB01100-100C01-SSC-LTR-0024-1 on 22 Aug 2026
07 Sep 26: Contractor submitted additional info to Planning</t>
    </r>
    <r>
      <rPr>
        <sz val="12"/>
        <rFont val="Amaala Sans"/>
      </rPr>
      <t xml:space="preserve">
14 Sep 26: TIA under process, planning team targeted to revert by 20 Sep 26
17 Sep 26: TIA incorporated and sent to claims team for finalisation
26 Sep 26: EAR sent back to planning team to provide a summary table of teh delay analysis</t>
    </r>
  </si>
  <si>
    <t>Extension of Time - Claim No. 01 - Reassessment of Item No. 48 Above  EOT-01 Rev</t>
  </si>
  <si>
    <t>1TB01005-005C24-PRA-LTR-0020</t>
  </si>
  <si>
    <t>1TB01005-005C24-AMA-RPT-PM-0003
WF-040009  initiated on 05 Feb 26
1TB01005-005C24-AMA-LTR-0047  issued on 01 Mar 26</t>
  </si>
  <si>
    <r>
      <t xml:space="preserve">09 Mar 26: Draft response sent to claims team for review &amp; was sent back to commercial for issuance
06 Apr 26: Contractor has confirmed they do not agree with EAR as 1TB01005-005C24-PRA-LTR-0023 issued 14 Mar 26. It has requested a meeting to discuss and this will be arranged by end April. Following the meeting, formal determination to be issued.
17 Apr 26: Commercial &amp; Planning to have a meeting with the contractor to discuss &amp; explain the employer's assessment directly and move forward towards determination
20 Apr 26: Ditto
01 May 26: Planning to confirm there availability to meet with the Contractor
11 May 26: meeting to be arranged on the WC 17 May 26 (NE to speak with BK)
15 May 26: Site team awaiting confirmation on when to arrange meeting with Pangea
</t>
    </r>
    <r>
      <rPr>
        <sz val="12"/>
        <color rgb="FFFF0000"/>
        <rFont val="Amaala Sans"/>
      </rPr>
      <t>17 May 26: Planning team advised that the contractor should be requested to submit a single consolidated claim covering all relevant delay events up to the latest cut-off date, and a workshop meeting to be arranged to clarify the Employer’s requirements for a more efficient and comprehensive assessment of EOT and its concurrent delays</t>
    </r>
    <r>
      <rPr>
        <sz val="12"/>
        <rFont val="Amaala Sans"/>
      </rPr>
      <t xml:space="preserve">
18 May 26: Comm to draft a letter reg the same and submit to claims team for review
31 May 26:Employer attended a meeting with the contractor on May 19, 2026 and explain the basis of its assessment. Subsequently, a letter ref. 1TB01005-005C24-AMA-LTR-0054 dated  27, May 2026 confirming the Contractor's entitlement as per our letter ref. 1TB01005-005C24-AMA-LTR-0047 dated 01 March 2026.
04 jun 26: Ditto
</t>
    </r>
    <r>
      <rPr>
        <strike/>
        <sz val="12"/>
        <rFont val="Amaala Sans"/>
      </rPr>
      <t>15 Jun 26: EAR to be revised based on the letter from contractor, comm to check if any additional info / particulars were provided</t>
    </r>
    <r>
      <rPr>
        <sz val="12"/>
        <rFont val="Amaala Sans"/>
      </rPr>
      <t xml:space="preserve">
</t>
    </r>
    <r>
      <rPr>
        <sz val="12"/>
        <color rgb="FFFF0000"/>
        <rFont val="Amaala Sans"/>
      </rPr>
      <t>28 Jun 26: EAR determined 1TB01005-005C24-AMA-LTR-0054 and EI awarding time issued 1TB01005-005C24-AMA-LTR-0055. We now await Pangeas next Claim.</t>
    </r>
    <r>
      <rPr>
        <sz val="12"/>
        <rFont val="Amaala Sans"/>
      </rPr>
      <t xml:space="preserve">
</t>
    </r>
    <r>
      <rPr>
        <u/>
        <sz val="12"/>
        <rFont val="Amaala Sans"/>
      </rPr>
      <t>29 Jun 26: Rufino to clarify the diff in comments between 15 Jun and 28 jun
30 Jun 26: Contractor is still in disagreement and the employer issued determination &amp; EI accordingly</t>
    </r>
  </si>
  <si>
    <t xml:space="preserve">006C72 - Application for Extension of Time No.1 </t>
  </si>
  <si>
    <t>1TB01006C72</t>
  </si>
  <si>
    <t>1TB01006-006C72-NUI-LTR-0005 
NUI01006-GENCORR-000010</t>
  </si>
  <si>
    <t>AMA01006-WTRAN-138570
WF initiated in 18 May 2026 via WF-044184
KPI date +7 days
14 Jun 26: EAR issued to contractor via 1TB01-0006-006C72-AMA-LTR-00018</t>
  </si>
  <si>
    <t>02 Feb 26: Contractor submitted new EOT-01 claim, 1TB01006-006C72-NUI-LTR-0005 &amp; supporting documents via NUI01006-GENCORR-000010. currently under review with commercial. 
09 Feb 26: EAR target to complete on 19 Feb 26
22 Feb 26: with BK, target for review 03 March
08 March 26: Currently under finalization with Rufino to address BK comments, target to finalize by  16 March 26
06 April 26: New date 13 April 26
18 April 26: Currently with BK , target date to send to NE 22 April
27 Apr 26: Draft EAR sent to claims team for review
02 May 2026: Under review by CLaim's team
04 May 26: Draft EAR sent to planning to incorporate TIA
11 May 26: TIA incorporated and sent to claims / commercial for finalisation
14 May 26: Final Draft EAR sent to claims team for pre-approval
17 May 26: EAR approved and sent to commercial to initiate WF
18 May 26: EAR put in WF for approval (WF-044184)
04 Jun 26: Ditto
14 Jun 26: EAR issued to contractor via 1TB01-0006-006C72-AMA-LTR-00018
15 Jun 26: awaiting response from contractor
28 Jun 26: Awaiting response from Contractor
12 Jul 26: Ditto
26 July 26: Awaiting response from Contractor
10 Aug 26: Ditto, Commercial to issue EI
02 Sept 26: EI prepared and sent to PMIS for Workflow. WF-047247
09 Sep 26: EI issued to contractor via 1TB01006-006C72-AMA-EMI-PM-0004 (AMA01006-EMPI-000052), contractor acknowledged via NUI01006-GENCORR-000028</t>
  </si>
  <si>
    <t>EOT_AYC Extension of Time Claim EOT No.2 up to cut-off 25 Oct 2025</t>
  </si>
  <si>
    <t xml:space="preserve">1TB01003-003C08-RQN-LTR-0006 
RQN01003-TRANSMIT-000300 </t>
  </si>
  <si>
    <t>WF initiated on 24 Jun 26 via WF-021678
1TB01003-003C08-AMA-RPT-PM-0002
KPI date considered + 7 days
11 Jul 26:  EAR  issued to Contractor on 11 July 26 (Ref. 1TB01003-003C08-AMA-LTR-0047)</t>
  </si>
  <si>
    <t>02 Feb 26: Contractor submitted new EOT-02 claim via RQN01003-TRANSMIT-000300 on 30 Dec 25. Currently under review with commercial
09 Feb 26:  Under review by commercial. EAR target to complete by 19 Feb 26
21 Feb 26: Ditto, target by 28 Fev 26.
08 Mar 26: Ditto, target by 14 Mar 26.
06 Apr 26: Ditto, target  19 Apr 26.
19 April 26: target date 30 April 26
04 May 26: Commercial is waiting for information from the Delivery Team regarding  access delays to finalise the EAR. Target 10 May 26
13 May 26: Draft EAR sent to claims for review
17 May 26: EAR sent to Planning team to commence TIA (shaju to update)
04 Jun 26: Ditto
08 Jun 26: Target by 16 Jun 26
11 Jun 26: TIA incorporated and sent to claims team
12 Jun 26: EAR send to commercial for finalisation
13 Jun 26: Final Draft EAr sent to claims team for approval
15 Jun 26: Ditto, Under offiline approval with claims
24 Jun 26: EAR put in WF via WF-021678 .
30 Jun 26: further comments to amend para 1.13 was advised by Claims ED to reinitite WF
11 Jul 26:  EAR  issued to Contractor on 11 July 26 (Ref. 1TB01003-003C08-AMA-LTR-0047)
26 July 26: Awaiting response from Contractor
02 Aug 26: Raqtan accepted the EAR and noted to submit the prolongation cost (RQN01003-TRANSMIT-000357)
02 Aug 26: Employer requested Raqtan to submit analysis of concurrent delays, pior to submission of prolongation cost (AMA01003-GENCORR-001594)
06 Aug 26: Ratan responded that the awarded 215 EOT #2 days already covered the concurrent delays (RQN01003-GENCORR-000053)
06 Aug 26: Raqtan's response along with the attachments (Condurrency Position, Employer Window Table, Concurrent Delay Response) are forwarded by the Commercial Team via email to the Planning Team for review.
12 Aug 26: EI put in workflow (WF-022304)
17 Aug 26: EI issued via AMA01003-EMPI-000007</t>
  </si>
  <si>
    <t xml:space="preserve">Contractor's Extension of Time (EOT) - 01 </t>
  </si>
  <si>
    <t>1TB01006C64</t>
  </si>
  <si>
    <t xml:space="preserve">1TB01006-006C64-NVA-LTR-0013 </t>
  </si>
  <si>
    <t>1TB01006-006C64-AMA-LTR-0026</t>
  </si>
  <si>
    <t>1TB01006-006C64-NVA-LTR-0018</t>
  </si>
  <si>
    <t>Contractor's Extension of Time (EOT) - 01 - Cost</t>
  </si>
  <si>
    <t>1TB01006C58</t>
  </si>
  <si>
    <t>1TB01006-006C58-NVA-LTR-0012
NVA01006-TRANSMIT-000082</t>
  </si>
  <si>
    <t>1TB01006-006C58-AMA-LTR-0030</t>
  </si>
  <si>
    <t>1TB01006-006C58-NVA-LTR-0040-C0
NVA01006-TRANSMIT-000158</t>
  </si>
  <si>
    <t>Submission of Extension of Time Claim (EOT-02), Rev-00</t>
  </si>
  <si>
    <t>1TB01006-006C22-STE-LTR-0163 dated 11 Feb 26
STE01006-GENCORR-000313 dated 3 March 2026</t>
  </si>
  <si>
    <t xml:space="preserve">
workflow initiated via WF-046503 on 03 Aug 26
1TB01006-006C22-AMA-RPT-PM-0003
 (AMA01006-WTRAN-147775)</t>
  </si>
  <si>
    <r>
      <t xml:space="preserve">14 May 26: Draft EAR sent to claims team for review
18 May 26: Claims team targeted to revert by 21 May 26
31 May 26: Ditto
04 Jun 26: Claims to target 6 Jun 26.
05 Jun 26: Sent to Planning on 5 Jun 26
08 Jun 26: Target date TBC
15 Jun 26: Ditto (targete date TBC)
22 Jun 26: targeted to revert by 25 Jun 26
29 June 26: EAR pending with Planning (Shaju to update)
06 Jul 26: TIA tageted to conclude by 09 Jul 26
13 Jul 26: Ditto, Shaju to update
19 Jul 26: TIA incorporated and sent to claims team / Commercial for finalisation and approval prior to WF process
20 Jul 26: Draft EAR sent to commercial for finalisation / final draft sent to claims team for pre approval 
27 Jul 26: Ditto, 
02 Aug 26: EAR approved and sent to commercial to intiate WF
03 Aug 26: EAR under WF-046503 for approval
10 Aug 26: Ditto
24 Aug 26: Ditto
05 Sept 26: EAR approved and to be issued to Contractor. Letter under workflow for approval. WF referenc WF-047267
21 Sep 26: Ditto.
</t>
    </r>
    <r>
      <rPr>
        <sz val="12"/>
        <color rgb="FFFF0000"/>
        <rFont val="Amaala Sans"/>
      </rPr>
      <t>03 Oct 26 : EI under WF approval. EAR Accepted by Contractor</t>
    </r>
  </si>
  <si>
    <t>Access delay events - Contractor's claim for an Extension of the Time for Completion and Additional Payment - Interim Claim No 3 with cut-off date 05 December 2025</t>
  </si>
  <si>
    <t>1TB01005-005C11-ALE-LTR-0290</t>
  </si>
  <si>
    <t>1TB01005-005C11-AMA-LTR-0180</t>
  </si>
  <si>
    <t>1TB01005-005C11-AMA-RPT-PM-0003
WF initiated via WF-042937 on 02 May 26
KPI will be +7 days from WF</t>
  </si>
  <si>
    <t>08 March 26: EAR to be prepared. Target date to issue to Claims team on  03 April 26
03 Apr 26: Draft EAR sent to claim team for initial review
06 Apr 26: targeted revert by 14 Apr 26, 
20 Apr 26: claims team Targeted to revert by 21 Apr 26
23 Apr 26: Draft EAR finalised and sent to planning for TIA // planning responded to requesting clarification for the basis of validity in the assessment as it does not support the chronology // Updated draft sent back to planning addressing teh comments
27 Apr 26: TIA under process targeted to conclude by 30 Apr 26
28 Apr 26: TIA incorporated and sent to commercial for finalisation prior to claims team's offline approval
29 Apr 26: Final Draft EAR sent to claims for review and Pre approval prior to WF initiation
02 May 26: EAR approved and sent back to commercial to initiate WF // EAR put in WF (WF-042937)
04 May 26: Ditto
15 May 26: EAR approved and being issued to Contractor - 1TB01005-005C11-AMA-LTR-0176
31 May 26: Ditto
04 Jun 26: Ditto
15 Jun 26: commercial to send a follow up 
28 Jun 28: follow up Letter for the response to the EAR in WF going through approvals 1TB01005-005C11-AMA-LTR-0185
10 July 26: Follow up letter issued to Contractor 29 Jun 26 via 1TB01005-005C11-AMA-LTR-0185
27 Jul 26: Ditto
10 Aug 26: Ditto, Commercial to issue EI
21 Aug 26: EI and determination on WF 1TB01005-005C11-AMA-LTR-0200 &amp; 0201 - EI-026 going through approvals
05 Sept 26: Both issued to Contractor on 25 Aug 26 (WF 1TB01005-005C11-AMA-LTR-0200 &amp; 0201)</t>
  </si>
  <si>
    <t>Request for Interim Extension of Time Residences 49 Condos ID Package (EOT 02)</t>
  </si>
  <si>
    <t xml:space="preserve">1TB01002-002C61-HOI-LTR-0013 </t>
  </si>
  <si>
    <t>1TB01002-002C61-AMA-LTR-0009 on 26- April-26.</t>
  </si>
  <si>
    <t>1TB01002-002C61-HOI-LTR-0025 dated 17 August 2026</t>
  </si>
  <si>
    <t>Contractor's Extension of Time (EOT) - 02</t>
  </si>
  <si>
    <t>1TB01031-031C15-EMC-LTR-0028</t>
  </si>
  <si>
    <t>EAR under WF-017230 for approval on 28 Jul 26
1TB01031-031C15-AMA-RPT-PM-0002
AMA01031-WTRAN-024790
1TB01031-031C15-AMA-LTR-0044 dated 17 Aug 2026</t>
  </si>
  <si>
    <t>01 Apr 26: Contractor submitted EOT 02 claim via AMA01031-GENCORR-001118  on 16 Mar 26, comm to review and prepare initial response 
06 Apr 26: Ditto
20 April 26: Waiting for Blake to allocate the resource
03 May 26: wih BK (writing report), will be issued to Claims by 09 May 26
11 May 26: Draft EAR sent to claims team for initial review,
18 May 26: Claims team targeted to revert by 21 May 26
29 mAY 26: dRAFT ear SENT BACK TO COMMERCIAL WITH COMMENTS TO RESUBMIT
31 May 26: Feed back has recived from Claim team on 30 May 26 via Email, and being incorporated by Site commercial team
04 Jun 26: Ditto
10 Jun 26: updated EAr sent to claims for review, reverted to 14 Jun 26 to commercial
14 Jun 26: EAR sent to plannign for TIA,
15 Jun 26: Shaju to Update
22 Jun 26: targeted to revert by 25 Jun 26
29 Jun 26: Shaju to update
06 Jul 26: TIA tageted to conclude by 09 Jul 26
11 Jul 26: TIA incorporated and sent to claims team // EAR sent to commecial for finalisation // Final draft sent to claims team for approval
23 Jul 26: EAR approved and sent to commercial to initiate WF
26 July 26: EAR under WF-017230 for approval
09 Aug 26: EAR approved, letter to issue sent to PMIS for workflow. WF / letter reference to advise once uploaded.
24 Aug 26: EAR Issued to Contractor via Ref Letter 1TB01031-031C15-AMA-LTR-0044 dated 17 Aug 2026 - Awaiting contractor acceptance
24 Aug 26: Contractor responded via 1TB01031-031C15-EMC-LTR-0030 rejecting the EAR, under review with commercial &amp; Planning 
04 Sept 26: Contractor's Rejection is forwarded to Claims team for review and response
07 Sept 26: Contractor submitted further particulars via 1TB01031-031C15-EMC-LTR-0031 and has requested for a re-assessment
08 Sep 26: revised EAR sent to claims team seeking approval to proceed with reassessment</t>
  </si>
  <si>
    <t>1TB01005C05</t>
  </si>
  <si>
    <t>1TB01005-005C05-NUI-LTR-0062</t>
  </si>
  <si>
    <t>1TB01005-005C05-AMA-LTR-0085</t>
  </si>
  <si>
    <t xml:space="preserve">1TB01005-005C05-NUI-LTR-0064 </t>
  </si>
  <si>
    <r>
      <t xml:space="preserve">04 Apr 26: Claim rejected as fully TIA back-up not provided. Letter to go to WF by 06 Apr 26
06 Apr 26: Ditto
17 Apr 26: Letter issued (1TB01005-005C05-AMA-LTR-0085) on 14 Apr 26
01 May 26: Awaiting revised submission
15 May 26: Further particulars recieved on 14 May -  1TB01005-005C05-NUI-LTR-0064 - Site team assessing -Target 21 May
04 Jun 26: Ditto
15 Jun 26: Commercial to update
22 Jun 26: targeted to revert by 23 Jun 26
28 Jun 26: EAR ongoing, targeted to issue for Claims review is 16 Jul 26
12 Jul 26: Ditto
17 Jul 26: Under review with final check commercial team (Rufino)
20 Jul 26: Draft EAR sent to claims team for review
27 Jul 26: Ditto, claims team targetd to revert by 03 Aug 26
29 Jul 26: EAR sent back with comments to revise and resubmit
10 Aug 26: Target to return to claims team by 12 Aug 26
12 Aug 26: Draft EAR sent to claims team for review // EAR reverted on the same day to seeking clarification on DE 02 &amp; 03
20 Aug 26: Draft EAR sent to claims team for review.  Target 25 Aug 26.
24 Aug 26: EAR sent to planning for TIA
06 Sep 26: EAR sent back to Commercial team with comments (Commercial to address comments)
07 Sep 26: updated draft EAR addressing the comment resubmitted to claims team for further review
19 Sep 26: claims team sent the EAR to planning to discuss &amp;  close the open comments
22 Sep 26: action set to claims team to discuss with Planning
</t>
    </r>
    <r>
      <rPr>
        <sz val="12"/>
        <color rgb="FFFF0000"/>
        <rFont val="Amaala Sans"/>
      </rPr>
      <t>04 Oct 26: Site Delivery and Planning commenced the collation of the information required to populate the table requested by Forensic Planning.</t>
    </r>
  </si>
  <si>
    <t xml:space="preserve">Contractor's Extension of Time (EOT) - 02 </t>
  </si>
  <si>
    <t>1TB01006-006C05-DCC-LTR-0202</t>
  </si>
  <si>
    <t>Contractor's Extension of Time (EOT) - 03</t>
  </si>
  <si>
    <t>Submission of Prolongation Cost Claim (EOT-01)</t>
  </si>
  <si>
    <t xml:space="preserve">1TB01002-002C06-HOI-LTR-0079 </t>
  </si>
  <si>
    <t>1TB01002-002C06-AMA-LTR-0058 on 26- April-26.</t>
  </si>
  <si>
    <t>06 Apr 26: Contrator submitted EOT-01 Cost claim  via 1TB01002-002C06-HOI-LTR-0079 on 14 Apr 26, under review with commercial
02 May 26: RSG response to Contractor's letter request for prolongation cost claim was issued via letter ref: 1TB01002-002C06-AMA-LTR-0058 on 26- April-26.
16 May 26: Ditto. Awaiting feedback from Contractor
31 May 26: Ditto. Awaiting feedback from Contractor
04 Jun 26: Ditto
15 Jun 26: Ditto
28 June 26: Ditto
11 July 26: Contractor acknowledged Employer's response letter via  1TB01002-002C06-HOI-LTR-0093 dated 10 June 2026 and to submit required cost particulars in alignment with requirements detailed on Employer letter issued on 26 April 26
26 July 26: Ditto
10 Aug 26: Ditto</t>
  </si>
  <si>
    <t xml:space="preserve">EMC01031-TRANSMIT-000119 
1TB01031-031C15-EMC-LTR-0024[C1]
</t>
  </si>
  <si>
    <t>Revised claim submitted via Email on 12 Sep 26</t>
  </si>
  <si>
    <t>1TB01009C08</t>
  </si>
  <si>
    <t>RQN01009-CLM-000001</t>
  </si>
  <si>
    <t xml:space="preserve">AMA01009-CLRSP-000004 </t>
  </si>
  <si>
    <t>RQN01009-CLM-000002</t>
  </si>
  <si>
    <t xml:space="preserve">Extension of Time Submission – 01 </t>
  </si>
  <si>
    <t>1TB01006-006C42-HOI-LTR-0034 
HOI01006-TRANSMIT-000152</t>
  </si>
  <si>
    <t>Interim Extension of Time Submission – 04</t>
  </si>
  <si>
    <t>1TB01005-005C11-ALE-LTR-0306</t>
  </si>
  <si>
    <t>1TB01005-005C11-AMA-LTR-0171</t>
  </si>
  <si>
    <t>ALE01005-GENCORR-000272</t>
  </si>
  <si>
    <r>
      <t>10 May 26: Contractor submitted EOT-01 via 1TB01005-005C11-ALE-LTR-0306 on 07 May 26. currently under review with commercial. Planning confimred that the TIA methodology is in compliance, Commercial to proceed with EAR
15 May 26: Further particulars requested by commercial team to enable the EAR to be completed -  1TB01005-005C11-AMA-LTR-0171 - Letter to be issued by 18 May
31 May 26: Awaiting Contractor's response on requested particulars
04 Jun 26: Ditto
15 Jun 26: Ditto, awaiting contractor to resubmit
28 June 26: Ditto
13 July 26: Ditto, commercial to issue a follow up letter
24 Jul 26: Ditto, verbally Alec have confirmed this is being prepared and it will be submitted imminently.
27 Jul 26: Ditto
10 Aug 26: Ditto, Commercial to issue a follow up letter
21 Aug 26: Letter being prepared and will be issued to WF by 30 Aug.
07 Sept 26: Updated particulars issued on 25 Aug and under review (</t>
    </r>
    <r>
      <rPr>
        <sz val="12"/>
        <color rgb="FFFF0000"/>
        <rFont val="Amaala Sans"/>
      </rPr>
      <t>ALE01005-GENCORR-000272)</t>
    </r>
    <r>
      <rPr>
        <sz val="12"/>
        <rFont val="Amaala Sans"/>
      </rPr>
      <t xml:space="preserve">. Target date to issue EAR to Claims is 25 Sept. Potentially will be combined with EoT 5 submission if possible.
19 Sept 26: This will be a combined assessment with EoT 05 - Target date 02 Oct
</t>
    </r>
    <r>
      <rPr>
        <sz val="12"/>
        <color rgb="FFFF0000"/>
        <rFont val="Amaala Sans"/>
      </rPr>
      <t>04 Oct 26: Being finalised and will be issued to Claims by 07 Oct.</t>
    </r>
  </si>
  <si>
    <t>100B01 - IDK - Submission of Extension of Time (EOT) Claim - 01</t>
  </si>
  <si>
    <t>1TB01100B01</t>
  </si>
  <si>
    <t>IDK00MRA-TRANSMIT-000050
ATB00MRA-100B01-IDK-LTR-0018</t>
  </si>
  <si>
    <t>10 May 26: Contractor submitted EOT-01 via ATB00MRA-100B01-IDK-LTR-0018 on 05 Mar 26. currently under review with commercial. Commercial to aknowledge th submission and draft a detailed initial response in due coruse
04 Jun 26: No Update
15 Jun 26: 
13 Jul 26: 
24 Aug 26: With Van Harrera (NE to check)</t>
  </si>
  <si>
    <t>EOT-03 TB Marina Project - Request for Extension of Time</t>
  </si>
  <si>
    <t>1TB01031-031C10-MME-LTR-0061</t>
  </si>
  <si>
    <t>Extension of Time Claim (EOT-01)</t>
  </si>
  <si>
    <t>1TB01009C22</t>
  </si>
  <si>
    <t>1TB01009-009C22-APC-LTR-0041</t>
  </si>
  <si>
    <t>1TB01009-009C22-AMA-LTR-0064</t>
  </si>
  <si>
    <t>16 May 26: EOT received on 2 May 26. Under review, Initial response to be issued before 10 Jun 26
31 May 26: Ditto
15 Jun 26: under process with commercial, targte date TBC
29 June 26: Ditto , Comm to update
29 June 26:  Target date to confirm with KUMAR once he is back from leave
13 Jul 26: Contractor's claim shall be reviewed and if all details available, EAR shall be prepared by 10.Sep.26. If not, initial response shall be prepared by TBC
25 Jul 26: Draft response sent to claims team for review
28 Jul 26: claims team reverted to initiate WF for the issuance
8 Aug 26: RSG Comments issued via letter ref. 1TB01009-009C22-AMA-LTR-0064 dated 4 Aug 26 issued to Contractor. 
22 Aug 26: Awaiting feedback from Contractor
07 Sep 26: Ditto</t>
  </si>
  <si>
    <t>Extension of Time Claim (EOT-02)</t>
  </si>
  <si>
    <t>1TB01009-009C09-IMR-LTR-0118</t>
  </si>
  <si>
    <t>1TB01009-009C09-AMA-LTR-0094</t>
  </si>
  <si>
    <t>1TB01009-009C09-IMR-LTR-0126</t>
  </si>
  <si>
    <t>Extension of Time Claim (EOT-02 - Prolongation cost</t>
  </si>
  <si>
    <t xml:space="preserve">Interim Extension of Time Claim No. 01 </t>
  </si>
  <si>
    <t>1OC96996B02</t>
  </si>
  <si>
    <t>1OC96996-996B02-ALI-LTR-0031 
AMA96996-TRANSMIT-000046</t>
  </si>
  <si>
    <t>1OC96996-996B02-AMA-LTR-0005</t>
  </si>
  <si>
    <t>1OC96996-996B02-ALI-LTR-0049</t>
  </si>
  <si>
    <r>
      <t xml:space="preserve">26 May 26: under review with Commercial
04 Jun 26: Target date TBC
15 Jun 26: commercial to issue an initial response 
29 Jun 26: Paul M to update
06 Jun 26: Initial response rejecting the claim issued to contractor via 1OC96996-996B02-AMA-LTR-0005
29 Jun 26: Pending with Alec to revise and resubmit the Claim
12 Jul 26: Alec have responded (07 Jul 26) -  1OC96996-996B02-ALI-LTR-0047 stating they do not accept the Employer's rejection. Site team to arrange a meeting to review / discuss with Alec w/c 19 Jul 26.
24 Jul 26: Meeting arranged with Contractor for 27 Jul. Alec cancelled the meeting arranged for 20 Jul.
08 Aug 26: Meeting held and rejection letter issued (1OC96996-996B02-AMA-LTR-0008) on 03 Aug. Contractor responded (1OC96996-996B02-ALI-LTR-0052) on 06 Aug not accepting the rejection and also requesting that the Employer completes a full assessment of EoT 02. We request for the Claim team to review the claims and confirm if they should be accepted for EAR? Planning team have confirmed that the TIA is acceptable.
10 Aug 26: Contractor submitted revised claim with updated cutoff date upto 11 Oct 2026, via 1OC96996-996B02-ALI-LTR-0049 on 27 Jul 2026, under review with commercial.
21 Aug 26: Are Claims team able to review and comment on the claim - Email request sent on 10 August 
07 Sep 26: Ditto
07 Sept 26: Awaiting Planning input (Tareq/Shaju)
14 Sep 26: Shaju to discuss with NE in the afternoon
19 Sep 26: EAR draft Sent to claims team for review
21 Sep 26: Claims team targeted to revert by 26 Sep 26
23 Sep 26: EAR sent to planning for TIA
</t>
    </r>
    <r>
      <rPr>
        <sz val="12"/>
        <color rgb="FFFF0000"/>
        <rFont val="Amaala Sans"/>
      </rPr>
      <t>04 Oct 26: Ditto issued to planning on 23 Sept 26</t>
    </r>
  </si>
  <si>
    <t xml:space="preserve">CBE01002-GENCORR-000060 </t>
  </si>
  <si>
    <t>1TB01002-002C22-CBE-LTR-0035.pdf
CBE01002-GENCORR-000065
CBE01002-GENCORR-000066</t>
  </si>
  <si>
    <t>01 Oct 26: Workflow initiated via WF-044527</t>
  </si>
  <si>
    <t>31 May 26: Contractor submitted a consolidated claim that included DEs already assessed in EOT 1 and a new Delay event. the EAR reaffirms the Employer's position as set out in the earlier EARs, noting that the Contractor has not provided any additional particulars or substantiating information, other than an updated programme submitted in support of its Time Impact Analysis (TIA). Draft EAr sent to claims team for review
01 Jun 26: EAR sent back to commercial with comments
04 Jun 26: Ditto
15 Jun 26: with commercial to update and resubmit for further review
20 Jun 26: Draft EAR sent to claims team for review
25 Jun 26: EAR sent to planning team for TIA
28 June 26: EAR sent to Planning for TIA on 25 June 26
02 Jul 26: EAR sent back to commercial to provide chronology for the events which were ongoing in EOT1, Updated draft EAR sent to claims team for final review prior to TIA
05 Jul 26: Commercial to update and submit the final draft for TIA
06 Jul 26: Draf EAR updated sent to claims team for review prior to TIA
07 Jul 26: EAR sent to planning team for TIA
13 Jul 26: Ditto, Targeted to conclude TIA by 20 Jul 26
20 Jul 26: Targeted to revert by 26 Jul 26
26 Jul 26 : -Ditto-, TIA action with Planning team 
29 Jul 26: TIA incorporated and sent to commercial for finalisation
08 Aug 26:  EAR under finalization by Commercial , target to complete by 12 Aug 26
23 Aug 26: Yet to receive the feedback from Claims team based on the Planning team's email dated 29 JUly 2026. 
29 Aug 26: updated to EAR addressing planning's comments sent to claims team for review
06 Sep 26: EAR sent back from Claims to commercial with comments
12 Sep 26: updated EAR sent to claims team for review
21 Sep 26: Targeted to revert by 26 Sep 26
23 Sep 26: EAR approved and sent back to commercial for WF process
01 Oct 26: Workflow initiated via WF-044527</t>
  </si>
  <si>
    <t>TB AYC - Letter to RSG-Amaala-Contractor’s Claim – Interim Extension of Time For Completion No. 03 - Using Time Impact Analysis - EOT -03</t>
  </si>
  <si>
    <t>1TB01003-003C09-DCC-LTR-0384</t>
  </si>
  <si>
    <t>31 May 26: Draft EAR (Commercial) sent to Rufino for review prior to issuance to Claims Team.
04 Jun 26: Target 15 Jun 26.
09 Jun 26: letter issued to contractor to resubmit with further particulars via letter ref AMA01003-GENCORR-001555
15 Jun 26: Ditto, awaiting response from contractor
13 Jul 26: Ditto
26 July 26: Ditto
10 Aug 26: Ditto, commercial to issue a follow up letter
07 Sep 26: Ditto</t>
  </si>
  <si>
    <t>Extension of Time For Completion No. 02 Rev 01
reassessment of item no. 96 above</t>
  </si>
  <si>
    <t>1TB01003-003C09-DCC-LTR-0410</t>
  </si>
  <si>
    <t>EAR put in Workflow for approval under ref WF-022266 on 02 Aug 26
1TB01003-003C09-AMA-RPT-PM-0004
(AMA01003-WTRAN-053378)
5 Sep 26: Revised EAR issued to DEPA under 1TB01003-003C09-AMA-LTR-0264 for DEPA's review and agreement.</t>
  </si>
  <si>
    <t>27 Jan 26: TIA incorporated and sent to commercial for finalisation
09 Feb 26: Commercial drafting a letter to response to EOT 01 DEPA . Then EAR would be finalized by BK
18 Feb 26: Final Draft EAR sent to Claims Team for Pre-approval
23 Feb 26: Ditto, targeted to revert by 01 Mar 2026
25 Feb 26: EAR approved and Sent back to commercial to initiate WF
09 Mar 26: EAR put in WF-020320 on 25 Feb 26 and is under approval.
24 Mar 26: EAR issued to DEPA on 24 Mar 26 under 1TB01003-003C09-AMA-LTR-0230. 
06 Apr 26: Awaiting acceptance from DEPA.
19 Apr 26:  Depa requested xer files, sent on 14 April, awaiting response from DEPA
04 May 26: Awaiting DEPA's response to EAR. Comm to issue a follow up, if they dont respond in a week's time
16 May 26: Reminder/follow-up to DEPA for the response to EAR drafted/initiated in WF-021266 for approval.
31 May 26: DEPA provided their response on 25 May 26 (1TB01003-003C09-DCC-LTR-0410). Commercial and Planning teams are to respond accordingly (target 10 June 26).
04 Jun 26: Revised draft sent to Planning 03 Jun 26.
08 Jun 26: Target 25 Jun 26
15 Jun 26: Ditto
22 Jun 26: Planning team provided input and sent to commercial team
24 Jun 26: Draft EAR sent to claims team for review
30 Jun 26: EAR sent to planning for TIA
06 Jul 26: TIA tageted to conclude by 14 Jul 26
13 Jul 26: Ditto
14 Jul 26: TIA incorporated and sent to claims team / Commercial team for finalisation pre approval prior to WF process (SV)
22 Jul 26: Final Draft EAR sent to claims team for pre-approval prior to WF
26 July 26: With Claims team to obtain offline approval
27 Jul 26: Claims team targeted to revert by 03 Aug 26
30 Jul 26: EAR approved by Claims team and sent to commercial to initiate WF
02 Aug 26: EAR put in Workflow for approval under ref WF-022266
10 Aug 26: Ditto
24 Aug 26: Commercial to confirm that it is closed.
5 Sep 26: Revised EAR issued to DEPA under 1TB01003-003C09-AMA-LTR-0264 for DEPA's review and agreement.</t>
  </si>
  <si>
    <t>1TB01100-100C29-ACC-LTR-0183</t>
  </si>
  <si>
    <t>1TB01100-100C29-AMA-LTR-0090</t>
  </si>
  <si>
    <t>1TB01100-100C29-ACC-LTR-0222 on 29 Jul 26
1TB01100-100C29-ACC-LTR-0241</t>
  </si>
  <si>
    <r>
      <t xml:space="preserve">08 Jun 26: Contractor submitted EOT 02 via 1TB01100-100C29-ACC-LTR-0183on 31 May 2026, an initiall response was issued to revised &amp; resubmit the claim
25 Jun 26: Ditto
13 Jul 26: Ditto, Commercial to issue a follow up letter
25 Jul 26: Commercial issued follow up letter ref. 1TB01100-100C29-ACC-LTR-0183 dated 23 July 2026
27 Jul 26: Awaiting response from contractor
29 Aug 26: Revised Claim received via 1TB01100-100C29-ACC-LTR-0222 on 29 July 2026. 
10 Aug 26: Commercial Team reviewing with target to submit to Calims Team by 16 August 2026.
23 Aug 26: Commercial Team reviewing with target to submit to Claims Team by 30 August 2026 (if CA not required).
</t>
    </r>
    <r>
      <rPr>
        <sz val="12"/>
        <color rgb="FFFF0000"/>
        <rFont val="Amaala Sans"/>
      </rPr>
      <t>07 Sep 26: Commercial Team reviewing . As per meeting with HOC on 31 Aug26, CA wont be required and EOT to be assesed to impact Time of Completion for Whole Works (opposed to sections). Revised target submission is 10Sept26. Contractot to submit under cover of letter, supplementary information thereby re-setting their submission date to a current date. 
13 Sep 26: Contractor submitted updated claim with further particulars via 1TB01100-100C29-ACC-LTR-0241, currently under review with commercial</t>
    </r>
    <r>
      <rPr>
        <sz val="12"/>
        <rFont val="Amaala Sans"/>
      </rPr>
      <t xml:space="preserve">
16 Sep 26: Draft EAR sent to claims team for review
21 Sep 26: Ditto, Targeted to revert by 24 Sep 26
28 Sep 26: EAR sent to planning for TIA</t>
    </r>
  </si>
  <si>
    <t>Extension of Time Claim No 2</t>
  </si>
  <si>
    <t>1TB01002-002C04-SPM-LTR-0247</t>
  </si>
  <si>
    <t>Interim Extension of Time Claim No. 2  up to a cut-off date of 03 April 2026</t>
  </si>
  <si>
    <t>1TB01006-006C15-SPM-LTR-0295</t>
  </si>
  <si>
    <t>02 May 26 - Contractor submitted EOT 02 (Ref. 1Tb01006-006C15-SPM-LTR-0295)
28 Jun 26: under review with commercial
13 July 26: Target date to complete EAR by TBC
26 July 26: Will process upon conclusion of EOT 01 Rev. 1
10 Aug 26: Ditto
07 Sep 26: Ditto
21 Sep 26: Ditto, Commercial to write to contractor that EOT 2 assessment will commence upon concluding EOT 1 and accordingly to resubmit EOT 2</t>
  </si>
  <si>
    <t>Prolongation Cost claim for EOT 1</t>
  </si>
  <si>
    <t>HOI01002-TRANSMIT-000267</t>
  </si>
  <si>
    <r>
      <t xml:space="preserve">05 Jul 26: Contractor submitted Cost claim associated with EOT 1 via 1TB01002-002C64-HOI-LTR-0017 on 02 Jul 26, currently under review with commercial
13 July 26 Commercial to respond to Contractor by 13 July 2026
14 Jul 26: Draft Response sent to claims team for review
16 Jul 26: reverted to commercial to proceed with the issuance
26 July 26: Rejection letter issued to Contractor on 23 July 26, letter ref, 1TB01002-002C64-AMA-LTR-0008 
10 Aug 26: Ditto
23 Aug 26: Commercial response to be issued. Target date 27 Aug 26.
</t>
    </r>
    <r>
      <rPr>
        <sz val="12"/>
        <color rgb="FFFF0000"/>
        <rFont val="Amaala Sans"/>
      </rPr>
      <t xml:space="preserve">07 Sep 26: RSG's response issued to the Contractor on 31 Augsut 2026 via 1TB01002-002C64-AMA-LTR-0012. In principle, EAR positions remains same. </t>
    </r>
    <r>
      <rPr>
        <sz val="12"/>
        <rFont val="Amaala Sans"/>
      </rPr>
      <t xml:space="preserve">
21 Sep 26: awaiting response, Ditto</t>
    </r>
  </si>
  <si>
    <t>1TB01002-002C64-HOI-LTR-0018</t>
  </si>
  <si>
    <t>Prolongation Cost claim for EOT 2</t>
  </si>
  <si>
    <t>1TB01002-002C64-AMA-LTR-0009</t>
  </si>
  <si>
    <r>
      <t xml:space="preserve">06 Jul 26: Contractor submitted EOT 2 &amp; associated prolongation cost claim via 1TB01002-002C64-HOI-LTR-0018, currently under review with commercial &amp; planning 
13 Jul 26: EAR traget date to complete by 09 Aug 2026
26 July 26: Ditto
10 Aug 26: Prolongation cost rejection letter approved (WF-042544, Let. ref. 1TB01002-002C64-AMA-LTR-0009)  for Contractor issue on 09 Aug 26, letter issued to contractor
</t>
    </r>
    <r>
      <rPr>
        <sz val="12"/>
        <color rgb="FFFF0000"/>
        <rFont val="Amaala Sans"/>
      </rPr>
      <t>23 Aug 26: Pending Contractor submission.</t>
    </r>
    <r>
      <rPr>
        <sz val="12"/>
        <rFont val="Amaala Sans"/>
      </rPr>
      <t xml:space="preserve">
21 Aug 26: Ditto</t>
    </r>
  </si>
  <si>
    <t>Extension of Time- EOT 4</t>
  </si>
  <si>
    <t>1TB01002-002C06-HOI-LTR-0100</t>
  </si>
  <si>
    <t>Extension of Time- EOT 1 Rev 01 - Reassessment of item 41 above</t>
  </si>
  <si>
    <t xml:space="preserve">reassement being carried out based on the additional particulars provided via Email from Contractor dated 04 Jul 26
</t>
  </si>
  <si>
    <t>Workflow initiated via WF-047458
AMA01006-WTRAN-151808 dated 14 Sep 26</t>
  </si>
  <si>
    <t>Request for Interim Extension of Time Residences 49 Condos ID Package (EOT 03)</t>
  </si>
  <si>
    <t>1TB01002-002C61-HOI-LTR-0023</t>
  </si>
  <si>
    <t>1TB01002-002C61-AMA-LTR-0016 dated 23 July 26</t>
  </si>
  <si>
    <t>HOI01002-TRANSMIT-000277</t>
  </si>
  <si>
    <t>006C72 - Application for Extension of Time No.2</t>
  </si>
  <si>
    <t>1TB01006-006C72-NUI-LTR-0014</t>
  </si>
  <si>
    <t>1TB01006-006C72-AMA-LTR-0024</t>
  </si>
  <si>
    <t>NUI01006-GENCORR-000023 (1TB01006-006C72-NUI-LTR-0014)</t>
  </si>
  <si>
    <t>Notice of Claim - EOT 01</t>
  </si>
  <si>
    <t>1TB01100C41</t>
  </si>
  <si>
    <t>1TB01100-100C41-RAS-LTR-0001
RAS01100-TRANSMIT-000006</t>
  </si>
  <si>
    <t>Claims team advised to initiate HLEAR via email on 04 Aug 2026</t>
  </si>
  <si>
    <t>No Formal claim was submitted by the contractor and hence the Start date for the claim is considered the approval date from Claims team to process HLEAR</t>
  </si>
  <si>
    <r>
      <t xml:space="preserve">04 Aug 24 No formal claim was submitted by the Contractor. Therefore, the claim start date has been taken as 4 August 2026, being the date on which the Claims Team approved the preparation of the HLEAR. The HLEAR is being undertaken following BEN's rejection of the RFA to levy delay damages.
</t>
    </r>
    <r>
      <rPr>
        <sz val="12"/>
        <color rgb="FFFF0000"/>
        <rFont val="Amaala Sans"/>
      </rPr>
      <t>10 Aug 26: Email from NIGEL on 04 Aug 26 to hold this and will give direction to move forward</t>
    </r>
    <r>
      <rPr>
        <sz val="12"/>
        <color theme="1"/>
        <rFont val="Amaala Sans"/>
      </rPr>
      <t xml:space="preserve">
</t>
    </r>
    <r>
      <rPr>
        <sz val="12"/>
        <color rgb="FFFF0000"/>
        <rFont val="Amaala Sans"/>
      </rPr>
      <t>06 Sep 26: Ditto</t>
    </r>
    <r>
      <rPr>
        <sz val="12"/>
        <color theme="1"/>
        <rFont val="Amaala Sans"/>
      </rPr>
      <t xml:space="preserve">
21 Sep 26: Ditto
NE to talk to KM</t>
    </r>
  </si>
  <si>
    <t>Extension of Time Claim (EOT-03)</t>
  </si>
  <si>
    <t>1TB01009-009C09-IMR-LTR-0132</t>
  </si>
  <si>
    <t>Interim Extension of Time Claim No. 01 (Prolongation Claim)  of Item 137 above</t>
  </si>
  <si>
    <t>08 Aug 26: Request for Claims team to review claim (time) and advise if it is sufficently substaniated to allow for EAR to be prepared.</t>
  </si>
  <si>
    <t>Interim Extension of Time Claim No. 02</t>
  </si>
  <si>
    <t>1TB01005-005C24-PRA-LTR-0027</t>
  </si>
  <si>
    <r>
      <t xml:space="preserve">08 Aug 26: EAR to be prepared and traget date for issue 31 Aug 26
</t>
    </r>
    <r>
      <rPr>
        <sz val="12"/>
        <rFont val="Amaala Sans"/>
      </rPr>
      <t>21 Aug 26: EoT requested, target date moved to 17 Sept</t>
    </r>
    <r>
      <rPr>
        <sz val="12"/>
        <color theme="1"/>
        <rFont val="Amaala Sans"/>
      </rPr>
      <t xml:space="preserve">
</t>
    </r>
    <r>
      <rPr>
        <sz val="12"/>
        <rFont val="Amaala Sans"/>
      </rPr>
      <t xml:space="preserve">05 Sept 26: Ditto
19 Sept 26: Date slipped 28 Sept 26
29 Sep 26: Draft EAR sent to claims team for review
01 Oct 26: Draft EAR sent back to commercial with comments
</t>
    </r>
    <r>
      <rPr>
        <sz val="12"/>
        <color rgb="FFFF0000"/>
        <rFont val="Amaala Sans"/>
      </rPr>
      <t>04 Oct 26: Commercial to respond by COP 04 Oct 26.</t>
    </r>
  </si>
  <si>
    <t>Interim Extension of Time Claim No. 05</t>
  </si>
  <si>
    <t xml:space="preserve">
1TB01005-005C11-ALE-LTR-0340</t>
  </si>
  <si>
    <r>
      <t xml:space="preserve">05 Sept 26: Under review by Site Commercial and Planning teams. If compliant EAR target date is 02 Oct.
</t>
    </r>
    <r>
      <rPr>
        <sz val="12"/>
        <rFont val="Amaala Sans"/>
      </rPr>
      <t xml:space="preserve">19 Sept 26: Ditto
</t>
    </r>
    <r>
      <rPr>
        <sz val="12"/>
        <color rgb="FFFF0000"/>
        <rFont val="Amaala Sans"/>
      </rPr>
      <t>04 Oct 26: To be issued to claims by 07 Oct 26.</t>
    </r>
  </si>
  <si>
    <t>Extension of Time- EOT 3</t>
  </si>
  <si>
    <t>HOI01002-TRANSMIT-000288</t>
  </si>
  <si>
    <t>Extension of Time- EOT 3 Cost Claim</t>
  </si>
  <si>
    <t>1TB01005-005C11-ALE-LTR-0318</t>
  </si>
  <si>
    <t>1TB01005-005C11-AMA-LTR-0193</t>
  </si>
  <si>
    <t>SAR 3,959,057</t>
  </si>
  <si>
    <r>
      <t xml:space="preserve">23 Aug 26: Commercial sent email to claims team seeking guidance on how to prooceed with contractor's cost claim,
24 Aug 26: Aclaims team responded that the EAR is assessed as fully concurrent and advised planning to confirm
01 Sep 26: Planning team provided the Delay analyisis breakdown. Commercial responded on the same day seeking further clarification explaning contractor's position 
07 Sep 26: awaiting Planning's response
14 Sep 26: Shaju to discuss with NE in the afternoon
16 Sep 26: Planning provided clarifications to commercial's email 
</t>
    </r>
    <r>
      <rPr>
        <sz val="12"/>
        <rFont val="Amaala Sans"/>
      </rPr>
      <t xml:space="preserve">19 Sept 26: Target date for draft cost assessment end 31 Oct 26
</t>
    </r>
    <r>
      <rPr>
        <sz val="12"/>
        <color rgb="FFFF0000"/>
        <rFont val="Amaala Sans"/>
      </rPr>
      <t>04 Oct 26: Ditto</t>
    </r>
  </si>
  <si>
    <t>Al RAQTAN EOT 2 Concurrency Analysis</t>
  </si>
  <si>
    <t xml:space="preserve">RQN01003-GENCORR-000053
1TB01003-003C08-RQN-LTR-0007 </t>
  </si>
  <si>
    <t>06 Aug 26: Contractor in response to the EAR /EI following it's has acceptence of the 215 days EOT days, it disagrees with the concurrency analysis. Contractor's response / concurrency analyis was sent to planning team for review
07 Sep 26: planning responded that the Employer’s TIA assessment end of window updated programmes in all windows are driven by the Contractor delays. Therefore, the assessed EOT shall be fully concurrent with the Contractor delays.</t>
  </si>
  <si>
    <t>Contractor's Extension of Time (EOT) - 02 R02
reassessment of item 123 above</t>
  </si>
  <si>
    <t>1TB01031-031C15-EMC-LTR-0031</t>
  </si>
  <si>
    <t>Extension 0f Time Claim No. 1 - Concurrency Analysis</t>
  </si>
  <si>
    <t>1TB01100-100C29-ACC-LTR-0242</t>
  </si>
  <si>
    <t>16 Sep 26: Further to Employer's concurrency analysis report, contractor has responded via 1TB01100-100C29-ACC-LTR-0242 with additional supporting documents. Currently under review with commercial &amp; Planning
21 Sep 26: Ditto
01 Oct 26: Concurrency analysis sent to commercial to incorporate into the EAR</t>
  </si>
  <si>
    <r>
      <rPr>
        <sz val="12"/>
        <color rgb="FF000000"/>
        <rFont val="Amaala Sans"/>
      </rPr>
      <t xml:space="preserve">19 Apr 26: Under review. Initial response shall be prepared by 15 May 26. There is a planning repsone to be sent asap to them. 
20 Apr 26: initial response to revise &amp; resubmit issued via AMA01009-CLRSP-000004 on 20 Apr 2026
04 May 26: Awaiting Contractor to response
17 May 26: Contractor submitted additional particulars via RQN01009-CLM-000002
18 May 26: Ditto, comm to issue a follow up letter
31 May 26: Contractor has addressed the Planning comments and resubmitted their Claim. Target date for review - 5 Jul 26
15 Jun 26:  Ditto
27 June 26: under review with commercial
13 Jul 26: Comments on the Contractor's EOT submission shall be issued by 30 Jul 26
25 Jul 26: Initial response under preparation. Target date remains same.
10 Aug 26: Initial response shall be issued by 15 Aug 26
22 Aug 26: Initial response shall be issued by 30 Aug 26
06 Sep 26: Meeting with Contractor scheduled on 7 Sep 26 to discuss EOT, following which a letter shall be issued
</t>
    </r>
    <r>
      <rPr>
        <sz val="12"/>
        <color rgb="FFFF0000"/>
        <rFont val="Amaala Sans"/>
      </rPr>
      <t>04 Oct 26:The shortcomings identified in the Contractor’s EOT  were formally communicated through Claim Response AMA01009-CLRSP-000006, requesting the Contractor to submit a revised EOT application incorporating a revised cut-off date of 30 August 2026. As of the date of this assessment, the revised submission remains outstanding.</t>
    </r>
  </si>
  <si>
    <t>18 May 26: under review with Commercial
04 Jun 26: Letter to be issued to Contractor under WF089388
08 Jun 26: initial response issued via 1TB01009-009C09-AMA-LTR-0094
15 Jun 26: letter issued or not TBC
17 Jun 26: contrator responded with further clarification and substantiation via 1TB01009-009C09-IMR-LTR-0126 // Draft EAR sent to planning team for TIA
25 Jun 26: TIA incorporated and sent back to commercial
27 Jun 26: Ditto
13 Jul 26: Commercial target date to complete EAR by 20 Aug 2026
25 Jul 26: Ditto
10 Aug 26: EAR under preparation. Target date remains same (20 Aug 26)
22 Aug 26: EAR is being prepared along with EOT 03 (combined 02 &amp; 03)
07 Sep 26: EAR being prepared along with EOT No. 03.</t>
  </si>
  <si>
    <t>18 May 26: under review with Commercial
04 Jun 26: Letter to be issued to Contractor under WF089388
15 Jun 26: letter issued or not TBC
29 Jun 26: letter requesting contractor to revise &amp; resubmit has been issued via 1TB01009-009C09-AMA-LTR-0094 on Date
12 Jul 26: Awaiting finalization and issuance of EAR. Subsequently, letter to submit concurrency analaysis and comments on the Cost submission shall be issued by 5 Aug 26
25 Jul 26: Ditto
10 Aug 26: Awaiting conclusion of EOT 03
07 Sep 26: Ditto</t>
  </si>
  <si>
    <r>
      <rPr>
        <sz val="12"/>
        <color rgb="FF000000"/>
        <rFont val="Amaala Sans"/>
      </rPr>
      <t xml:space="preserve">8 Aug 26: Claim received on 5 Aug 26: EAR shall be prepared along with EOT No. 02
13 Aug 26: Draft Initial response sent to claims team for review // reviewed and sent back to commercial for issuance
22 Aug 26: Comments issued to Contractor through letter ref. 1TB01009-009C09-AMA-LTR-0108 dated 18 Aug 26. Meanwhile, we are proceeding with the EAR.   Target 14-Sept-26.
5 Sep 26: Target date remains same.
21 Sep 26: Target date is  27 Sep 26
</t>
    </r>
    <r>
      <rPr>
        <sz val="12"/>
        <color rgb="FFFF0000"/>
        <rFont val="Amaala Sans"/>
      </rPr>
      <t>04 Oct 26: Draft EAR for the Merit &amp; Chronology (Pre-TIA) issued to claims team for review.</t>
    </r>
  </si>
  <si>
    <t>8 Aug 26: Claim received on 5 Aug 26: EAR shall be prepared along with EOT No. 03</t>
  </si>
  <si>
    <r>
      <t xml:space="preserve">11 May 26: Ditto
18 May 26: Under review by  the Planning  team (Shaju to update)
20 May 26: TIA incorporated and sent to commercial for finalisation // Final Draft sent to claims team for pre-approval prior to WF
01 Jun 26: EAR approved by claims team and sent to commercial for WF initiation
02 Jun 26: Currently in WF-040529
15 Jun 26: Ditto, in WF
25 Jun 26: cover letter 1TB01002-002C04-AMA-LTR-0270 in WF-041145 
28 June 26: Ditto
30 Jun 26: EAR issued to contractor via 1TB01002-002C04-AMA-LTR-0270
09 Jul 26: Contractor responded to employer's report </t>
    </r>
    <r>
      <rPr>
        <u/>
        <sz val="12"/>
        <rFont val="Amaala Sans"/>
      </rPr>
      <t xml:space="preserve">1TB01002-002C04-SPM-LTR-0266 dated 9 July 2026 </t>
    </r>
    <r>
      <rPr>
        <sz val="12"/>
        <rFont val="Amaala Sans"/>
      </rPr>
      <t xml:space="preserve">wherein the Contractor agreed the EAR in principle but disagree with the several window analysis, critical path impactsm fragnet durations, etc., 
12 Jul 26: Contractor's response forwaded to forensic planning team for review 
13 July 26 : Ditto, Planning team targeted to revert by 30 Jul 2026
20 Jul 26: Ditto
27 July 26: Ditto
03 Aug 26: Targeted to revert by 06 Aug 26
10 Aug 26: Planning reverted with thier input to respond to contractor's response
23 Aug 26: Employer's response to the Contractor's queries under WF (WF-042999). In principle, the Employer's position remains same. 
06 Sep 26: Employer's response to SPM queries issued on 31 Aug 26 via 1TB01002-002C04-AMA-LTR-0285. EI to grant the EOT#1 is under prepareation. WF to be initiated on or before 8 Sep 26. 
21 Sep 26: No further concerns received from SPM related to EOT -1. EI is currently under workflow (WF-044121).
</t>
    </r>
    <r>
      <rPr>
        <sz val="12"/>
        <color rgb="FFFF0000"/>
        <rFont val="Amaala Sans"/>
      </rPr>
      <t>04 Oct 26 : EI approved and to be issued to be issued to the Contractor on 5 October 2026</t>
    </r>
  </si>
  <si>
    <r>
      <t xml:space="preserve">18 May 26: Draft EAR in progress. Under internal review by Commercial team. Target update 07 June 26.
31 May 26 : Target date for EAR 15 June 26
04 Jun 26: Ditto
15 Jun 2026: Ditto, under process with commercial, targeted to subimt for claims review by TBC
29 June 26: Draft EAR Under review with commercial, EAR targeted to submit for claims review by 01 Jul 26 
11 July 26: Draft EAR (updated) issued to Rufino for review on 9th July 26.
13 Jul 26: under review with commercial, Targeted to submit teh claim to claims team by 16 Jul 26
22 Jul 26: Draft EAR sent to claims team for review
27 Jul 26: Ditto, EAR sent back with comments, commercial reverted on the same day addressing the comments
28 Jul 26: EAR sent back to commercial with comments to address // updated draft EAR sent to planning to proceed with TIA
03 Aug 26: EAR reverted with comments for commercial to address, Additional query was issued to Contractor via AMA01002-GENCORR-003334 dated 03 Aug 2026, and was subsequently replied on 04 Aug 2026 via STE01002-RESP-000041.
05 Aug 26: Updated draft EAR sent to claims team for further review
06 Aug 26: EAR sent to commercial to address comments from planning
08 Aug 26: Updated EAR sent to claims team for review prior to planning's TIA
10 Aug 26: Updated EAR sent to planning to proceed with TIA
18 Aug 26: TIA targeted to be concluded by 23 Aug 26
23 Aug 26: Planning reverted with comments as teh contractor hasnt considered teh events covered in DEOT, EAR sent to commercial to include and resubmit updated EAR to to proceed with TIA
23 Aug 26 : -ditto-, action currently with Planning team. 
24 Aug 26: Claims forwarded to commercial 23 Aug 26.  Commercial to update with all know access delay events.  Target 27 Aug 26
06-Sep-26 Under commercial team updates based on the DEOT. Updated EAR to be shared with the Claims team on or before 8 September 2026. TIA to be redone - 18 Sep 2026
16 Sep 26: Updated EAR sent to claims team for review - addressing the planning team's concerns related to DEOT and Right of Access delay event.
21 Sep 26: Claims team targeted to revert by 26 Sep 26
22 Sep 26: updated Draft EAR sent to planning team to commence TIA
</t>
    </r>
    <r>
      <rPr>
        <sz val="12"/>
        <color rgb="FFFF0000"/>
        <rFont val="Amaala Sans"/>
      </rPr>
      <t>05 Oct 26 : Action currently with Planning team</t>
    </r>
  </si>
  <si>
    <r>
      <t xml:space="preserve">06 Apr 26: Ditto, under review with commercial, Targeted to submit the EAR to claims team for review by (TBC), commercial to clarify with the contractor whether they indend to claim cost, if no cost, then to be proceeded as HLEAR 
20 April 26 : Under Commercial review. Awaiting feedback from Raqtan team for the waiver of the cost claim.
04 May 26: Under Commercial review. EAR targeted to be finalised by 21 May 26
18 May 26: Under Commercial review. EAR targeted to be finalised by 31 May 26
31 May 26 : Pending clarification from RQN since 20 May 26. A workshop scheduled with RQN for jutification related to ROA Delay Event. Draft EAR under finalization. EAR targeted to be finalized by 15 June 26
04 Jun 26: Ditto
10 Jun 26: Contractor submitted updated claim via Raqtan-CLM-000008 dated 10 Jun 26
15 Jun 26:under process with commercial, targete date TBC
29 June 26: Draft EAR target to complete by 07 July 26 for claims review
05 Jul 26: Acknowledgment letter to RAQTAN-CLM-000008 issued to contractor via 1TB01002-002C07-AMA-LTR-0045, Claim currently under review with commercial
12 Jul 26: under review with commercial team (Rufino)
13 Jul 26: under review with commercial, Targeted to submit to claims team by  16 Jul 26
27 July 26: Under review with Rufino, target to send to Claims team on 28 July 26 
30 Jul 26: updated Draft EAR sent to claims team for review
03 Aug 26: EAR sent back to commercial with comments
04 Aug 26: Draft EAR sent to claims team for final review prior to TIA
05 Aug 26: Draft EAR sent to planning for TIA
10 Aug 26: Ditto, Targeted to conclude TIA by 17 Aug 26
18 Aug 26: TIA targeted date moved to 19 Aug 26
23 Aug 26: TIA concluded, however planning identified issues concerning the access delays considered in the EAR that could materially affect the findings and conclusions of the assessment, seeking advice from Claims.  Draft EAR under review with claims.
24 Aug 26:  Commercial to consider access delay not included in EOT.  Target 01 Sept 26
06-Sep-26 Under commercial team updates based on the DEOT. Updated EAR to be shared with the Claims team on or before 10 September 2026. - TIA to be redone - 21-Sep-26.
21-Sep-26 : Commercial team yet to share the updated EAR based on DEOT. Revised Target date to share the EAR : on or before 30-Sep-26.
</t>
    </r>
    <r>
      <rPr>
        <sz val="12"/>
        <color rgb="FFFF0000"/>
        <rFont val="Amaala Sans"/>
      </rPr>
      <t>05 Oct 26: Commercial team to share the updated EAR to Claims / Planning team on 8 Oct 2026</t>
    </r>
  </si>
  <si>
    <r>
      <t xml:space="preserve">23 Feb 26: Awaiting resubmission from the Contractor. Reminder sent on 21 Feb 2026 (during the WS meeting). 
08 March 26: Ditto
09 Mar 26: formal reminder via Aconex sent via AMA01002-GENCORR-003139
06 Apr 26: A formal reminder to submit the EOT claim was sent via Aconex  ref  AMA01002-GENCORR-003166 dated 02 Apr 26 .
20 April 26 : Pending submission from the Contractor. 
02 May 26: A formal reminder was sent via Aconex AMA01002-GENCORR-003188 on 20-Apr-26.
04 may 26: Ditto
18 May 26: Awaiting resubmission from the Contractor
31 May 26: Ditto
04 Jun 26: Ditto
15 Jun 26: commercial to issue a follow up letter
29 Jun 26:  follow up letter issued to the Contractor for  Submission of EOT no.1 via AMA01002-GENCORR-003274 issued on 18 June 26
11 July 26: Awaiting resubmission from the Contractor. Reminder issued to be on 12 July 2026. still with PMIS to initiate a WF
13 Jul 26: follow up letter targeted to issue by 16 Jul 26
26 July 26: Reminder letter issued on 15 July 26 (Ref. 1TB01002-002C24-AMA-LTR-0113)
10 Aug 26: Awaiting Contractor'submission
24 Aug 26: Ditto
6 Sep 26: Internal management approval obtained to "Levy the Delay Damages". Therefore, no further reminder sent to the Contractor seeking the EOT submission. Clarified and confirmed with Claims team during EOT meeting on 24 Aug 26-
21 Sep 26: -Ditto-. Contractor yet to submit the EOT. Commercial to process HLEAR as confirmed/approved by claims team during the fornightly meeting on 21 Sep 26
</t>
    </r>
    <r>
      <rPr>
        <sz val="12"/>
        <color rgb="FFFF0000"/>
        <rFont val="Amaala Sans"/>
      </rPr>
      <t>04 Oct 26: Action with Commercial. Target date: 31 Oct 2026</t>
    </r>
  </si>
  <si>
    <r>
      <t xml:space="preserve">23 Feb 26: Awaiting response from the Contractor, comm to update the current status of the available backup received so far from contractor
08 March 26: Ditto
06 Apr 26: Ditto, comm to issue follow up letter to contractor
20 Apr 26: Ditto
04 May 26: Contractor submitted cost claim via letter ref:  1TB01002-002C03-MEC-LTR-0092 on 05-Apr-26. Under review by Commercial team, target date 20 May 26.
18 May 2026: the Contractor submitted Cost Claims for the Remaining Cost Impact of Supplementary EOT#1-R02 and Cost Impact of EOT#2 via letter 1TB01002-002C03-MEC-LTR-0093 on 13 May 2026.
04 Jun 26: Target date for review is 20 Jun 26.
15 Jun 26: Ditto
28 June 26: EAR target to complete by 7 July 26
13 July 26: Cost claim assessment to be commenced upon conclusion of EOT 2 
26 July 26: Ditto, Employer's formal response to 1TB01002-002C03-MEC-LTR-0093 will be issued to the Contractor. Target date 30 July 2026
08 Aug 26: A workshop was held between RSG &amp; the contractor on 30 July 2026.
08 Aug 26: Contractor's request via letter Ref: 1TB01002-002C03-MEC-LTR-0097 on 06 Aug 26 additional information in line with EAR.
08 Aug 26: The Contractor's request have been forwared to the planing team for their input on 07 Aug 26.
16 Aug 26: Planning team reverted with their input that the Stage 2 quantity changes affected numerous baseline activities, resulting in a 94-day non-concurrent
20 Aug 26: Contractor provided input &amp; concerns via email. Planning to review
23 Aug 26: Commercial issued the Contractor's queries related to window analysis on 20 August 2026. Contractor's formal response received via 1TB01002-002C03-MEC-LTR-0098 on 23 Aug 2026.
31 Aug 26: Planning team reverted with the requested details
07 Sep 26: Planning team's confirmation on the compensable delay duration (windows) issued to the Contractor on 2 Sep 26 (vis Reff???). Further, requested the Contractor to update the substantiation for the Employer's review.
20 Sep 26: Contractor's substantiation and confirmation received via email on 9 Sep 26. Currently, under review with RSG's commercial team. </t>
    </r>
    <r>
      <rPr>
        <b/>
        <u/>
        <sz val="12"/>
        <rFont val="Amaala Sans"/>
      </rPr>
      <t xml:space="preserve">Contractor to formally submit via Aconex to keep track of its submissions
</t>
    </r>
    <r>
      <rPr>
        <sz val="12"/>
        <color rgb="FFFF0000"/>
        <rFont val="Amaala Sans"/>
      </rPr>
      <t xml:space="preserve">04 Oct 26: Based on the recent consultation with MAS team on 21 September 2026. Action is currently with MAS. </t>
    </r>
  </si>
  <si>
    <r>
      <t xml:space="preserve">19-01-2026: Planning confirmed the TIA methadology used by the contractor, commercial to proceed with EAR draft
27 Jan 26: Targeted to submit by (TBC)
09 Feb 26: Initial response to be issued to the Contractor by 10-Feb-26
23 Feb 26: Response issued to the Contractor  on 19-Feb-26 via AMA01002-GENCORR-003125,instructing the Contractor to revise and resubmit in compliance to RSG's comments.
08 Mar 26: Awaiting response from the Contractor.
11 Mar 26: The Contractor issued a response   via letter ref:  1TB01002-002C03-MEC-LTR-0089  dated 11-Mar-26. 
12 Mar 26: RSG responded to Contractor's letter  via letter ref 1TB01002-002C03-AMA-LTR-0129 dated  12-Mar-26,requesting the Contarctor to provide a separate submission for new events. 
18 Mar 26: The Contractor submitted a separate  EOT claim via letter ref:  1TB01002-002C03-MEC-LTR-0091 dated 18-Mar-26. 
06 Apr 26: Under Review by Commercial team. Targeted to submit EAR for claims review by 26 Apr 26
20 Apr 26: Ditto
04 May 26: Under Review by Commercial team. Targeted to submit EAR for claims review TBC.
18 May 26:Under Review by Commercial team. Targeted to submit EAR for claims review 20 May 2026.
31 May 26: Draft EAR will be shared with the Claims team on 4 June 2026.
15 Jun 26: EAR under process with commercial, target date TBC
28 June 26: EAR target to complete by 01 July 26
11 July 26: Draft EAR issued to Rufino for review on 8th July 26. under review with Commercial, targeted to be submitted to claims for review by 21 Jul 26
26 July 26: under process with commercial, target to complete EAR on 04 Aug 2026
10 Aug 26:  under review with Rufino, target to complete EAR on 13 Aug 2026
23 Aug 26: Queries to be incorporated and share with the Claims team. Target date to issue 24 Aug 2026.
24 Aug 26: EAR sent to claims team for review
01 Sep 26: EAR sent back to commercial with comments to update &amp; resubmit
07 Sep 26: Commercial team will revise the EAR and reissue for Pieter review 09-Sep-26.
21 Sep 26: Action remain with the Commercial team. Target date to issue the updated EAR 28 Sep 26
</t>
    </r>
    <r>
      <rPr>
        <sz val="12"/>
        <color rgb="FFFF0000"/>
        <rFont val="Amaala Sans"/>
      </rPr>
      <t>04 Oct 26: Revised Target date to submit the EAR to claims team is 9 October 2026</t>
    </r>
  </si>
  <si>
    <r>
      <t xml:space="preserve">06 Apr 26: Contrator submitted EOT-03 via 1TB01002-002C06-HOI-LTR-0076 on 18 Mar 26, under review with commercial
20 Apr 26: EAR targeted to be sent to claims by 18 may 26
04 May 26: Ditto
16 May 26: EAR commercial review in progress. Target date to issue 21 May 2026
31 May 26: EAR commercial review in progress. Target date to issue 07 June 2026
04 Jun 26: Ditto
10 Jun 26: Updated draft EAR sent to claims for review
15 Jun 26: Ditto, targeted to revert by 18 Jun 26
16 Jun 26: EAR sent back to commercial with comments
28 Jun 26:  target date TBC
11 July 26: Draft EAR issued to Rufino for review on  08 July  2026, Will be finalized once EOT 02 is concluded as agreed with Planning
20 Jul 26: Draft EAR sent to claims team for review
26 Jul 26: Draft EAR sent to planning for TIA
26 July 26: Ditto
28 Jul 26: Planning reverted with comments for commercial to address
05 Aug 26: Updated draft EAR sent to planning to proceed with TIA
08 Aug 26: planning reverted to commercial with comments to update, 
10 Aug 26: Commercial targeted to revert by 10 Aug 26
23 Aug 26: Commercial to address the planning comments and share the updated EAR. Target date 27 Aug 26.  Updated comments sent to PDB 8 Aug 26.
07 Sep 26: Commercial and Planning held a meeting with Havelock on 02-Sep-26 and 5 Sep 26. Havelock provided further information. Updated EAR to be issued for Planning TIA 07-Sep-26.
14 Sep 26: Updated EAR sent back to claims team for further review
17 Sep 26: EAR sent back to commercial with comments to update and resubmi
21 Sep 26: Comments received from the Claims team on 17 Sep. Updated EAR to be shared with the Claims team on 24 Sep 26.
</t>
    </r>
    <r>
      <rPr>
        <sz val="12"/>
        <color rgb="FFFF0000"/>
        <rFont val="Amaala Sans"/>
      </rPr>
      <t>04 Oct 26: Updated EAR shared with Claims team on 3 October 2026. Claims team issued to Planning team for TIA on 04 October 2026</t>
    </r>
  </si>
  <si>
    <t>1TB01002-002C06-HOI-LTR-0076
Contractor's further substatiation received on</t>
  </si>
  <si>
    <t xml:space="preserve">18-Mar-26
03-Sep-26
</t>
  </si>
  <si>
    <r>
      <t xml:space="preserve">22 June 2026 : Under review. Draft EAR will be issued upon issuance of EOT 1 EAR which is under workflow.
13 July 26: Commercial targeted to submit draft EAR to Rufino by 16 July 2026
26 Jul 26 : Draft EAR shared with Rufino on 22 July 2026. Currently under review, and will be shared with the Claims team on 28 July 2026
27 Jul 26: Draft EAR sent to claims team for initial review
29 Jul 26: Draft EAR sent to planning for TIA
30 Jul 26: Planning reverted with comments for commercial to address
06 Aug 26: Updated draft EAR sent to claims team for review // updated draft EAR sent to planning for TIA
10 Aug 26: Awaiting commercial feedback on EOT 1 as the EOT1 needs to be concluded prior to assessing the windows in EOT2
23 Aug 26: Employer's response is under workflow. However, EAR position remains same and the Planning team will advise to proceed with the EAR upon issuance of the letter.
06 Sep 26: EOT 2 - EAR issued from commercial to Planning on 06-Aug-26, subsequently issued to Shaju for review review 02-Sep-26, based on the RSG's response to EOT 1 comments raised by the Contractor. 
14 Sep 26: Planning team targeted to revert by 20 Sep 26
21 Sep 26: Planning team targeted to coclude TIA by 28 Sep 26
30 Sep 26: TIA incorporated and sent to claims team for finalisation &amp; approval
</t>
    </r>
    <r>
      <rPr>
        <sz val="12"/>
        <color rgb="FFFF0000"/>
        <rFont val="Amaala Sans"/>
      </rPr>
      <t>04 Oct 26: Currently with Claims team review</t>
    </r>
  </si>
  <si>
    <r>
      <t xml:space="preserve">06 Jul 26: Contractor submitted EOT 2 &amp; associated prolongation cost claim via 1TB01002-002C64-HOI-LTR-0018, currently under review with commercial &amp; planning 
13 July 26: Commercial target submit draft EAR to claims date is 26 July 2026
26 July 26: Ditto, target date moved to 28 Jul 26
10 Aug 26: Target date moved to 12 Aug 26
23 Aug 26: Target date TBA. Action with commercial team
06 Sep 26: RSG (Commercial and Planning) conducted a workshop with the Contractor on 1 Sep 26 to consolidate the EOT 2 and 3 related to 00C64 Contract. Contractor agreed with the Employer's proposed approach to consolidate based on the EOT 2&amp;3 submissions (EOT 3 received on 17 August 26). Recorded minutes and agreed action will be formalized to the Contractor on or before 10 Sep 2026. [Claims #145  + 158 to be combined in one EAR]
21 Sep 26: Priority given to 002C61 Contract's EAR. This EAR target to issue on or before 8 Oct 26.
</t>
    </r>
    <r>
      <rPr>
        <sz val="12"/>
        <color rgb="FFFF0000"/>
        <rFont val="Amaala Sans"/>
      </rPr>
      <t>04 Oct 26: Based on the Consultation with the Contractor on 29 September 2026, Contractor committed to submit the substantiation on or before 8 October 2026.</t>
    </r>
  </si>
  <si>
    <r>
      <t>13 Jul 26: Contractor submitted EOT 4 claim via 1TB01002-002C06-HOI-LTR-0100, being sent to site planning for review and input
20 Jul 26: Planning team targeted to revert by 28 Jul 26
03 Aug 26: Planning reverted on 13 Jul 26 and confirmed that the submission is in complaince with the TIA requirements
10 Augst 26: Target for EAR merit report 13 Aug 26
23 Aug 26: EOT 3 under review and upon conclusion EOT 4 EAR to be drafted.</t>
    </r>
    <r>
      <rPr>
        <sz val="12"/>
        <color rgb="FFFF0000"/>
        <rFont val="Amaala Sans"/>
      </rPr>
      <t xml:space="preserve">
</t>
    </r>
    <r>
      <rPr>
        <sz val="12"/>
        <rFont val="Amaala Sans"/>
      </rPr>
      <t xml:space="preserve">06 Sep 26: Review to be commenced upon conclusion of 002C61 and 002C64 EOTs (4 Submissions Vs 2 EAR respectively).
21 Sep 26: EOT 3 is currently under review. Upon conclusion of the same, EOT 4 EAR to be commenced. 
</t>
    </r>
    <r>
      <rPr>
        <sz val="12"/>
        <color rgb="FFFF0000"/>
        <rFont val="Amaala Sans"/>
      </rPr>
      <t>04 Oct 26: EOT 4 draft EAR preparation to be commenced upon completion of EOT 3 EAR review (currently with Planning)</t>
    </r>
  </si>
  <si>
    <r>
      <t xml:space="preserve">19 Jul 26: Contractor submitted EOT 3 claim via 1TB01002-002C61-HOI-LTR-0023 on 16 Jul 26 without any attachments, commercial preparing draft response accordingly
26 July 26: Employer letter issued to Contractor highlighting lack of attachments on their EOT 03 Submission, 1TB01002-002C61-AMA-LTR-0016 dated 23 July 26, Contractor re-submits EOT 03 with paritculars and attachments on the same day in HOI01002-TRANSMIT-000277
27 Jul 26: EAR being targetd to submit for claims team review by 10 Aug 26
10 Aug 26: Ditto, Contractor to confirm that this will be superseded by  EOT 4
17 Aug 26: Employer's letter issued via 1TB01002-002C61-AMA-LTR-0017 requesting for consolidation of EOT 2 and 3
23 Aug 26: Contractor's response received via 1TB01002-002C61-HOI-LTR-0025 dated 17 August 2026 stating that it has provided all supporting particulars in its previous submissions. Employer's response is under preparation.
06 Sep 26: RSG (Commercial and Planning) conducted a workshop with the Contractor on 1 Sep 26 to consolidate the EOT 2 and 3 related to 00C64 Contract. Contractor agreed with the Employer's proposed approach to consolidate based on the EOT 2&amp;3 submissions (EOT 3 received on 17 August 26). Recorded minutes and agreed action will be formalized to the Contractor on or before 10 Sep 2026. [Claims #122 + 149 to be combined in one EAR]
21 Sep 26 : Combined EAR under preparation. Target date to share with the Claims team on 24 Sep 26.
</t>
    </r>
    <r>
      <rPr>
        <sz val="12"/>
        <color rgb="FFFF0000"/>
        <rFont val="Amaala Sans"/>
      </rPr>
      <t>04 Oct 26: Draft EAR under final review and to be shared with the Claims team on 8 October 2026</t>
    </r>
  </si>
  <si>
    <r>
      <t xml:space="preserve">01 Apr 26: Contractor submitted EOT 02 claim via 1TB01002-002C61-HOI-LTR-0013 on 01 Mar 26, comm to review and prepare initial response 
06 Apr 26: Ditto, under review with commercial
20 Apr 26: response in the WF WF-039292
04 May 26: RSG response to Contractor's claim for EOT 2 was issued via letter ref: 1TB01002-002C61-AMA-LTR-0009 on 26- April-26.
16 May 26: Contractor responded to the Employer's letter  via 1TB01002-002C61-HOI-LTR-0020 on 06 May 2026.Currently under commercial review. 
31 May 26: Target date 07 June 2026
04 Jun 26: Ditto
15 Jun 26: Ditto
21 Jun 26: Contractor submitted supplementary documents via 1TB01002-002C61-HOI-LTR-0022 which was forwarded to planning team for review and input. planning responded on thh same day that this revised submission cutoff has been differed from their previous submission for EOT 2, commercial to prepare response
29 Jun 26: Comm to respond, target date TBC
11 Jul 26: Response to Contractor supplementary submission issued to Contractor on 05 July 2026,via 1TB01002-002C61-AMA-LTR-0013, requesting narrative and particulars on changes to cut off dates and further delay impacts.
26 Jul 26: Awaiting Contractor narrative and particulars for supplementary submission.
10 Aug 26: contractor will resibmit a consolidated claims incorporating contractor's both EOT 2 &amp; EOT 3 under one claim submission
17 Aug 26: Employer's letter issued via 1TB01002-002C61-AMA-LTR-0017 requesting for consolidation of EOT 2 and 3
23 Aug 26: Contractor's response received via 1TB01002-002C61-HOI-LTR-0025 dated 17 August 2026. Employer's response is under preparation.
07 Sep 26: RSG (Commercial and Planning) conducted a workshop with the Contractor on 1 Sep 26 to consolidate the EOT 2 and 3 related to 00C61 Contract. Contractor agreed with the Employer's proposed approach to consolidate based on the EOT 2&amp;3 submissions (EOT 3 received on 16 July 26). Recorded minutes and agreed action will be formalized to the Contractor on or before 10 Sep 2026. [Claims #122 + 149 to be combined in one EAR]
21 Sep 26 : Combined EAR under preparation. Target date to share with the Claims team on 24 Sep 26.
</t>
    </r>
    <r>
      <rPr>
        <sz val="12"/>
        <color rgb="FFFF0000"/>
        <rFont val="Amaala Sans"/>
      </rPr>
      <t>04 Oct 26: Draft EAR under final review and to be shared with the Claims team on 8 October 2026</t>
    </r>
  </si>
  <si>
    <r>
      <t xml:space="preserve">17 Aug 26 : Contractor's submission received via HOI01002-TRANSMIT-000288.
06 Sep 26: RSG (Commercial and Planning) conducted a workshop with the Contractor on 1 Sep 26 to consolidate the EOT 2 and 3 related to 00C64 Contract. Contractor agreed with the Employer's proposed approach to consolidate based on the EOT 2&amp;3 submissions (EOT 3 received on 17 August 26). Recorded minutes and agreed action will be formalized to the Contractor on or before 10 Sep 2026. [Claims # 145+158 to be combined in one EAR]
21 Sep 26: Priority given to 002C61 Contract's EAR. This EAR target to issue on or before 8 Oct 26.
</t>
    </r>
    <r>
      <rPr>
        <sz val="12"/>
        <color rgb="FFFF0000"/>
        <rFont val="Amaala Sans"/>
      </rPr>
      <t>04 Oct 26: Based on the Consultation with the Contractor on 29 September 2026, Contractor committed to submit the substantiation on or before 8 October 2026.</t>
    </r>
  </si>
  <si>
    <t>1TB01002F04</t>
  </si>
  <si>
    <t>ESC01002-TRANSMIT-000098</t>
  </si>
  <si>
    <t>24 Sep 2026: Contractor submitted the EOT claim/update based on a cut-off date of 04 September 2026, requesting a revised Completion Date of 04 October 2026.
27 Sep 2026: The Planning Team reviewed the submission and confirmed that the proposed methodology was not acceptable. The Contractor was instructed to revise and resubmit the assessment.
04 Oct 2026: A consolidated initial response incorporating both Planning and Commercial comments is currently being prepared. The response is targeted for issuance by 15 October 2026, which is within the contractual 21-day review period.</t>
  </si>
  <si>
    <t xml:space="preserve">17 Aug 25: Draft report sent to Planning for review and sent back to commercial to provide clarification regarding the Employer delays that affected the Condos, part of the original scope, prior to issuance of the VO
20 Aug 25: Draft report sent back to Planning to proceed with TIA
23 Aug 25: Commercial updated EOT report with additional chronology events to substantiate 21Condo delays. Under review  with Planning team.
25 Aug 25: revised report with updated chronology sent to planning, Target date by 31 Aug 25
25 Aug 25: claims to provide clarifications / advise on the comments from planning 
30 Aug 25: Clarification provided and planning to proceed with TIA, upon which commercial to review sections 1, 2 4 &amp; 6 to ensure we match current EAR format/expectations
01 Sep 25: Targeted to fianlise by 04 Sep 25
08 Sep 25: Final Draft report sent to claims for approval prior to WF initiation
29 Sep 25: Final Draft report approved and sent to commercial to initiate WF process
01 Oct 25: Draft report put in WF under ref WF-031666
06 Oct 25: Ditto
18 Oct 25: Ditto, report with Fahad since 16 Oct. 
20 Oct 25: EAR approved on 19 Oct 25, commercial to prepare the cover letter and initiate the WF for issuance
22 Oct 25: cover letter put in WF (WF-032562) - 1TB01002-002C06-AMA-LTR-0044 
03 Nov 25: WF completed, EAR issued to contracor via 1TB01002-002C06-AMA-LTR-0044 on 03 Nov 25
17 Nov 25:Awaiting response from Contractor
01 Dec 25: Ditto, commercial to issue EI
13 Dec 25: The Contractor issued its reponse accepting to the EAR via letter ref: 1TB01002-002C06-HOI-LTR-0063 dated 07-Dec-25.
15 Dec 25: comm to issue EI
11 Jan 25: Comm to issue EI to WF
25 Jan 26: EI was issued. Under WF for approval (WF-035905)
07 Feb 26: EI Nr 9 – MLH – Extension of Time Award – EOT 1 was issued to Contractor on 29-Jan-26 via letter 1TB01002-002C06-AMA-LTR-0049, which the Contractor eventually acknowledged and signed via HOI01002-GENCORR-000208 on 2-Feb-26.	</t>
  </si>
  <si>
    <r>
      <t xml:space="preserve">24 Jan 26: Draft EAR sent back to commercial with comments
25 Jan 26: Commercial review shared to MLH Claim's team on 13 -Jan-26. reviewd, updated and sent back to PB on 25 Jan. 
26 Jan 26: Draft EAR sent to Planning for TIA
28 Jan 26: Draft report sent back to claim with comments to resubmit,  Comments were addressed by commercial team and shared the missing Appendix for DE-05 
02 Feb 26: Targeted to conclude TIA by 12 Feb 26
09 Feb 26: Ditto, TIA still with Planning
16 Feb 26: Target date moved to 19 Feb 26
23 Feb 26 : TIA incorporated and sent to commercial for finalisation
24 Feb 26: Final Draft EAR sent to claims for pre-approval prior to formal WF initiation 
01 Mar 26: EAR Approved for WF initiation
02 Mar 26: EAR is currenlty in Work Flow for approval ( WF -037644)
08 Mar 26: Ditto
23 Mar 26: EAR with letter reference 1TB01002-002C61-AMA-LTR-0007 dated 23-Mar-26 was issued for the Contractor's review.
06 Mar 26: awaiting acceptance from contractor
20 Apr 26: Ditto
04 May 26: Contractor responded via letter ref. 1TB01002-002C61-HOI-LTR-0017 dated 19 Apr 26 with comments. under commercial/ planning team review. Target date 10 May 26.
18 May 26: Under commercial/ planning review. Target date 24 May 2026.
04 Jun 26: Target 11 Jun 26.
15 Jun 26: Ditto
22 Jun 26: targeted to revert by 30 Jun 26
29 Jun 26: Ditto
06 Jul 26: Taregeted to revert by 09 Jul 26
11 July 26: RSG Commercial to raise EI to WF by 13 July 2026
16 Jul 26: EI in WF (042034) - 1TB01002-002C61-EMI-CM-0004
21 Jul 26: EI issued to contractor
</t>
    </r>
    <r>
      <rPr>
        <sz val="12"/>
        <color rgb="FFFF0000"/>
        <rFont val="Amaala Sans"/>
      </rPr>
      <t>21 Sep 26 : RSG's response issued to HOI via 1TB01002-002C61-AMA-LTR-0018 on 20 Sep 26. Employer's EOT aware position remains same. Commercial to proceed with determination by the 1st of Oct 2026</t>
    </r>
    <r>
      <rPr>
        <sz val="12"/>
        <rFont val="Amaala Sans"/>
      </rPr>
      <t xml:space="preserve">
</t>
    </r>
    <r>
      <rPr>
        <sz val="12"/>
        <color rgb="FFFF0000"/>
        <rFont val="Amaala Sans"/>
      </rPr>
      <t>04 Oct 26: No further response from the Contractor.</t>
    </r>
  </si>
  <si>
    <r>
      <t xml:space="preserve">31 May 26: HOI updatd missing access clearance dates. EAR preparation in progress. Target date 01 June 26.
04 Jun 26: Target date 11 June 26.
10 Jun 26: EAR sent to claims team for review
15 Jun 26: targeted to revert by 16 Jun 26
16 Jun 26: EAR sent back to commercial with comments
19 Jun 26: Updated Draft EAR sent to claims team for further review
25 Jun 26: Draft EAR sent to planning to proceed with TIA
27 Jun 26: EAR sent back to commercial team with comments on incomplete chronology events
29 Jun 26: Targeted to revert by TBC
01 Jul 26: EAR updated and sent back to Planning to proceed with TIA
02 Jul 26: EAR sent back to commercial with further comments and clarification
04 Jul 26: EAR updated and sent to planning to proceed with TIA
06 Jul 26: Targeted to conclude TIA by 14 Jul 26
11 Jul 26 Targetted to conclude TIA by 25 July 2026
13 Jul 26: Ditto
14 Jul 26: TIA incorporated and sent to commercial team for finalisation
16 Jul 26: Final Draft EAR sent to claims team for pre-approval prior to WF process
18 Jul 26: EAR approved and sent back to commercial to initiate WF
19 Jul 26: Workflow initiated via WF-042032 (AMA01002-WTRAN-164629) on 19 Jul 26
26 Jul 26: Ditto
04 Jul 26: EAR WF approved, Cover letter put in Workflow (WF-042543 - 1TB01002-002C06-AMA-LTR-0083)
09 Aug26: Cover letter WF approved on 09 August 26, Commercial requested PMIS to issue to Contractor
10 Aug 26: EAR issued to contractor via 1TB01002-002C06-AMA-LTR-0083
23 Aug 26 : The due date for the Contractor's response (20 business days from 16 August) will be 3 September 2026. In parallel, EI for EOT 2 is under preparation and a formal WF to be initiated. 
07 Sep 26: Contractor issued the Notice of Disagreement and Rebuttal via 1TB01002-002C06-HOI-LTR-0106 on 24-Aug-26. Action currently with the planning team to issue the response. Currently with Sreejesh for review. 
</t>
    </r>
    <r>
      <rPr>
        <sz val="12"/>
        <color rgb="FFFF0000"/>
        <rFont val="Amaala Sans"/>
      </rPr>
      <t>14 Sep 26: planning team targeted to revert by 27 Sep 26
28 Sep 26: Planning team's response received on 28 September 2026.
04 Oct 26: Consolidated response with Commercial and Planning inputes is under preparation and to formalzied to the Contractor on or before 11 October 2026.</t>
    </r>
  </si>
  <si>
    <t>23 Apr 26: Contractor submitted EOT-01 via 1TB01006-006C42-HOI-LTR-0034  on 22 Apr 26. currently under review with commercial. 
04 May 26: Ditto, Target date 20 May 26
14 May 26: Ditto
31 May 26: Target date is 14 June
04 Jun 26: Ditto
15 Jun 26:  EAR under process with commercial, Traget date TBC
28 Jun 26: Target date on 12 July 26
13 July 26: under review with commercial, targeted to submit to claim team by 23 Jul 26
26 July 26, Draft EAR to be issued to Claims team today. 27 July 26
09 Aug 26: EAR sent to claims team for review
10 Aug 26: EAR sent back to commercial with comments
24 Aug 26: Commercial to target by 30 Aug 26.
25 Aug 26: Draft EAR sent to claims team for review
02 Sep 26: EAR sent back to commercial with comments to resubmit
07 Sep 26: Commercial to target 9 Sept 26
07 Sept 26: Meeting between Claims and Commercial to be set up for this EOT
16 Sep 26: Updated draft EAR sent back to claims team for review
22 Sep 26: EAR sent back to commercial with further comments and to address previous open comments
05 October: Commercial target date 06 October 26</t>
  </si>
  <si>
    <r>
      <t xml:space="preserve">14 Jul 26: reassement being carried out based on the additional particulars provided via Email from Contractor dated 04 Jul 26, Planning has requested commercial to submit updated draft EAR for TIA
21 Jul 26: Draft EAR sent to claims team for review
26 July 26: Draft EAR udner Claims team review
29 Jul 26: EAR sent to planning for TIA
03 Aug 26: TIA targeted to be concluded by 12 Aug 26 / EAR sent back to commercial with comments to address
04 Aug 26: Updated Draft EAR sent to claims addressing comments from Planning
05 Aug 26: Updated EAR sent to planning for TIA
06 Aug 26: Planning team revereted with clarifications on ID issuance date // commrcial reverted on the same day with clarification
10 Aug 26: Ditto, targeted to revert by 12 Aug 26
17 Aug 26: planning team gave details of additoinal events and requested commercial to update the chronology accordingly in order to incorpoare the same in TIA
24 Aug 26: Target date 06 Sept 26
30 Aug 26: EAR sent to site planning (Lenin)
</t>
    </r>
    <r>
      <rPr>
        <sz val="12"/>
        <color rgb="FFFF0000"/>
        <rFont val="Amaala Sans"/>
      </rPr>
      <t>05 Sep 26: TIA incorporated and sent to commercial for finalisation // Final Draft EAR sent to claims team for pre-approval prior to WF
12 Sep 26: KM reveretd with comments to address and initiate WF</t>
    </r>
    <r>
      <rPr>
        <sz val="12"/>
        <rFont val="Amaala Sans"/>
      </rPr>
      <t xml:space="preserve">
14 Sep 26: EAR approved and sent back to commercial to initiate WF // Workflow initiated via WF-047458
5 Oct 2025 : EAR Approved, to be issued to SPM today</t>
    </r>
  </si>
  <si>
    <t>05 Apr 26: Being reviewed. Target date 20 April
06 Apr 26: Ditto
16 April 26: BK will take over this after Imar, 05 May to be with NE
04 May 26: Bk will draft it before 18 May.. 
14 May 26: Ditto, if BK does not make it, RB to take over. Target date after Eid 10 June 2026. 
31 May 26: Commercial to complere EAR by 15 June 26
04 Jun 26: Ditto
15 Jun 26: EAR under process with commercial, revised target date 18 Jun 26
28 June 26: Target date moved to 19 July 26
13 Jul 26: Ditto
26 Jul 26: Draft EAR to be issued to Claims team today. 27 July 26
27 Jul 26: Draft EAR sent to claims team for review
04 Aug 26: EAR sent to planning for TIA
10 Aug 26: Ditto (Shaju to update)
13 Aug 26: planning raised query on DE06, commercial responded on the same day
18 Aug 26: TIA targeted to be concluded by 24 Aug 26
14 Sep 26: Planning team targeted to conclude TIA by 21 Sep 26
05 Oct 26: Planning sent TIA to Claims</t>
  </si>
  <si>
    <r>
      <rPr>
        <b/>
        <sz val="12"/>
        <rFont val="Amaala Sans"/>
      </rPr>
      <t>(cost claim related to item 61 above)</t>
    </r>
    <r>
      <rPr>
        <sz val="12"/>
        <rFont val="Amaala Sans"/>
      </rPr>
      <t xml:space="preserve">
25 Jan 26 : Ditto ( EOT 2 EAR issued to contrator on 6th Jan2025 via 1TB01031-031C10-AMA-LTR-0062, contractor to submit cost claim based on EAR if accepted)
08 Feb 26: Contractor confirmed to submit the EOT-02 cost impact within this week
22 Feb 26:  the Contractor accepted EAR and confirmed that they are preparing a revised cost claim in line with the EAR, 1TB01031-031C10-MME-LTR-0054 received on 09 Feb 26.
08 March 26: Cost Claim is awaited from the contractor
06 Apr 26: Ditto
9 April 26:  Cost Claim is submiited 1TB01031-031C10-MME-LTR-0055, currently under review by Commercial Team 
20 Apr 26: Ditto, targeted to submit draft EAR for claims team by 28 May 26
04 May 26: Ditto
18 May 26: Ditto
31 May 26: Final Cost is being assessed after clarification meeting with MME on 15 th May 2026
04 Jun 26: Target to submit to claims by 30 June 26
15 Jun 26:  Ditto
29 June 26: Ditto
11 Jul 26: Cost Report draft sent to claims team for review
27 Jul 26: Ditto
09 Aug 26: Claims teams's observations on the submission reverted to commercial to review and request for further particulars from the contractor.
11 Aug 26: a workshop meeting was held between commercial &amp; claims, following to that another WS was held with the contractor and requested further supporting documents.
24 Aug 26:  Letter in WF
07 Sep 26: Second Work shop was held on 01Sept 202, additional information is requested to the contractor, response awaited
12 Sep 26: Contractor provided an advance copy of the revised claim via email (attachments via one drive link). </t>
    </r>
    <r>
      <rPr>
        <sz val="12"/>
        <color rgb="FFCC00FF"/>
        <rFont val="Amaala Sans"/>
      </rPr>
      <t>commercial to request the contractor to submit the same officially via Aconex</t>
    </r>
    <r>
      <rPr>
        <sz val="12"/>
        <rFont val="Amaala Sans"/>
      </rPr>
      <t xml:space="preserve">, Commercial currently reviewing the cost analysis 
19 Sep 26: Commercial has isued the revised cost assessment to Claims team for reviewe via Email on 13th Sep 2026, awaiting the response.
24 Sep 26: commercial to set up a meeting to discuss 
29 Sep 26: further to the meeting with commercial, action has been now set to claims team to review the cost
</t>
    </r>
    <r>
      <rPr>
        <sz val="12"/>
        <color rgb="FFFF0000"/>
        <rFont val="Amaala Sans"/>
      </rPr>
      <t>05 Oct 26: Commercial Team is adressing the Comments from Claims team received on 2 Oct 2026</t>
    </r>
  </si>
  <si>
    <r>
      <t xml:space="preserve">05 March 26: Contractor submitted EOT 01 Cost Claim via EMC01031-TRANSMIT-000119
19 April 26: Target date June 2026.
20 Apr 26: Initial response targeted to be issued by 15 May 26
04 May 26: Ditto
18 May 26: Ditto
31 May 26: Final Cost is bing assessed after clarification meeting with Elamar on 15 th May 2026
04 Jun 26: Target to complete by 30 Jun 26.
15 Jun 26: Ditto
28 June 26: Ditto
11 Jul 26: Cost report sent to claims team for review
26 July 26: Ditto, Claims team targeted to revert by 31 Jul 26
03 Aug 26: reverted to commercial to advise on how the compensable day was obtained // claims team to carry out the assessment
09 Aug 26: Claims teams's observations on the submission reverted to commercial to review and request for further particulars from the contractor
11 Aug 26: a workshop meeting was held between commercial &amp; claims, following to that another WS was held with the contractor and requested further supporting documents 
24 Aug 26:  Letter in WF confirming the same.
07 sept 26: Second Work shop was held on 01Sept 202, additional information is requested to the contractor, response awaited
12 Sep 26: Contractor provided an advance copy of the revised claim via email (attachments via one drive link). </t>
    </r>
    <r>
      <rPr>
        <u/>
        <sz val="12"/>
        <color rgb="FFCC00FF"/>
        <rFont val="Amaala Sans"/>
      </rPr>
      <t xml:space="preserve">commercial to request the contractor to submit the same officially via Aconex, Commercial currently reviewing the cost analysis </t>
    </r>
    <r>
      <rPr>
        <sz val="12"/>
        <rFont val="Amaala Sans"/>
      </rPr>
      <t xml:space="preserve">
19 Sep 26: Commercial has isued the revised cost assessment to Claims team for reviewe via Email on 8th Sep 2026, awaiting the response // </t>
    </r>
    <r>
      <rPr>
        <sz val="12"/>
        <color rgb="FFCC00FF"/>
        <rFont val="Amaala Sans"/>
      </rPr>
      <t xml:space="preserve">Intan responded to commercial to carry out the cost analysis </t>
    </r>
    <r>
      <rPr>
        <sz val="12"/>
        <rFont val="Amaala Sans"/>
      </rPr>
      <t xml:space="preserve">
24 Sep 26: commercial to set up a meeting to discuss 
29 Sep 26: further to the meeting with commercial, action has been now set to claims team to review the cost
</t>
    </r>
    <r>
      <rPr>
        <sz val="12"/>
        <color rgb="FFFF0000"/>
        <rFont val="Amaala Sans"/>
      </rPr>
      <t>05 Oct 26: Commercial Team is adressing the Comments from Claims team received on 2 Oct 2026</t>
    </r>
  </si>
  <si>
    <r>
      <t xml:space="preserve">24 Aug 26: EAR Issued to Contractor via Ref Letter 1TB01031-031C15-AMA-LTR-0044 dated 17 Aug 2026 - Awaiting contractor acceptance
24 Aug 26: Contractor responded via 1TB01031-031C15-EMC-LTR-0030 rejecting the EAR, under review with commercial &amp; Planning 
04 Sept 26: Contractor's Rejection is forwarded to Claims team for review and response
07 Sept 26: Contractor submitted further particulars via 1TB01031-031C15-EMC-LTR-0031 and has requested for a re-assessment
08 Sep 26: revised EAR sent to claims team seeking approval to proceed with reassessment
16 Sep 26: Reverted to commercial with queries &amp; comments
</t>
    </r>
    <r>
      <rPr>
        <b/>
        <sz val="12"/>
        <color rgb="FFFF0000"/>
        <rFont val="Amaala Sans"/>
      </rPr>
      <t xml:space="preserve">05 Oct 26: Review comments from Claims team on 30Sept 26 regarding additional DE-06 are addressed, responded on 05 Oct 26 
</t>
    </r>
  </si>
  <si>
    <r>
      <t xml:space="preserve">16 May 26: EOT-03 claim received via 1TB01031-031C10-MME-LTR-0061 on 11th May 2026 from MME
31 May 2026: Claim is being reviwed and by Site comercial team
04 Jun 26: Target by 15 Jul 26
15 Jun 26: Ditto, under process with commercial, targeted to submit EAR to claims team by 30 Jun 26
28 June 26: Target moved to 14 July 26
13 July 26: Target date moved due to resources and expected to be completed by 27 July 2026
26 July 26: Discussion with MME team is ongoing regarding chronology, Target to be moved to 15 Aug 2026
10 Aug 26: Still with Commercial Team, This EOT-03 is claim of 280days with 13Nrs of Delay Events, many teams meeting held with MME, missing information is requested, considering 13Nrs of DE and 100s of chrnology to varify, target date is moved to 15 Sept 2026 - to be discussed after the meeting (NE)
24 Aug 26: Commercial to advise.
27 Aug 26: Draft EAR sent to site planning team for initial review
07 Sept 26: Ditto
14 Sep 26: comm to update
16 Sep 26: Commercial to review &amp; identify any input from planning's side
</t>
    </r>
    <r>
      <rPr>
        <strike/>
        <sz val="12"/>
        <rFont val="Amaala Sans"/>
      </rPr>
      <t xml:space="preserve">19 Sep 26: Draft EAR with review of the Chrnology is issued to Planning and Claims team to start TIA, delay analysis. </t>
    </r>
    <r>
      <rPr>
        <sz val="12"/>
        <rFont val="Amaala Sans"/>
      </rPr>
      <t xml:space="preserve">
28 Sep 26: Commercial to update and submit teh Draft EAR to claims team prior to Planning FULL TIA
29 Sep 26: Claims team to review the draft EAR
</t>
    </r>
    <r>
      <rPr>
        <sz val="12"/>
        <color rgb="FFFF0000"/>
        <rFont val="Amaala Sans"/>
      </rPr>
      <t>05 Oct 26: New template is issued by Claims team to update the previously issued DRAFT EAR, this will be responsed today.</t>
    </r>
    <r>
      <rPr>
        <sz val="12"/>
        <rFont val="Amaala Sans"/>
      </rPr>
      <t xml:space="preserve">
</t>
    </r>
  </si>
  <si>
    <r>
      <t xml:space="preserve">17 Feb 26: Contractor submitted EOT-01 on 06 Feb 26 with partial cost implications via NVA01006-TRANSMIT-000081 (1TB01006-006C64-NVA-LTR-0013), under review with commercial, commercial to issue initial response, claim with planning to check whether the submission is in compliance
24 Feb 26: Initial response in WF-041463
08 March 26: Letter to revise and resubmit issued on 24 Feb 26 (Ref: 1TB01006-006C64-AMA-LTR-0026)
06 Apr 26: Ditto
18 April 26: Awaiting Contractor's revised submission
04 May 2026: Ditto
18 May 2026: Ditto
31 May 26: Ditto
04 Jun 26: Ditto
15 Jun 26: Commercial to issue follow up letter
28 Jun 26: Follow up letter for revised claim under WF-045031 - 1TB01006-006C58-AMA-LTR-0031
11 Jul 26: Follow-up Letter issued to COntractor on 01 July 26 (1TB01006-006C64-AMA-LTR-0031)
26 July 26: Contractor submitted revised EOT 01 on 15 July 26 (ref. 1TB01006-006C64-NVA-LTR-0018 )- under commercial review, target to issue initial response by 13 August 2026 
10 Aug 26: Ditto
24 Aug 26:  Commercial to confirm target date TBC
</t>
    </r>
    <r>
      <rPr>
        <sz val="12"/>
        <color rgb="FFFF0000"/>
        <rFont val="Amaala Sans"/>
      </rPr>
      <t>07 Sept 26: Contractor withdraw the EOT (1TB01006-006C64-NVA-LTR-0020) with a condition that no delay LDS shall be imposed or recovered against NOVA. Written confirmation from Employer is requested by the Contractor.
07 Sept 26: Claims to respond to Contractor's request not to impose LD's</t>
    </r>
    <r>
      <rPr>
        <sz val="12"/>
        <rFont val="Amaala Sans"/>
      </rPr>
      <t xml:space="preserve">
08 Sep 26: Claims team advised to process HLEAR to identify if the contractor infact have any entitlement
21 Sep 26: under process with commercial
</t>
    </r>
    <r>
      <rPr>
        <sz val="12"/>
        <color rgb="FFFF0000"/>
        <rFont val="Amaala Sans"/>
      </rPr>
      <t>05 Oct 26: HLAR is under process by commercial team</t>
    </r>
  </si>
  <si>
    <r>
      <t xml:space="preserve">17 Feb 26: Contractor submitted EOT-01 on 06 Feb 26 with partial cost implications via NVA01006-TRANSMIT-000081 (1TB01006-006C64-NVA-LTR-0013), under review with commercial, commercial to issue initial response 
18 May 2026: Ditto
31 May 26: Ditto
04 Jun 26: Nova
11 July 26: Awaiting conclusion of EOT
10 Aug 26: Ditto
07 Sept 26: Contractor withdraw the EOT (1TB01006-006C64-NVA-LTR-0020) with a condition that no delay LDS shall be imposed or recovered against NOVA. Written confirmation from Employer is requested by the Contractor.
21 Sep 26: Ditto
</t>
    </r>
    <r>
      <rPr>
        <sz val="12"/>
        <color rgb="FFFF0000"/>
        <rFont val="Amaala Sans"/>
      </rPr>
      <t>05 Oct 26: Ditto</t>
    </r>
  </si>
  <si>
    <r>
      <t xml:space="preserve">25 July 26: EOT 02 received from Contractor (Ref. 1TB01006-006C72-NUI-LTR-006C72 dated 16 July 26). Response letter (Revise and resubmit will be issued on 30 July 26. WF-046240
02 Aug 26: Response letter (revise and resubmit) issued to Contractor (1TB01006-006C72-AMA-LTR-0024)
03 Aug 26: Response recived on 03 Aug 2026, via NUI01006-GENCORR-000023 (1TB01006-006C72-NUI-LTR-0014), 
10 Aug 26: currently under Commercial Review. 
24 Aug 26: Target date TBC
02 Sep 26: Draft EAR under review with site planning
04 Sept 26: DRAFT EAR issued to Claims and Planning team for TIA and Delay analysis
06 Sep 26: claims team to review prior to Planning's TIA
20 Sep 26: EAR sent back to commercial with comments
</t>
    </r>
    <r>
      <rPr>
        <b/>
        <sz val="12"/>
        <color rgb="FFFF0000"/>
        <rFont val="Amaala Sans"/>
      </rPr>
      <t xml:space="preserve">05 Oct 26: Review response are received from Claims Team 20Sept26, Commerical team is working on it. </t>
    </r>
  </si>
  <si>
    <r>
      <t xml:space="preserve">17 Feb 26: Contractor submitted EOT-01 on 06 Feb 26 with partial cost implications via 1TB01006-006C58-NVA-LTR-0012
(NVA01006-TRANSMIT-000082), under review with commercial, commercial to issue initial response 
18 May 2026: Ditto
31 May 26: Ditto
04 Jun 26: Ditto+BR133
15 Jun 26:  Ditto, Commercial to issue a follow up letter
11 July 26: Awaiting conclusion of EOT
10 Aug 26: Ditto
21 Sep 26: Ditto
</t>
    </r>
    <r>
      <rPr>
        <sz val="12"/>
        <color rgb="FFFF0000"/>
        <rFont val="Amaala Sans"/>
      </rPr>
      <t>05 Oct 26: Ditto</t>
    </r>
  </si>
  <si>
    <r>
      <t xml:space="preserve">17 Feb 26: Contractor submitted EOT-01 on 06 Feb 26 with partial cost implications via 1TB01006-006C58-NVA-LTR-0012
(NVA01006-TRANSMIT-000082), under review with commercial, commercial to issue initial response , claim with planning to check whether the submission is in compliance
24 Feb 26: Initial response in WF-041463
24 Feb 26: Initial response in WF-041463
08 March 26: Letter to revise and resubmit issued on 24 Feb 26 (Ref: 1TB01006-006C58-AMA-LTR-0030)
18 April 26: Awaiting Contractor's revised submission
04 May 2026: Ditto
18 May 2026: Ditto
31 May 26: Ditto
06 Jun 26: Ditto
15 Jun 26:  Ditto, Commercial to issue a follow up letter
28 Jun 26: Follow up letter for revised claim under WF-045030 -  1TB01006-006C58-AMA-LTR-0038
11 July 26: Follow-up Letter issued to COntractor on 01 July 26 (1TB01006-006C58-AMA-LTR-0038)
26 July 26: Awaiting Contractor's submission
10 Aug 26: Ditto
24 Aug 26: Ditto
28 Aug 26: Contractor submitted a revised EOT 01 (1TB01006-006C58-NVA-LTR-0040-C0). Workshop was held on 02 sept 2026, 
07 Sep 26: Response is awaited from NOVA for addtional information
21 Sep 26: Ditto
</t>
    </r>
    <r>
      <rPr>
        <b/>
        <sz val="12"/>
        <color rgb="FFFF0000"/>
        <rFont val="Amaala Sans"/>
      </rPr>
      <t>05 Oct 26: DRAFT EAR has issued to Claims and Planning for their review and comments.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</si>
</sst>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d\-mmm\-yy;;"/>
    <numFmt numFmtId="166" formatCode="[$-409]dd\-mmm\-yy;@"/>
    <numFmt numFmtId="167" formatCode="[$-409]d\-mmm\-yy;@"/>
    <numFmt numFmtId="168" formatCode="_(* #,##0_);[Red]_(* \(#,##0\);_(* &quot;-&quot;_);_(@_)"/>
    <numFmt numFmtId="169" formatCode="0.0;\-0.0;;@"/>
    <numFmt numFmtId="170" formatCode="mmm\-yy;;"/>
    <numFmt numFmtId="171" formatCode="[$SAR]\ #,##0.00_);[Red]\([$SAR]\ #,##0.00\)"/>
    <numFmt numFmtId="172" formatCode="[$-409]mmm/yy;@"/>
    <numFmt numFmtId="173" formatCode="0.0"/>
    <numFmt numFmtId="174" formatCode="[$SAR]\ #,##0.00"/>
    <numFmt numFmtId="175" formatCode="[$-409]dd/mmm/yy;@"/>
    <numFmt numFmtId="176" formatCode="[$SAR]\ #,##0.00_);\([$SAR]\ #,##0.00\)"/>
    <numFmt numFmtId="177" formatCode="[$-409]d/mmm/yy;@"/>
  </numFmts>
  <fonts count="73">
    <font>
      <sz val="9"/>
      <color theme="1"/>
      <name val="Playfair Display"/>
      <family val="2"/>
    </font>
    <font>
      <b/>
      <sz val="11"/>
      <color theme="0"/>
      <name val="Calibri"/>
      <family val="2"/>
      <scheme val="minor"/>
    </font>
    <font>
      <b/>
      <sz val="11"/>
      <color theme="1"/>
      <name val="Calibri"/>
      <family val="2"/>
      <scheme val="minor"/>
    </font>
    <font>
      <sz val="9"/>
      <color theme="1"/>
      <name val="Playfair Display"/>
      <family val="2"/>
    </font>
    <font>
      <b/>
      <sz val="12"/>
      <color theme="0"/>
      <name val="Calibri"/>
      <family val="2"/>
      <scheme val="minor"/>
    </font>
    <font>
      <sz val="12"/>
      <name val="Calibri"/>
      <family val="2"/>
      <scheme val="minor"/>
    </font>
    <font>
      <b/>
      <sz val="12"/>
      <color theme="1"/>
      <name val="Calibri"/>
      <family val="2"/>
      <scheme val="minor"/>
    </font>
    <font>
      <b/>
      <sz val="11"/>
      <name val="Calibri"/>
      <family val="2"/>
      <scheme val="minor"/>
    </font>
    <font>
      <sz val="12"/>
      <color theme="1"/>
      <name val="Calibri"/>
      <family val="2"/>
      <scheme val="minor"/>
    </font>
    <font>
      <b/>
      <sz val="12"/>
      <color rgb="FFFF0000"/>
      <name val="Calibri"/>
      <family val="2"/>
      <scheme val="minor"/>
    </font>
    <font>
      <sz val="9"/>
      <color theme="0"/>
      <name val="Amaala Sans"/>
    </font>
    <font>
      <sz val="10"/>
      <color theme="1"/>
      <name val="Amaala Sans"/>
    </font>
    <font>
      <sz val="10"/>
      <color theme="0"/>
      <name val="Amaala Sans"/>
    </font>
    <font>
      <b/>
      <sz val="10"/>
      <color theme="1"/>
      <name val="Amaala Sans"/>
    </font>
    <font>
      <b/>
      <u/>
      <sz val="28"/>
      <color rgb="FF817971"/>
      <name val="Amaala Sans"/>
    </font>
    <font>
      <sz val="28"/>
      <color rgb="FFAE9142"/>
      <name val="Amaala Sans"/>
    </font>
    <font>
      <b/>
      <sz val="12"/>
      <color theme="1"/>
      <name val="Amaala Sans"/>
    </font>
    <font>
      <sz val="10"/>
      <color theme="1"/>
      <name val="Calibri"/>
      <family val="2"/>
      <scheme val="minor"/>
    </font>
    <font>
      <b/>
      <u/>
      <sz val="14"/>
      <color rgb="FF817971"/>
      <name val="Amaala Sans"/>
    </font>
    <font>
      <sz val="28"/>
      <color theme="1"/>
      <name val="Amaala Sans"/>
    </font>
    <font>
      <b/>
      <sz val="10"/>
      <color theme="1"/>
      <name val="Calibri"/>
      <family val="2"/>
      <scheme val="minor"/>
    </font>
    <font>
      <b/>
      <sz val="12"/>
      <name val="Amaala Sans"/>
    </font>
    <font>
      <sz val="11"/>
      <name val="Amaala Sans"/>
    </font>
    <font>
      <sz val="12"/>
      <color theme="1"/>
      <name val="Amaala Sans"/>
    </font>
    <font>
      <b/>
      <sz val="16"/>
      <name val="Amaala Sans"/>
    </font>
    <font>
      <b/>
      <sz val="10"/>
      <color rgb="FFFF0000"/>
      <name val="Amaala Sans"/>
    </font>
    <font>
      <sz val="10"/>
      <name val="Amaala Sans"/>
    </font>
    <font>
      <b/>
      <sz val="10"/>
      <name val="Amaala Sans"/>
    </font>
    <font>
      <sz val="11"/>
      <name val="Calibri"/>
      <family val="2"/>
      <scheme val="minor"/>
    </font>
    <font>
      <sz val="12"/>
      <name val="Amaala Sans"/>
    </font>
    <font>
      <b/>
      <sz val="11"/>
      <color rgb="FFFF0000"/>
      <name val="Amaala Sans"/>
    </font>
    <font>
      <sz val="11"/>
      <color theme="1"/>
      <name val="Amaala Sans"/>
    </font>
    <font>
      <b/>
      <sz val="12"/>
      <color rgb="FFFF0000"/>
      <name val="Amaala Sans"/>
    </font>
    <font>
      <b/>
      <sz val="11"/>
      <color theme="1"/>
      <name val="Amaala Sans"/>
    </font>
    <font>
      <sz val="12"/>
      <color theme="0"/>
      <name val="Amaala Sans"/>
    </font>
    <font>
      <sz val="12"/>
      <color theme="0" tint="-4.9989318521683403E-2"/>
      <name val="Amaala Sans"/>
    </font>
    <font>
      <b/>
      <sz val="12"/>
      <color theme="0"/>
      <name val="Amaala Sans"/>
    </font>
    <font>
      <sz val="11"/>
      <color theme="0"/>
      <name val="Amaala Sans"/>
    </font>
    <font>
      <sz val="12"/>
      <color rgb="FF000000"/>
      <name val="Amaala Sans"/>
    </font>
    <font>
      <b/>
      <sz val="16"/>
      <color theme="1"/>
      <name val="Amaala Sans"/>
    </font>
    <font>
      <sz val="16"/>
      <name val="Amaala Sans"/>
    </font>
    <font>
      <sz val="16"/>
      <color theme="0"/>
      <name val="Amaala Sans"/>
    </font>
    <font>
      <sz val="16"/>
      <color theme="1"/>
      <name val="Amaala Sans"/>
    </font>
    <font>
      <sz val="9"/>
      <name val="Amaala Sans"/>
    </font>
    <font>
      <sz val="12"/>
      <color rgb="FFFF0000"/>
      <name val="Amaala Sans"/>
    </font>
    <font>
      <sz val="11"/>
      <color theme="0" tint="-0.34998626667073579"/>
      <name val="Amaala Sans"/>
    </font>
    <font>
      <b/>
      <sz val="28"/>
      <color rgb="FF817971"/>
      <name val="Amaala Sans"/>
    </font>
    <font>
      <sz val="28"/>
      <color theme="0" tint="-0.34998626667073579"/>
      <name val="Amaala Sans"/>
    </font>
    <font>
      <b/>
      <sz val="18"/>
      <color rgb="FF817971"/>
      <name val="Amaala Sans"/>
    </font>
    <font>
      <sz val="18"/>
      <color rgb="FFAE9142"/>
      <name val="Amaala Sans"/>
    </font>
    <font>
      <sz val="18"/>
      <color theme="0" tint="-0.34998626667073579"/>
      <name val="Amaala Sans"/>
    </font>
    <font>
      <sz val="9"/>
      <color theme="1"/>
      <name val="Amaala Sans"/>
    </font>
    <font>
      <sz val="12"/>
      <color theme="0" tint="-0.34998626667073579"/>
      <name val="Amaala Sans"/>
    </font>
    <font>
      <sz val="14"/>
      <name val="Amaala Sans"/>
    </font>
    <font>
      <b/>
      <sz val="10"/>
      <color theme="0" tint="-0.34998626667073579"/>
      <name val="Amaala Sans"/>
    </font>
    <font>
      <b/>
      <sz val="10"/>
      <color theme="0"/>
      <name val="Amaala Sans"/>
    </font>
    <font>
      <u/>
      <sz val="12"/>
      <color theme="0"/>
      <name val="Amaala Sans"/>
    </font>
    <font>
      <u/>
      <sz val="9"/>
      <color theme="1"/>
      <name val="Amaala Sans"/>
    </font>
    <font>
      <sz val="12"/>
      <color theme="1"/>
      <name val="Open Sans"/>
      <family val="2"/>
    </font>
    <font>
      <strike/>
      <sz val="12"/>
      <name val="Amaala Sans"/>
    </font>
    <font>
      <u/>
      <sz val="12"/>
      <name val="Amaala Sans"/>
    </font>
    <font>
      <strike/>
      <sz val="12"/>
      <color theme="1"/>
      <name val="Amaala Sans"/>
    </font>
    <font>
      <strike/>
      <sz val="12"/>
      <color theme="0"/>
      <name val="Amaala Sans"/>
    </font>
    <font>
      <strike/>
      <sz val="11"/>
      <color theme="1"/>
      <name val="Amaala Sans"/>
    </font>
    <font>
      <b/>
      <strike/>
      <sz val="12"/>
      <name val="Amaala Sans"/>
    </font>
    <font>
      <b/>
      <u/>
      <sz val="12"/>
      <name val="Amaala Sans"/>
    </font>
    <font>
      <b/>
      <i/>
      <u/>
      <sz val="12"/>
      <name val="Amaala Sans"/>
    </font>
    <font>
      <sz val="12"/>
      <color rgb="FFCC00FF"/>
      <name val="Amaala Sans"/>
    </font>
    <font>
      <u/>
      <sz val="12"/>
      <color rgb="FFCC00FF"/>
      <name val="Amaala Sans"/>
    </font>
    <font>
      <b/>
      <sz val="12"/>
      <color rgb="FFC00000"/>
      <name val="Amaala Sans"/>
    </font>
    <font>
      <b/>
      <sz val="9"/>
      <color indexed="81"/>
      <name val="Tahoma"/>
      <family val="2"/>
    </font>
    <font>
      <sz val="9"/>
      <color indexed="81"/>
      <name val="Tahoma"/>
      <family val="2"/>
    </font>
    <font>
      <i/>
      <sz val="12"/>
      <color rgb="FF000000"/>
      <name val="Amaala Sans"/>
    </font>
  </fonts>
  <fills count="18">
    <fill>
      <patternFill patternType="none"/>
    </fill>
    <fill>
      <patternFill patternType="gray125"/>
    </fill>
    <fill>
      <patternFill patternType="solid">
        <fgColor rgb="FF817971"/>
        <bgColor indexed="64"/>
      </patternFill>
    </fill>
    <fill>
      <patternFill patternType="solid">
        <fgColor theme="0" tint="-0.499984740745262"/>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4" tint="0.59999389629810485"/>
        <bgColor indexed="64"/>
      </patternFill>
    </fill>
    <fill>
      <patternFill patternType="solid">
        <fgColor theme="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left>
      <right style="thin">
        <color theme="0"/>
      </right>
      <top style="thin">
        <color theme="0"/>
      </top>
      <bottom/>
      <diagonal/>
    </border>
    <border>
      <left style="thin">
        <color theme="0" tint="-0.34998626667073579"/>
      </left>
      <right/>
      <top/>
      <bottom/>
      <diagonal/>
    </border>
    <border>
      <left style="thin">
        <color theme="0" tint="-0.499984740745262"/>
      </left>
      <right style="thin">
        <color theme="0" tint="-0.499984740745262"/>
      </right>
      <top/>
      <bottom/>
      <diagonal/>
    </border>
    <border>
      <left/>
      <right style="thin">
        <color theme="0" tint="-0.34998626667073579"/>
      </right>
      <top/>
      <bottom/>
      <diagonal/>
    </border>
    <border>
      <left style="thin">
        <color theme="0" tint="-0.499984740745262"/>
      </left>
      <right/>
      <top/>
      <bottom/>
      <diagonal/>
    </border>
    <border>
      <left style="thin">
        <color theme="0" tint="-0.24994659260841701"/>
      </left>
      <right style="thin">
        <color theme="0" tint="-0.24994659260841701"/>
      </right>
      <top style="thin">
        <color theme="0" tint="-0.24994659260841701"/>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int="-0.499984740745262"/>
      </top>
      <bottom style="thin">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rgb="FF808080"/>
      </left>
      <right style="thin">
        <color rgb="FF808080"/>
      </right>
      <top/>
      <bottom style="thin">
        <color theme="0" tint="-0.499984740745262"/>
      </bottom>
      <diagonal/>
    </border>
    <border>
      <left style="thin">
        <color theme="0" tint="-0.499984740745262"/>
      </left>
      <right style="thin">
        <color indexed="64"/>
      </right>
      <top/>
      <bottom/>
      <diagonal/>
    </border>
    <border>
      <left style="thin">
        <color auto="1"/>
      </left>
      <right/>
      <top/>
      <bottom/>
      <diagonal/>
    </border>
    <border>
      <left style="thin">
        <color theme="1" tint="0.499984740745262"/>
      </left>
      <right style="thin">
        <color theme="1" tint="0.499984740745262"/>
      </right>
      <top/>
      <bottom style="thin">
        <color theme="0" tint="-0.499984740745262"/>
      </bottom>
      <diagonal/>
    </border>
    <border>
      <left/>
      <right style="thin">
        <color auto="1"/>
      </right>
      <top/>
      <bottom style="thin">
        <color theme="0" tint="-0.499984740745262"/>
      </bottom>
      <diagonal/>
    </border>
    <border>
      <left style="thin">
        <color indexed="64"/>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808080"/>
      </left>
      <right style="thin">
        <color rgb="FF808080"/>
      </right>
      <top style="thin">
        <color rgb="FF808080"/>
      </top>
      <bottom style="thin">
        <color rgb="FF808080"/>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s>
  <cellStyleXfs count="3">
    <xf numFmtId="0" fontId="0" fillId="0" borderId="0"/>
    <xf numFmtId="43" fontId="3" fillId="0" borderId="0" applyFont="0" applyFill="0" applyBorder="0" applyAlignment="0" applyProtection="0"/>
    <xf numFmtId="0" fontId="3" fillId="0" borderId="0"/>
  </cellStyleXfs>
  <cellXfs count="447">
    <xf numFmtId="0" fontId="0" fillId="0" borderId="0" xfId="0"/>
    <xf numFmtId="0" fontId="4" fillId="2" borderId="1" xfId="0" applyFont="1" applyFill="1" applyBorder="1" applyAlignment="1">
      <alignment horizontal="centerContinuous" vertical="center" wrapText="1"/>
    </xf>
    <xf numFmtId="164" fontId="1" fillId="2" borderId="1" xfId="0" applyNumberFormat="1" applyFont="1" applyFill="1" applyBorder="1" applyAlignment="1">
      <alignment horizontal="center" vertical="center"/>
    </xf>
    <xf numFmtId="0" fontId="0" fillId="0" borderId="0" xfId="0" applyAlignment="1">
      <alignment vertical="center"/>
    </xf>
    <xf numFmtId="0" fontId="2" fillId="0" borderId="2" xfId="0" applyFont="1" applyBorder="1" applyAlignment="1">
      <alignment horizontal="left" vertical="center" indent="2"/>
    </xf>
    <xf numFmtId="0" fontId="2" fillId="0" borderId="2" xfId="0" applyFont="1" applyBorder="1" applyAlignment="1">
      <alignment horizontal="left" vertical="center" wrapText="1" indent="2"/>
    </xf>
    <xf numFmtId="164" fontId="5" fillId="0" borderId="2" xfId="0" applyNumberFormat="1" applyFont="1" applyBorder="1" applyAlignment="1">
      <alignment horizontal="center" vertical="center"/>
    </xf>
    <xf numFmtId="164" fontId="6" fillId="0" borderId="2" xfId="0" applyNumberFormat="1" applyFont="1" applyBorder="1" applyAlignment="1">
      <alignment horizontal="center" vertical="center"/>
    </xf>
    <xf numFmtId="0" fontId="7" fillId="0" borderId="3" xfId="0" applyFont="1" applyBorder="1" applyAlignment="1">
      <alignment horizontal="left" vertical="center" indent="2"/>
    </xf>
    <xf numFmtId="164" fontId="8" fillId="0" borderId="3" xfId="0" applyNumberFormat="1" applyFont="1" applyBorder="1" applyAlignment="1">
      <alignment horizontal="center" vertical="center"/>
    </xf>
    <xf numFmtId="164" fontId="6" fillId="0" borderId="4" xfId="0" applyNumberFormat="1" applyFont="1" applyBorder="1" applyAlignment="1">
      <alignment horizontal="center" vertical="center"/>
    </xf>
    <xf numFmtId="0" fontId="7" fillId="0" borderId="3" xfId="0" applyFont="1" applyBorder="1" applyAlignment="1">
      <alignment horizontal="centerContinuous" vertical="center" wrapText="1"/>
    </xf>
    <xf numFmtId="164" fontId="6" fillId="0" borderId="3" xfId="0" applyNumberFormat="1" applyFont="1" applyBorder="1" applyAlignment="1">
      <alignment horizontal="center" vertical="center" wrapText="1"/>
    </xf>
    <xf numFmtId="164" fontId="0" fillId="0" borderId="0" xfId="0" applyNumberFormat="1"/>
    <xf numFmtId="0" fontId="0" fillId="0" borderId="0" xfId="0" applyAlignment="1">
      <alignment wrapText="1"/>
    </xf>
    <xf numFmtId="0" fontId="6" fillId="0" borderId="0" xfId="0" applyFont="1" applyAlignment="1">
      <alignment horizontal="center" vertical="center"/>
    </xf>
    <xf numFmtId="0" fontId="6" fillId="0" borderId="0" xfId="0" applyFont="1" applyAlignment="1">
      <alignment vertical="center"/>
    </xf>
    <xf numFmtId="0" fontId="2" fillId="0" borderId="5" xfId="0" applyFont="1" applyBorder="1" applyAlignment="1">
      <alignment horizontal="center" vertical="center" wrapText="1"/>
    </xf>
    <xf numFmtId="0" fontId="7" fillId="0" borderId="5" xfId="0" applyFont="1" applyBorder="1" applyAlignment="1">
      <alignment horizontal="left" vertical="center" indent="1"/>
    </xf>
    <xf numFmtId="164" fontId="5" fillId="0" borderId="5" xfId="0" applyNumberFormat="1" applyFont="1" applyBorder="1" applyAlignment="1">
      <alignment horizontal="center" vertical="center"/>
    </xf>
    <xf numFmtId="164" fontId="6" fillId="0" borderId="5" xfId="0" applyNumberFormat="1" applyFont="1" applyBorder="1" applyAlignment="1">
      <alignment horizontal="center" vertical="center"/>
    </xf>
    <xf numFmtId="0" fontId="2" fillId="0" borderId="6" xfId="0" applyFont="1" applyBorder="1" applyAlignment="1">
      <alignment horizontal="center" vertical="center" wrapText="1"/>
    </xf>
    <xf numFmtId="0" fontId="7" fillId="0" borderId="6" xfId="0" applyFont="1" applyBorder="1" applyAlignment="1">
      <alignment horizontal="left" vertical="center" indent="1"/>
    </xf>
    <xf numFmtId="164" fontId="5" fillId="0" borderId="6" xfId="0" applyNumberFormat="1" applyFont="1" applyBorder="1" applyAlignment="1">
      <alignment horizontal="center" vertical="center"/>
    </xf>
    <xf numFmtId="164" fontId="6" fillId="0" borderId="6" xfId="0" applyNumberFormat="1" applyFont="1" applyBorder="1" applyAlignment="1">
      <alignment horizontal="center" vertical="center"/>
    </xf>
    <xf numFmtId="0" fontId="2" fillId="0" borderId="3" xfId="0" applyFont="1" applyBorder="1" applyAlignment="1">
      <alignment horizontal="center" vertical="center" wrapText="1"/>
    </xf>
    <xf numFmtId="0" fontId="7" fillId="0" borderId="3" xfId="0" applyFont="1" applyBorder="1" applyAlignment="1">
      <alignment horizontal="left" vertical="center" indent="1"/>
    </xf>
    <xf numFmtId="164" fontId="5" fillId="0" borderId="3"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7"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indent="1"/>
    </xf>
    <xf numFmtId="164" fontId="8" fillId="0" borderId="2" xfId="0" applyNumberFormat="1" applyFont="1" applyBorder="1" applyAlignment="1">
      <alignment horizontal="center" vertical="center"/>
    </xf>
    <xf numFmtId="0" fontId="7" fillId="0" borderId="6" xfId="0" applyFont="1" applyBorder="1" applyAlignment="1">
      <alignment horizontal="left" vertical="top" wrapText="1" indent="1"/>
    </xf>
    <xf numFmtId="164" fontId="8" fillId="0" borderId="6" xfId="0" applyNumberFormat="1" applyFont="1" applyBorder="1" applyAlignment="1">
      <alignment horizontal="center" vertical="center"/>
    </xf>
    <xf numFmtId="164" fontId="10" fillId="0" borderId="6" xfId="0" applyNumberFormat="1" applyFont="1" applyBorder="1" applyAlignment="1">
      <alignment horizontal="center" vertical="center"/>
    </xf>
    <xf numFmtId="0" fontId="2" fillId="0" borderId="6" xfId="0" applyFont="1" applyBorder="1" applyAlignment="1">
      <alignment horizontal="left" vertical="center" wrapText="1" inden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indent="1"/>
    </xf>
    <xf numFmtId="164" fontId="8" fillId="0" borderId="4" xfId="0" applyNumberFormat="1" applyFont="1" applyBorder="1" applyAlignment="1">
      <alignment horizontal="center" vertical="center"/>
    </xf>
    <xf numFmtId="0" fontId="4" fillId="3" borderId="1" xfId="0" applyFont="1" applyFill="1" applyBorder="1" applyAlignment="1">
      <alignment horizontal="centerContinuous" vertical="center"/>
    </xf>
    <xf numFmtId="0" fontId="4" fillId="3" borderId="1" xfId="0" applyFont="1" applyFill="1" applyBorder="1" applyAlignment="1">
      <alignment horizontal="center" vertical="center"/>
    </xf>
    <xf numFmtId="164" fontId="6" fillId="0" borderId="1" xfId="0" applyNumberFormat="1" applyFont="1" applyBorder="1" applyAlignment="1">
      <alignment horizontal="centerContinuous" vertical="center" wrapText="1"/>
    </xf>
    <xf numFmtId="0" fontId="0" fillId="0" borderId="1" xfId="0" applyBorder="1" applyAlignment="1">
      <alignment horizontal="centerContinuous" vertical="center"/>
    </xf>
    <xf numFmtId="164" fontId="6" fillId="0" borderId="1" xfId="0" applyNumberFormat="1" applyFont="1" applyBorder="1" applyAlignment="1">
      <alignment horizontal="center" vertical="center" wrapText="1"/>
    </xf>
    <xf numFmtId="0" fontId="2" fillId="0" borderId="3" xfId="0" applyFont="1" applyBorder="1" applyAlignment="1">
      <alignment horizontal="left" vertical="center" wrapText="1" indent="1"/>
    </xf>
    <xf numFmtId="0" fontId="2" fillId="0" borderId="5" xfId="0" applyFont="1" applyBorder="1" applyAlignment="1">
      <alignment horizontal="left" vertical="center" wrapText="1" indent="1"/>
    </xf>
    <xf numFmtId="164" fontId="8" fillId="0" borderId="5" xfId="0" applyNumberFormat="1" applyFont="1" applyBorder="1" applyAlignment="1">
      <alignment horizontal="center" vertical="center"/>
    </xf>
    <xf numFmtId="0" fontId="7" fillId="0" borderId="4" xfId="0" applyFont="1" applyBorder="1" applyAlignment="1">
      <alignment horizontal="left" vertical="center" indent="1"/>
    </xf>
    <xf numFmtId="164" fontId="8" fillId="0" borderId="3" xfId="0" applyNumberFormat="1"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xf>
    <xf numFmtId="0" fontId="11" fillId="0" borderId="0" xfId="0" applyFont="1" applyAlignment="1">
      <alignment vertical="top" wrapText="1"/>
    </xf>
    <xf numFmtId="0" fontId="11" fillId="0" borderId="0" xfId="0" applyFont="1" applyAlignment="1">
      <alignment horizontal="left" vertical="center" wrapText="1"/>
    </xf>
    <xf numFmtId="0" fontId="13" fillId="0" borderId="0" xfId="0" applyFont="1" applyAlignment="1">
      <alignment horizontal="center" vertical="center" wrapText="1"/>
    </xf>
    <xf numFmtId="0" fontId="14" fillId="0" borderId="0" xfId="0" applyFont="1"/>
    <xf numFmtId="0" fontId="15" fillId="0" borderId="0" xfId="0" applyFont="1" applyAlignment="1">
      <alignment vertical="top"/>
    </xf>
    <xf numFmtId="0" fontId="16" fillId="0" borderId="0" xfId="0" applyFont="1" applyAlignment="1">
      <alignment horizontal="centerContinuous" vertical="center"/>
    </xf>
    <xf numFmtId="0" fontId="6" fillId="0" borderId="0" xfId="0" quotePrefix="1" applyFont="1" applyAlignment="1">
      <alignment horizontal="center" vertical="center" wrapText="1"/>
    </xf>
    <xf numFmtId="0" fontId="17" fillId="0" borderId="0" xfId="0" applyFont="1" applyAlignment="1">
      <alignment vertical="center" wrapText="1"/>
    </xf>
    <xf numFmtId="0" fontId="6" fillId="0" borderId="0" xfId="0" applyFont="1" applyAlignment="1">
      <alignment horizontal="center" vertical="center" wrapText="1"/>
    </xf>
    <xf numFmtId="0" fontId="18" fillId="0" borderId="0" xfId="0" applyFont="1" applyAlignment="1">
      <alignment vertical="top"/>
    </xf>
    <xf numFmtId="0" fontId="19" fillId="0" borderId="0" xfId="0" applyFont="1" applyAlignment="1">
      <alignment horizontal="center" vertical="center" wrapText="1"/>
    </xf>
    <xf numFmtId="165" fontId="11" fillId="0" borderId="0" xfId="0" applyNumberFormat="1" applyFont="1" applyAlignment="1">
      <alignment vertical="top" wrapText="1"/>
    </xf>
    <xf numFmtId="0" fontId="16" fillId="0" borderId="7" xfId="0" applyFont="1" applyBorder="1" applyAlignment="1">
      <alignment horizontal="left"/>
    </xf>
    <xf numFmtId="0" fontId="16" fillId="0" borderId="7" xfId="0" applyFont="1" applyBorder="1" applyAlignment="1">
      <alignment horizontal="centerContinuous" wrapText="1"/>
    </xf>
    <xf numFmtId="0" fontId="20" fillId="4" borderId="1" xfId="0" applyFont="1" applyFill="1" applyBorder="1" applyAlignment="1">
      <alignment horizontal="center" vertical="center" wrapText="1"/>
    </xf>
    <xf numFmtId="0" fontId="16" fillId="0" borderId="0" xfId="0" applyFont="1" applyAlignment="1">
      <alignment horizontal="left" vertical="center"/>
    </xf>
    <xf numFmtId="0" fontId="6" fillId="0" borderId="0" xfId="0" quotePrefix="1" applyFont="1" applyAlignment="1">
      <alignment vertical="center"/>
    </xf>
    <xf numFmtId="0" fontId="21" fillId="0" borderId="0" xfId="0" applyFont="1" applyAlignment="1">
      <alignment vertical="center"/>
    </xf>
    <xf numFmtId="0" fontId="22" fillId="0" borderId="1" xfId="0" applyFont="1" applyBorder="1" applyAlignment="1">
      <alignment vertical="center" wrapText="1"/>
    </xf>
    <xf numFmtId="0" fontId="23" fillId="0" borderId="1" xfId="0" applyFont="1" applyBorder="1" applyAlignment="1">
      <alignment horizontal="center" vertical="center" wrapText="1"/>
    </xf>
    <xf numFmtId="0" fontId="20" fillId="5" borderId="1" xfId="0" applyFont="1" applyFill="1" applyBorder="1" applyAlignment="1">
      <alignment horizontal="center" vertical="center" wrapText="1"/>
    </xf>
    <xf numFmtId="0" fontId="24" fillId="0" borderId="0" xfId="0" applyFont="1" applyAlignment="1">
      <alignment horizontal="right" vertical="center"/>
    </xf>
    <xf numFmtId="0" fontId="24" fillId="0" borderId="0" xfId="0" applyFont="1" applyAlignment="1">
      <alignment horizontal="left" vertical="center"/>
    </xf>
    <xf numFmtId="0" fontId="22" fillId="0" borderId="1" xfId="0" applyFont="1" applyBorder="1" applyAlignment="1">
      <alignment horizontal="left" vertical="center" wrapText="1"/>
    </xf>
    <xf numFmtId="0" fontId="20" fillId="6" borderId="1" xfId="0" applyFont="1" applyFill="1" applyBorder="1" applyAlignment="1">
      <alignment horizontal="center" vertical="center" wrapText="1"/>
    </xf>
    <xf numFmtId="0" fontId="11" fillId="0" borderId="0" xfId="0" applyFont="1" applyAlignment="1">
      <alignment horizontal="centerContinuous" vertical="center" wrapText="1"/>
    </xf>
    <xf numFmtId="0" fontId="24" fillId="0" borderId="0" xfId="0" applyFont="1" applyAlignment="1">
      <alignment vertical="center"/>
    </xf>
    <xf numFmtId="0" fontId="25" fillId="0" borderId="0" xfId="0" applyFont="1" applyAlignment="1">
      <alignment horizontal="left" vertical="center"/>
    </xf>
    <xf numFmtId="0" fontId="20" fillId="7" borderId="1" xfId="0" applyFont="1" applyFill="1" applyBorder="1" applyAlignment="1">
      <alignment horizontal="center" vertical="center" wrapText="1"/>
    </xf>
    <xf numFmtId="166" fontId="24" fillId="0" borderId="0" xfId="0" applyNumberFormat="1" applyFont="1" applyAlignment="1">
      <alignment horizontal="left" vertical="center"/>
    </xf>
    <xf numFmtId="0" fontId="26" fillId="0" borderId="0" xfId="0" applyFont="1" applyAlignment="1">
      <alignment vertical="center" wrapText="1"/>
    </xf>
    <xf numFmtId="0" fontId="16" fillId="0" borderId="0" xfId="0" applyFont="1" applyAlignment="1">
      <alignment vertical="center"/>
    </xf>
    <xf numFmtId="0" fontId="16" fillId="0" borderId="0" xfId="0" applyFont="1" applyAlignment="1">
      <alignment horizontal="centerContinuous" vertical="top"/>
    </xf>
    <xf numFmtId="0" fontId="21" fillId="0" borderId="0" xfId="0" applyFont="1" applyAlignment="1">
      <alignment horizontal="left" vertical="center"/>
    </xf>
    <xf numFmtId="0" fontId="27" fillId="0" borderId="0" xfId="0" applyFont="1" applyAlignment="1">
      <alignment horizontal="left" vertical="center"/>
    </xf>
    <xf numFmtId="0" fontId="27" fillId="0" borderId="0" xfId="0" applyFont="1" applyAlignment="1">
      <alignment horizontal="center" vertical="center"/>
    </xf>
    <xf numFmtId="167" fontId="21" fillId="0" borderId="0" xfId="0" applyNumberFormat="1" applyFont="1" applyAlignment="1">
      <alignment horizontal="left" vertical="center"/>
    </xf>
    <xf numFmtId="0" fontId="13" fillId="4" borderId="1" xfId="0" applyFont="1" applyFill="1" applyBorder="1" applyAlignment="1">
      <alignment horizontal="center" vertical="center" wrapText="1"/>
    </xf>
    <xf numFmtId="0" fontId="16" fillId="0" borderId="0" xfId="0" quotePrefix="1" applyFont="1" applyAlignment="1">
      <alignment vertical="center"/>
    </xf>
    <xf numFmtId="0" fontId="16" fillId="0" borderId="0" xfId="0" applyFont="1" applyAlignment="1">
      <alignment horizontal="right" vertical="center" wrapText="1"/>
    </xf>
    <xf numFmtId="0" fontId="13" fillId="5" borderId="1" xfId="0" applyFont="1" applyFill="1" applyBorder="1" applyAlignment="1">
      <alignment horizontal="center" vertical="center" wrapText="1"/>
    </xf>
    <xf numFmtId="0" fontId="28" fillId="0" borderId="1" xfId="0" applyFont="1" applyBorder="1" applyAlignment="1">
      <alignment vertical="center" wrapText="1"/>
    </xf>
    <xf numFmtId="0" fontId="29" fillId="0" borderId="0" xfId="0" applyFont="1" applyAlignment="1">
      <alignment horizontal="center" vertical="center" wrapText="1"/>
    </xf>
    <xf numFmtId="0" fontId="13" fillId="6" borderId="1" xfId="0" applyFont="1" applyFill="1" applyBorder="1" applyAlignment="1">
      <alignment horizontal="center" vertical="center" wrapText="1"/>
    </xf>
    <xf numFmtId="0" fontId="22" fillId="0" borderId="1" xfId="0" applyFont="1" applyBorder="1" applyAlignment="1">
      <alignment vertical="center"/>
    </xf>
    <xf numFmtId="0" fontId="30" fillId="0" borderId="1" xfId="0" applyFont="1" applyBorder="1" applyAlignment="1">
      <alignment horizontal="centerContinuous" vertical="center" wrapText="1"/>
    </xf>
    <xf numFmtId="0" fontId="13" fillId="7" borderId="1" xfId="0" applyFont="1" applyFill="1" applyBorder="1" applyAlignment="1">
      <alignment horizontal="center" vertical="center" wrapText="1"/>
    </xf>
    <xf numFmtId="0" fontId="31" fillId="0" borderId="8" xfId="0" applyFont="1" applyBorder="1" applyAlignment="1">
      <alignment horizontal="left" vertical="center"/>
    </xf>
    <xf numFmtId="0" fontId="29" fillId="0" borderId="1" xfId="0" applyFont="1" applyBorder="1" applyAlignment="1">
      <alignment horizontal="center" vertical="center" wrapText="1"/>
    </xf>
    <xf numFmtId="0" fontId="29" fillId="0" borderId="1" xfId="0" applyFont="1" applyBorder="1" applyAlignment="1">
      <alignment horizontal="centerContinuous" vertical="center"/>
    </xf>
    <xf numFmtId="0" fontId="32" fillId="0" borderId="1" xfId="0" applyFont="1" applyBorder="1" applyAlignment="1">
      <alignment horizontal="center" vertical="center" wrapText="1"/>
    </xf>
    <xf numFmtId="0" fontId="22" fillId="0" borderId="8" xfId="0" applyFont="1" applyBorder="1" applyAlignment="1">
      <alignment horizontal="left" vertical="center" wrapText="1"/>
    </xf>
    <xf numFmtId="0" fontId="33" fillId="0" borderId="1" xfId="0" applyFont="1" applyBorder="1" applyAlignment="1">
      <alignment horizontal="center" vertical="center" wrapText="1"/>
    </xf>
    <xf numFmtId="0" fontId="6" fillId="8" borderId="1" xfId="0" applyFont="1" applyFill="1" applyBorder="1" applyAlignment="1">
      <alignment horizontal="centerContinuous" vertical="center"/>
    </xf>
    <xf numFmtId="0" fontId="6" fillId="8" borderId="1" xfId="0" applyFont="1" applyFill="1" applyBorder="1" applyAlignment="1">
      <alignment horizontal="centerContinuous" vertical="center" wrapText="1"/>
    </xf>
    <xf numFmtId="0" fontId="6" fillId="6" borderId="1" xfId="0" applyFont="1" applyFill="1" applyBorder="1" applyAlignment="1">
      <alignment horizontal="centerContinuous" vertical="center"/>
    </xf>
    <xf numFmtId="0" fontId="6" fillId="6" borderId="1" xfId="0" applyFont="1" applyFill="1" applyBorder="1" applyAlignment="1">
      <alignment horizontal="centerContinuous" vertical="center" wrapText="1"/>
    </xf>
    <xf numFmtId="0" fontId="6" fillId="4" borderId="1" xfId="0" applyFont="1" applyFill="1" applyBorder="1" applyAlignment="1">
      <alignment horizontal="centerContinuous" vertical="center"/>
    </xf>
    <xf numFmtId="0" fontId="6" fillId="4" borderId="1" xfId="0" applyFont="1" applyFill="1" applyBorder="1" applyAlignment="1">
      <alignment horizontal="centerContinuous" vertical="center" wrapText="1"/>
    </xf>
    <xf numFmtId="0" fontId="34" fillId="2" borderId="9" xfId="0" applyFont="1" applyFill="1" applyBorder="1" applyAlignment="1">
      <alignment horizontal="centerContinuous" vertical="center" wrapText="1"/>
    </xf>
    <xf numFmtId="0" fontId="34" fillId="2" borderId="10" xfId="0" applyFont="1" applyFill="1" applyBorder="1" applyAlignment="1">
      <alignment horizontal="centerContinuous" vertical="center" wrapText="1"/>
    </xf>
    <xf numFmtId="0" fontId="34" fillId="2" borderId="9" xfId="0" applyFont="1" applyFill="1" applyBorder="1" applyAlignment="1">
      <alignment horizontal="centerContinuous" vertical="center"/>
    </xf>
    <xf numFmtId="0" fontId="34" fillId="0" borderId="0" xfId="0" applyFont="1" applyAlignment="1">
      <alignment horizontal="centerContinuous" vertical="center"/>
    </xf>
    <xf numFmtId="0" fontId="34" fillId="2" borderId="11" xfId="0" applyFont="1" applyFill="1" applyBorder="1" applyAlignment="1">
      <alignment horizontal="centerContinuous" vertical="center" wrapText="1"/>
    </xf>
    <xf numFmtId="0" fontId="23" fillId="0" borderId="0" xfId="0" applyFont="1" applyAlignment="1">
      <alignment vertical="center" wrapText="1"/>
    </xf>
    <xf numFmtId="0" fontId="35" fillId="2" borderId="9" xfId="0" applyFont="1" applyFill="1" applyBorder="1" applyAlignment="1">
      <alignment horizontal="centerContinuous" vertical="center" wrapText="1"/>
    </xf>
    <xf numFmtId="0" fontId="35" fillId="2" borderId="9" xfId="0" applyFont="1" applyFill="1" applyBorder="1" applyAlignment="1">
      <alignment horizontal="centerContinuous" vertical="center"/>
    </xf>
    <xf numFmtId="0" fontId="35" fillId="2" borderId="9" xfId="0" applyFont="1" applyFill="1" applyBorder="1" applyAlignment="1">
      <alignment horizontal="center" vertical="center" wrapText="1"/>
    </xf>
    <xf numFmtId="0" fontId="35" fillId="2" borderId="9" xfId="0" applyFont="1" applyFill="1" applyBorder="1" applyAlignment="1">
      <alignment horizontal="left" vertical="center" indent="25"/>
    </xf>
    <xf numFmtId="0" fontId="34" fillId="2" borderId="9" xfId="0" applyFont="1" applyFill="1" applyBorder="1" applyAlignment="1">
      <alignment horizontal="center" vertical="center" wrapText="1"/>
    </xf>
    <xf numFmtId="40" fontId="36" fillId="2" borderId="0" xfId="0" applyNumberFormat="1" applyFont="1" applyFill="1" applyAlignment="1">
      <alignment vertical="center" wrapText="1"/>
    </xf>
    <xf numFmtId="0" fontId="36" fillId="2" borderId="0" xfId="0" applyFont="1" applyFill="1" applyAlignment="1">
      <alignment vertical="center" wrapText="1"/>
    </xf>
    <xf numFmtId="0" fontId="34" fillId="2" borderId="13" xfId="0" applyFont="1" applyFill="1" applyBorder="1" applyAlignment="1">
      <alignment horizontal="center" vertical="center" wrapText="1"/>
    </xf>
    <xf numFmtId="0" fontId="34" fillId="2" borderId="14" xfId="0" applyFont="1" applyFill="1" applyBorder="1" applyAlignment="1">
      <alignment horizontal="center" vertical="center" wrapText="1"/>
    </xf>
    <xf numFmtId="0" fontId="34" fillId="2" borderId="15" xfId="0" applyFont="1" applyFill="1" applyBorder="1" applyAlignment="1">
      <alignment horizontal="center" vertical="center" wrapText="1"/>
    </xf>
    <xf numFmtId="0" fontId="34" fillId="2" borderId="16" xfId="0" applyFont="1" applyFill="1" applyBorder="1" applyAlignment="1">
      <alignment horizontal="center" vertical="center" wrapText="1"/>
    </xf>
    <xf numFmtId="0" fontId="34" fillId="2" borderId="17" xfId="0" applyFont="1" applyFill="1" applyBorder="1" applyAlignment="1">
      <alignment horizontal="center" vertical="center" textRotation="90" wrapText="1"/>
    </xf>
    <xf numFmtId="0" fontId="34" fillId="0" borderId="0" xfId="0" applyFont="1" applyAlignment="1">
      <alignment horizontal="left" vertical="center"/>
    </xf>
    <xf numFmtId="0" fontId="34" fillId="2" borderId="11" xfId="0" applyFont="1" applyFill="1" applyBorder="1" applyAlignment="1">
      <alignment horizontal="center" vertical="center" wrapText="1"/>
    </xf>
    <xf numFmtId="0" fontId="37" fillId="2" borderId="9" xfId="0" applyFont="1" applyFill="1" applyBorder="1" applyAlignment="1">
      <alignment horizontal="center" vertical="center" wrapText="1"/>
    </xf>
    <xf numFmtId="0" fontId="34" fillId="2" borderId="8" xfId="0" applyFont="1" applyFill="1" applyBorder="1" applyAlignment="1">
      <alignment horizontal="center" vertical="center" wrapText="1"/>
    </xf>
    <xf numFmtId="167" fontId="35" fillId="2" borderId="9" xfId="0" applyNumberFormat="1" applyFont="1" applyFill="1" applyBorder="1" applyAlignment="1">
      <alignment horizontal="center" vertical="center" wrapText="1"/>
    </xf>
    <xf numFmtId="0" fontId="34" fillId="2" borderId="19" xfId="0" applyFont="1" applyFill="1" applyBorder="1" applyAlignment="1">
      <alignment horizontal="centerContinuous" vertical="center" wrapText="1"/>
    </xf>
    <xf numFmtId="0" fontId="34" fillId="2" borderId="20" xfId="0" applyFont="1" applyFill="1" applyBorder="1" applyAlignment="1">
      <alignment horizontal="centerContinuous" vertical="center" wrapText="1"/>
    </xf>
    <xf numFmtId="0" fontId="36" fillId="2" borderId="9" xfId="0" applyFont="1" applyFill="1" applyBorder="1" applyAlignment="1">
      <alignment horizontal="center" vertical="center" wrapText="1"/>
    </xf>
    <xf numFmtId="0" fontId="16" fillId="0" borderId="21" xfId="0" applyFont="1" applyBorder="1" applyAlignment="1">
      <alignment horizontal="centerContinuous" vertical="center" wrapText="1"/>
    </xf>
    <xf numFmtId="168" fontId="29" fillId="0" borderId="21" xfId="0" applyNumberFormat="1" applyFont="1" applyBorder="1" applyAlignment="1">
      <alignment horizontal="centerContinuous" vertical="center" wrapText="1"/>
    </xf>
    <xf numFmtId="168" fontId="29" fillId="0" borderId="21" xfId="0" applyNumberFormat="1" applyFont="1" applyBorder="1" applyAlignment="1">
      <alignment horizontal="center" vertical="center" wrapText="1"/>
    </xf>
    <xf numFmtId="167" fontId="29" fillId="0" borderId="21" xfId="0" applyNumberFormat="1" applyFont="1" applyBorder="1" applyAlignment="1">
      <alignment horizontal="centerContinuous" vertical="center" wrapText="1"/>
    </xf>
    <xf numFmtId="168" fontId="29" fillId="0" borderId="22" xfId="0" applyNumberFormat="1" applyFont="1" applyBorder="1" applyAlignment="1">
      <alignment horizontal="centerContinuous" vertical="center"/>
    </xf>
    <xf numFmtId="168" fontId="34" fillId="0" borderId="23" xfId="0" applyNumberFormat="1" applyFont="1" applyBorder="1" applyAlignment="1">
      <alignment horizontal="centerContinuous" vertical="center"/>
    </xf>
    <xf numFmtId="168" fontId="29" fillId="0" borderId="22" xfId="0" applyNumberFormat="1" applyFont="1" applyBorder="1" applyAlignment="1">
      <alignment horizontal="centerContinuous" vertical="center" wrapText="1"/>
    </xf>
    <xf numFmtId="167" fontId="29" fillId="0" borderId="22" xfId="0" applyNumberFormat="1" applyFont="1" applyBorder="1" applyAlignment="1">
      <alignment horizontal="centerContinuous" vertical="center" wrapText="1"/>
    </xf>
    <xf numFmtId="165" fontId="29" fillId="9" borderId="24" xfId="0" applyNumberFormat="1" applyFont="1" applyFill="1" applyBorder="1" applyAlignment="1">
      <alignment horizontal="center" vertical="top" wrapText="1"/>
    </xf>
    <xf numFmtId="0" fontId="23" fillId="0" borderId="21" xfId="0" applyFont="1" applyBorder="1" applyAlignment="1">
      <alignment vertical="center" wrapText="1"/>
    </xf>
    <xf numFmtId="168" fontId="29" fillId="0" borderId="22" xfId="0" applyNumberFormat="1" applyFont="1" applyBorder="1" applyAlignment="1">
      <alignment horizontal="centerContinuous" vertical="top" wrapText="1"/>
    </xf>
    <xf numFmtId="0" fontId="23" fillId="0" borderId="22" xfId="0" applyFont="1" applyBorder="1" applyAlignment="1">
      <alignment horizontal="center" vertical="center" wrapText="1"/>
    </xf>
    <xf numFmtId="0" fontId="23" fillId="0" borderId="22" xfId="0" applyFont="1" applyBorder="1" applyAlignment="1">
      <alignment horizontal="centerContinuous" vertical="center" wrapText="1"/>
    </xf>
    <xf numFmtId="0" fontId="23" fillId="0" borderId="22" xfId="0" applyFont="1" applyBorder="1" applyAlignment="1">
      <alignment horizontal="left" vertical="center" wrapText="1"/>
    </xf>
    <xf numFmtId="0" fontId="16" fillId="0" borderId="24" xfId="0" applyFont="1" applyBorder="1" applyAlignment="1">
      <alignment horizontal="center" vertical="center" wrapText="1"/>
    </xf>
    <xf numFmtId="1" fontId="29" fillId="0" borderId="22" xfId="0" applyNumberFormat="1" applyFont="1" applyBorder="1" applyAlignment="1">
      <alignment horizontal="centerContinuous" vertical="center" wrapText="1"/>
    </xf>
    <xf numFmtId="0" fontId="23" fillId="0" borderId="22" xfId="0" applyFont="1" applyBorder="1" applyAlignment="1">
      <alignment vertical="center" wrapText="1"/>
    </xf>
    <xf numFmtId="1" fontId="38" fillId="10" borderId="25" xfId="0" applyNumberFormat="1" applyFont="1" applyFill="1" applyBorder="1" applyAlignment="1">
      <alignment horizontal="center" vertical="top" wrapText="1"/>
    </xf>
    <xf numFmtId="0" fontId="23" fillId="0" borderId="0" xfId="0" applyFont="1" applyAlignment="1">
      <alignment horizontal="center" vertical="center" wrapText="1"/>
    </xf>
    <xf numFmtId="0" fontId="39" fillId="11" borderId="26" xfId="0" applyFont="1" applyFill="1" applyBorder="1" applyAlignment="1">
      <alignment horizontal="centerContinuous" vertical="center" wrapText="1"/>
    </xf>
    <xf numFmtId="168" fontId="40" fillId="11" borderId="27" xfId="0" applyNumberFormat="1" applyFont="1" applyFill="1" applyBorder="1" applyAlignment="1">
      <alignment horizontal="centerContinuous" vertical="center" wrapText="1"/>
    </xf>
    <xf numFmtId="168" fontId="40" fillId="11" borderId="28" xfId="0" applyNumberFormat="1" applyFont="1" applyFill="1" applyBorder="1" applyAlignment="1">
      <alignment horizontal="centerContinuous" vertical="center" wrapText="1"/>
    </xf>
    <xf numFmtId="168" fontId="40" fillId="11" borderId="29" xfId="0" applyNumberFormat="1" applyFont="1" applyFill="1" applyBorder="1" applyAlignment="1">
      <alignment horizontal="centerContinuous" vertical="center" wrapText="1"/>
    </xf>
    <xf numFmtId="167" fontId="40" fillId="11" borderId="30" xfId="0" applyNumberFormat="1" applyFont="1" applyFill="1" applyBorder="1" applyAlignment="1">
      <alignment horizontal="centerContinuous" vertical="center" wrapText="1"/>
    </xf>
    <xf numFmtId="168" fontId="41" fillId="11" borderId="14" xfId="0" applyNumberFormat="1" applyFont="1" applyFill="1" applyBorder="1" applyAlignment="1">
      <alignment horizontal="centerContinuous" vertical="center"/>
    </xf>
    <xf numFmtId="168" fontId="40" fillId="11" borderId="31" xfId="0" applyNumberFormat="1" applyFont="1" applyFill="1" applyBorder="1" applyAlignment="1">
      <alignment horizontal="centerContinuous" vertical="center" wrapText="1"/>
    </xf>
    <xf numFmtId="168" fontId="40" fillId="11" borderId="22" xfId="0" applyNumberFormat="1" applyFont="1" applyFill="1" applyBorder="1" applyAlignment="1">
      <alignment horizontal="centerContinuous" vertical="center" wrapText="1"/>
    </xf>
    <xf numFmtId="167" fontId="40" fillId="11" borderId="32" xfId="0" applyNumberFormat="1" applyFont="1" applyFill="1" applyBorder="1" applyAlignment="1">
      <alignment horizontal="centerContinuous" vertical="center" wrapText="1"/>
    </xf>
    <xf numFmtId="168" fontId="41" fillId="11" borderId="0" xfId="0" applyNumberFormat="1" applyFont="1" applyFill="1" applyAlignment="1">
      <alignment horizontal="centerContinuous" vertical="center"/>
    </xf>
    <xf numFmtId="167" fontId="40" fillId="11" borderId="22" xfId="0" applyNumberFormat="1" applyFont="1" applyFill="1" applyBorder="1" applyAlignment="1">
      <alignment horizontal="centerContinuous" vertical="center" wrapText="1"/>
    </xf>
    <xf numFmtId="0" fontId="42" fillId="0" borderId="0" xfId="0" applyFont="1" applyAlignment="1">
      <alignment vertical="center" wrapText="1"/>
    </xf>
    <xf numFmtId="0" fontId="42" fillId="11" borderId="32" xfId="0" applyFont="1" applyFill="1" applyBorder="1" applyAlignment="1">
      <alignment horizontal="centerContinuous" vertical="center" wrapText="1"/>
    </xf>
    <xf numFmtId="0" fontId="42" fillId="11" borderId="24" xfId="0" applyFont="1" applyFill="1" applyBorder="1" applyAlignment="1">
      <alignment horizontal="centerContinuous" vertical="center" wrapText="1"/>
    </xf>
    <xf numFmtId="0" fontId="23" fillId="11" borderId="22" xfId="0" applyFont="1" applyFill="1" applyBorder="1" applyAlignment="1">
      <alignment horizontal="center" vertical="top" wrapText="1"/>
    </xf>
    <xf numFmtId="1" fontId="40" fillId="11" borderId="22" xfId="0" applyNumberFormat="1" applyFont="1" applyFill="1" applyBorder="1" applyAlignment="1">
      <alignment horizontal="centerContinuous" vertical="center" wrapText="1"/>
    </xf>
    <xf numFmtId="164" fontId="29" fillId="0" borderId="23" xfId="0" applyNumberFormat="1" applyFont="1" applyBorder="1" applyAlignment="1">
      <alignment horizontal="center" vertical="top" wrapText="1"/>
    </xf>
    <xf numFmtId="169" fontId="29" fillId="0" borderId="23" xfId="0" applyNumberFormat="1" applyFont="1" applyBorder="1" applyAlignment="1">
      <alignment horizontal="center" vertical="top" wrapText="1"/>
    </xf>
    <xf numFmtId="164" fontId="29" fillId="9" borderId="33" xfId="0" applyNumberFormat="1" applyFont="1" applyFill="1" applyBorder="1" applyAlignment="1">
      <alignment horizontal="center" vertical="top" wrapText="1"/>
    </xf>
    <xf numFmtId="164" fontId="43" fillId="9" borderId="33" xfId="0" applyNumberFormat="1" applyFont="1" applyFill="1" applyBorder="1" applyAlignment="1">
      <alignment horizontal="center" vertical="top" wrapText="1"/>
    </xf>
    <xf numFmtId="167" fontId="34" fillId="0" borderId="14" xfId="0" applyNumberFormat="1" applyFont="1" applyBorder="1" applyAlignment="1">
      <alignment horizontal="center" vertical="top"/>
    </xf>
    <xf numFmtId="164" fontId="29" fillId="9" borderId="33" xfId="0" applyNumberFormat="1" applyFont="1" applyFill="1" applyBorder="1" applyAlignment="1">
      <alignment horizontal="left" vertical="top" wrapText="1"/>
    </xf>
    <xf numFmtId="165" fontId="5" fillId="9" borderId="23" xfId="0" applyNumberFormat="1" applyFont="1" applyFill="1" applyBorder="1" applyAlignment="1">
      <alignment horizontal="center" vertical="top" wrapText="1"/>
    </xf>
    <xf numFmtId="165" fontId="29" fillId="9" borderId="23" xfId="0" applyNumberFormat="1" applyFont="1" applyFill="1" applyBorder="1" applyAlignment="1">
      <alignment horizontal="center" vertical="top" wrapText="1"/>
    </xf>
    <xf numFmtId="164" fontId="38" fillId="10" borderId="34" xfId="0" applyNumberFormat="1" applyFont="1" applyFill="1" applyBorder="1" applyAlignment="1">
      <alignment horizontal="center" vertical="top" wrapText="1"/>
    </xf>
    <xf numFmtId="164" fontId="29" fillId="9" borderId="23" xfId="0" applyNumberFormat="1" applyFont="1" applyFill="1" applyBorder="1" applyAlignment="1">
      <alignment horizontal="left" vertical="top" wrapText="1"/>
    </xf>
    <xf numFmtId="164" fontId="29" fillId="9" borderId="33" xfId="0" applyNumberFormat="1" applyFont="1" applyFill="1" applyBorder="1" applyAlignment="1">
      <alignment horizontal="center" vertical="center" wrapText="1"/>
    </xf>
    <xf numFmtId="164" fontId="23" fillId="0" borderId="23" xfId="0" applyNumberFormat="1" applyFont="1" applyBorder="1" applyAlignment="1">
      <alignment horizontal="center" vertical="center" wrapText="1"/>
    </xf>
    <xf numFmtId="0" fontId="23" fillId="9" borderId="23" xfId="0" applyFont="1" applyFill="1" applyBorder="1" applyAlignment="1">
      <alignment horizontal="center" vertical="top" wrapText="1"/>
    </xf>
    <xf numFmtId="0" fontId="23" fillId="0" borderId="0" xfId="0" applyFont="1" applyAlignment="1">
      <alignment vertical="top" wrapText="1"/>
    </xf>
    <xf numFmtId="1" fontId="29" fillId="9" borderId="23" xfId="0" applyNumberFormat="1" applyFont="1" applyFill="1" applyBorder="1" applyAlignment="1">
      <alignment horizontal="center" vertical="top" wrapText="1"/>
    </xf>
    <xf numFmtId="0" fontId="29" fillId="9" borderId="23" xfId="0" applyFont="1" applyFill="1" applyBorder="1" applyAlignment="1">
      <alignment horizontal="center" vertical="top" wrapText="1"/>
    </xf>
    <xf numFmtId="170" fontId="29" fillId="9" borderId="23" xfId="0" applyNumberFormat="1" applyFont="1" applyFill="1" applyBorder="1" applyAlignment="1">
      <alignment horizontal="center" vertical="top" wrapText="1"/>
    </xf>
    <xf numFmtId="1" fontId="38" fillId="10" borderId="34" xfId="0" applyNumberFormat="1" applyFont="1" applyFill="1" applyBorder="1" applyAlignment="1">
      <alignment horizontal="center" vertical="top" wrapText="1"/>
    </xf>
    <xf numFmtId="169" fontId="29" fillId="9" borderId="23" xfId="0" applyNumberFormat="1" applyFont="1" applyFill="1" applyBorder="1" applyAlignment="1">
      <alignment horizontal="center" vertical="top" wrapText="1"/>
    </xf>
    <xf numFmtId="165" fontId="29" fillId="0" borderId="23" xfId="0" applyNumberFormat="1" applyFont="1" applyBorder="1" applyAlignment="1">
      <alignment horizontal="center" vertical="top" wrapText="1"/>
    </xf>
    <xf numFmtId="171" fontId="23" fillId="0" borderId="0" xfId="0" applyNumberFormat="1" applyFont="1" applyAlignment="1">
      <alignment vertical="top" wrapText="1"/>
    </xf>
    <xf numFmtId="172" fontId="29" fillId="9" borderId="23" xfId="0" applyNumberFormat="1" applyFont="1" applyFill="1" applyBorder="1" applyAlignment="1">
      <alignment horizontal="center" vertical="top" wrapText="1"/>
    </xf>
    <xf numFmtId="164" fontId="29" fillId="6" borderId="33" xfId="0" applyNumberFormat="1" applyFont="1" applyFill="1" applyBorder="1" applyAlignment="1">
      <alignment horizontal="left" vertical="top" wrapText="1"/>
    </xf>
    <xf numFmtId="169" fontId="29" fillId="6" borderId="23" xfId="0" applyNumberFormat="1" applyFont="1" applyFill="1" applyBorder="1" applyAlignment="1">
      <alignment horizontal="center" vertical="top" wrapText="1"/>
    </xf>
    <xf numFmtId="165" fontId="29" fillId="6" borderId="23" xfId="0" applyNumberFormat="1" applyFont="1" applyFill="1" applyBorder="1" applyAlignment="1">
      <alignment horizontal="center" vertical="top" wrapText="1"/>
    </xf>
    <xf numFmtId="169" fontId="29" fillId="12" borderId="23" xfId="0" applyNumberFormat="1" applyFont="1" applyFill="1" applyBorder="1" applyAlignment="1">
      <alignment horizontal="center" vertical="top" wrapText="1"/>
    </xf>
    <xf numFmtId="169" fontId="34" fillId="12" borderId="23" xfId="0" applyNumberFormat="1" applyFont="1" applyFill="1" applyBorder="1" applyAlignment="1">
      <alignment horizontal="center" vertical="top" wrapText="1"/>
    </xf>
    <xf numFmtId="169" fontId="36" fillId="12" borderId="23" xfId="0" applyNumberFormat="1" applyFont="1" applyFill="1" applyBorder="1" applyAlignment="1">
      <alignment horizontal="center" vertical="top" wrapText="1"/>
    </xf>
    <xf numFmtId="0" fontId="12" fillId="0" borderId="0" xfId="0" applyFont="1" applyAlignment="1">
      <alignment vertical="center" wrapText="1"/>
    </xf>
    <xf numFmtId="0" fontId="31" fillId="0" borderId="0" xfId="0" applyFont="1" applyAlignment="1">
      <alignment horizontal="center"/>
    </xf>
    <xf numFmtId="0" fontId="31" fillId="0" borderId="0" xfId="0" applyFont="1" applyAlignment="1">
      <alignment horizontal="center" wrapText="1"/>
    </xf>
    <xf numFmtId="0" fontId="31" fillId="0" borderId="0" xfId="0" applyFont="1"/>
    <xf numFmtId="167" fontId="31" fillId="0" borderId="0" xfId="0" applyNumberFormat="1" applyFont="1" applyAlignment="1">
      <alignment horizontal="center"/>
    </xf>
    <xf numFmtId="167" fontId="31" fillId="0" borderId="0" xfId="0" applyNumberFormat="1" applyFont="1"/>
    <xf numFmtId="0" fontId="45" fillId="0" borderId="0" xfId="0" applyFont="1"/>
    <xf numFmtId="0" fontId="34" fillId="2" borderId="35" xfId="0" applyFont="1" applyFill="1" applyBorder="1" applyAlignment="1">
      <alignment horizontal="centerContinuous" vertical="center"/>
    </xf>
    <xf numFmtId="0" fontId="46" fillId="0" borderId="0" xfId="0" applyFont="1"/>
    <xf numFmtId="0" fontId="46" fillId="0" borderId="0" xfId="0" applyFont="1" applyAlignment="1">
      <alignment wrapText="1"/>
    </xf>
    <xf numFmtId="0" fontId="15" fillId="0" borderId="0" xfId="0" applyFont="1"/>
    <xf numFmtId="0" fontId="15" fillId="0" borderId="0" xfId="0" applyFont="1" applyAlignment="1">
      <alignment horizontal="center"/>
    </xf>
    <xf numFmtId="0" fontId="47" fillId="0" borderId="0" xfId="0" applyFont="1"/>
    <xf numFmtId="0" fontId="12" fillId="2" borderId="35" xfId="0" applyFont="1" applyFill="1" applyBorder="1" applyAlignment="1">
      <alignment horizontal="centerContinuous" vertical="center" wrapText="1"/>
    </xf>
    <xf numFmtId="0" fontId="48" fillId="0" borderId="0" xfId="0" applyFont="1" applyAlignment="1">
      <alignment vertical="top"/>
    </xf>
    <xf numFmtId="0" fontId="48" fillId="0" borderId="0" xfId="0" applyFont="1" applyAlignment="1">
      <alignment vertical="top" wrapText="1"/>
    </xf>
    <xf numFmtId="0" fontId="49" fillId="0" borderId="0" xfId="0" applyFont="1" applyAlignment="1">
      <alignment vertical="top"/>
    </xf>
    <xf numFmtId="0" fontId="49" fillId="0" borderId="0" xfId="0" applyFont="1" applyAlignment="1">
      <alignment horizontal="center" vertical="top"/>
    </xf>
    <xf numFmtId="0" fontId="50" fillId="0" borderId="0" xfId="0" applyFont="1" applyAlignment="1">
      <alignment vertical="top"/>
    </xf>
    <xf numFmtId="167" fontId="51" fillId="13" borderId="8" xfId="0" applyNumberFormat="1" applyFont="1" applyFill="1" applyBorder="1" applyAlignment="1">
      <alignment horizontal="center" vertical="center" wrapText="1"/>
    </xf>
    <xf numFmtId="49" fontId="36" fillId="0" borderId="0" xfId="0" applyNumberFormat="1" applyFont="1" applyAlignment="1">
      <alignment horizontal="left" vertical="center"/>
    </xf>
    <xf numFmtId="49" fontId="36" fillId="0" borderId="0" xfId="0" applyNumberFormat="1" applyFont="1" applyAlignment="1">
      <alignment horizontal="left" vertical="center" wrapText="1"/>
    </xf>
    <xf numFmtId="0" fontId="23" fillId="0" borderId="0" xfId="0" applyFont="1" applyAlignment="1">
      <alignment horizontal="center"/>
    </xf>
    <xf numFmtId="0" fontId="23" fillId="0" borderId="0" xfId="0" applyFont="1"/>
    <xf numFmtId="167" fontId="16" fillId="0" borderId="0" xfId="0" applyNumberFormat="1" applyFont="1" applyAlignment="1">
      <alignment horizontal="center" vertical="center"/>
    </xf>
    <xf numFmtId="0" fontId="16" fillId="0" borderId="0" xfId="0" applyFont="1" applyAlignment="1">
      <alignment horizontal="center" vertical="center"/>
    </xf>
    <xf numFmtId="167" fontId="16" fillId="0" borderId="0" xfId="0" applyNumberFormat="1" applyFont="1" applyAlignment="1">
      <alignment horizontal="left" vertical="center"/>
    </xf>
    <xf numFmtId="0" fontId="52" fillId="0" borderId="0" xfId="0" applyFont="1"/>
    <xf numFmtId="167" fontId="51" fillId="0" borderId="8" xfId="0" applyNumberFormat="1" applyFont="1" applyBorder="1" applyAlignment="1">
      <alignment horizontal="center" vertical="center" wrapText="1"/>
    </xf>
    <xf numFmtId="0" fontId="53" fillId="0" borderId="0" xfId="0" applyFont="1" applyAlignment="1">
      <alignment horizontal="left" vertical="center"/>
    </xf>
    <xf numFmtId="0" fontId="53" fillId="0" borderId="0" xfId="0" applyFont="1" applyAlignment="1">
      <alignment horizontal="left" vertical="center" wrapText="1"/>
    </xf>
    <xf numFmtId="0" fontId="29" fillId="0" borderId="0" xfId="0" applyFont="1" applyAlignment="1">
      <alignment horizontal="left" vertical="center"/>
    </xf>
    <xf numFmtId="0" fontId="53" fillId="0" borderId="0" xfId="0" quotePrefix="1" applyFont="1" applyAlignment="1" applyProtection="1">
      <alignment vertical="center"/>
      <protection locked="0"/>
    </xf>
    <xf numFmtId="0" fontId="21" fillId="0" borderId="0" xfId="0" applyFont="1" applyAlignment="1" applyProtection="1">
      <alignment vertical="center"/>
      <protection locked="0"/>
    </xf>
    <xf numFmtId="0" fontId="27" fillId="0" borderId="0" xfId="0" applyFont="1" applyAlignment="1">
      <alignment vertical="center"/>
    </xf>
    <xf numFmtId="167" fontId="27" fillId="0" borderId="0" xfId="0" applyNumberFormat="1" applyFont="1" applyAlignment="1">
      <alignment horizontal="center" vertical="center"/>
    </xf>
    <xf numFmtId="167" fontId="27" fillId="0" borderId="0" xfId="0" applyNumberFormat="1" applyFont="1" applyAlignment="1">
      <alignment vertical="center"/>
    </xf>
    <xf numFmtId="0" fontId="54" fillId="0" borderId="0" xfId="0" applyFont="1" applyAlignment="1">
      <alignment horizontal="center" vertical="center"/>
    </xf>
    <xf numFmtId="167" fontId="23" fillId="0" borderId="8" xfId="0" applyNumberFormat="1" applyFont="1" applyBorder="1" applyAlignment="1" applyProtection="1">
      <alignment horizontal="center" vertical="center"/>
      <protection locked="0"/>
    </xf>
    <xf numFmtId="0" fontId="53" fillId="0" borderId="0" xfId="0" applyFont="1" applyAlignment="1">
      <alignment vertical="center"/>
    </xf>
    <xf numFmtId="0" fontId="53" fillId="0" borderId="0" xfId="0" applyFont="1" applyAlignment="1">
      <alignment vertical="center" wrapText="1"/>
    </xf>
    <xf numFmtId="0" fontId="29" fillId="0" borderId="0" xfId="0" applyFont="1" applyAlignment="1">
      <alignment vertical="center" wrapText="1"/>
    </xf>
    <xf numFmtId="0" fontId="53" fillId="0" borderId="0" xfId="0" applyFont="1" applyAlignment="1" applyProtection="1">
      <alignment vertical="center"/>
      <protection locked="0"/>
    </xf>
    <xf numFmtId="0" fontId="32" fillId="0" borderId="0" xfId="0" applyFont="1" applyAlignment="1" applyProtection="1">
      <alignment vertical="center"/>
      <protection locked="0"/>
    </xf>
    <xf numFmtId="0" fontId="27" fillId="0" borderId="0" xfId="0" applyFont="1" applyAlignment="1">
      <alignment vertical="center" wrapText="1"/>
    </xf>
    <xf numFmtId="167" fontId="27" fillId="0" borderId="0" xfId="0" applyNumberFormat="1" applyFont="1" applyAlignment="1">
      <alignment horizontal="center" vertical="center" wrapText="1"/>
    </xf>
    <xf numFmtId="167" fontId="27" fillId="0" borderId="0" xfId="0" applyNumberFormat="1" applyFont="1" applyAlignment="1">
      <alignment vertical="center" wrapText="1"/>
    </xf>
    <xf numFmtId="0" fontId="27" fillId="0" borderId="0" xfId="0" applyFont="1" applyAlignment="1">
      <alignment horizontal="center" vertical="center" wrapText="1"/>
    </xf>
    <xf numFmtId="0" fontId="54" fillId="0" borderId="0" xfId="0" applyFont="1" applyAlignment="1">
      <alignment horizontal="center" vertical="center" wrapText="1"/>
    </xf>
    <xf numFmtId="0" fontId="34" fillId="0" borderId="8" xfId="0" applyFont="1" applyBorder="1" applyAlignment="1" applyProtection="1">
      <alignment horizontal="center" vertical="center"/>
      <protection locked="0"/>
    </xf>
    <xf numFmtId="0" fontId="26" fillId="0" borderId="0" xfId="0" applyFont="1" applyAlignment="1">
      <alignment horizontal="left" vertical="center"/>
    </xf>
    <xf numFmtId="0" fontId="26" fillId="0" borderId="0" xfId="0" applyFont="1" applyAlignment="1">
      <alignment horizontal="center" vertical="center"/>
    </xf>
    <xf numFmtId="167" fontId="27" fillId="0" borderId="0" xfId="0" applyNumberFormat="1" applyFont="1" applyAlignment="1">
      <alignment horizontal="center"/>
    </xf>
    <xf numFmtId="0" fontId="27" fillId="0" borderId="0" xfId="0" applyFont="1" applyAlignment="1">
      <alignment horizontal="left"/>
    </xf>
    <xf numFmtId="0" fontId="27" fillId="0" borderId="0" xfId="0" applyFont="1" applyAlignment="1">
      <alignment horizontal="left" indent="1"/>
    </xf>
    <xf numFmtId="0" fontId="27" fillId="0" borderId="0" xfId="0" applyFont="1" applyAlignment="1">
      <alignment horizontal="center"/>
    </xf>
    <xf numFmtId="167" fontId="27" fillId="0" borderId="0" xfId="0" applyNumberFormat="1" applyFont="1" applyAlignment="1">
      <alignment horizontal="left" indent="1"/>
    </xf>
    <xf numFmtId="0" fontId="54" fillId="0" borderId="0" xfId="0" applyFont="1" applyAlignment="1">
      <alignment horizontal="center"/>
    </xf>
    <xf numFmtId="0" fontId="27" fillId="0" borderId="0" xfId="0" applyFont="1"/>
    <xf numFmtId="167" fontId="29" fillId="0" borderId="0" xfId="0" applyNumberFormat="1" applyFont="1" applyAlignment="1">
      <alignment horizontal="left" vertical="center"/>
    </xf>
    <xf numFmtId="0" fontId="37" fillId="12" borderId="36" xfId="0" applyFont="1" applyFill="1" applyBorder="1" applyAlignment="1">
      <alignment horizontal="centerContinuous" vertical="center"/>
    </xf>
    <xf numFmtId="0" fontId="27" fillId="12" borderId="0" xfId="0" applyFont="1" applyFill="1" applyAlignment="1">
      <alignment horizontal="centerContinuous"/>
    </xf>
    <xf numFmtId="167" fontId="27" fillId="12" borderId="0" xfId="0" applyNumberFormat="1" applyFont="1" applyFill="1" applyAlignment="1">
      <alignment horizontal="centerContinuous"/>
    </xf>
    <xf numFmtId="0" fontId="37" fillId="12" borderId="0" xfId="0" applyFont="1" applyFill="1" applyAlignment="1">
      <alignment horizontal="centerContinuous" vertical="center"/>
    </xf>
    <xf numFmtId="0" fontId="34" fillId="2" borderId="8" xfId="0" applyFont="1" applyFill="1" applyBorder="1" applyAlignment="1">
      <alignment horizontal="centerContinuous" vertical="center" wrapText="1"/>
    </xf>
    <xf numFmtId="0" fontId="34" fillId="2" borderId="37" xfId="0" applyFont="1" applyFill="1" applyBorder="1" applyAlignment="1">
      <alignment horizontal="centerContinuous" vertical="center" wrapText="1"/>
    </xf>
    <xf numFmtId="0" fontId="34" fillId="2" borderId="35" xfId="0" applyFont="1" applyFill="1" applyBorder="1" applyAlignment="1">
      <alignment horizontal="centerContinuous" vertical="center" wrapText="1"/>
    </xf>
    <xf numFmtId="0" fontId="34" fillId="2" borderId="36" xfId="0" applyFont="1" applyFill="1" applyBorder="1" applyAlignment="1">
      <alignment horizontal="centerContinuous" vertical="center"/>
    </xf>
    <xf numFmtId="0" fontId="34" fillId="2" borderId="37" xfId="0" applyFont="1" applyFill="1" applyBorder="1" applyAlignment="1">
      <alignment horizontal="centerContinuous" vertical="center"/>
    </xf>
    <xf numFmtId="0" fontId="34" fillId="2" borderId="36" xfId="0" applyFont="1" applyFill="1" applyBorder="1" applyAlignment="1">
      <alignment horizontal="centerContinuous" vertical="center" wrapText="1"/>
    </xf>
    <xf numFmtId="0" fontId="34" fillId="2" borderId="36" xfId="0" applyFont="1" applyFill="1" applyBorder="1" applyAlignment="1">
      <alignment horizontal="center" vertical="center" wrapText="1"/>
    </xf>
    <xf numFmtId="0" fontId="34" fillId="2" borderId="0" xfId="0" applyFont="1" applyFill="1" applyAlignment="1">
      <alignment horizontal="center" vertical="center" wrapText="1"/>
    </xf>
    <xf numFmtId="0" fontId="34" fillId="0" borderId="0" xfId="0" applyFont="1" applyAlignment="1">
      <alignment horizontal="center" vertical="center" wrapText="1"/>
    </xf>
    <xf numFmtId="0" fontId="34" fillId="2" borderId="0" xfId="0" applyFont="1" applyFill="1" applyAlignment="1">
      <alignment horizontal="centerContinuous" vertical="center" wrapText="1"/>
    </xf>
    <xf numFmtId="0" fontId="55" fillId="2" borderId="0" xfId="0" applyFont="1" applyFill="1" applyAlignment="1">
      <alignment horizontal="centerContinuous" vertical="center" wrapText="1"/>
    </xf>
    <xf numFmtId="0" fontId="37" fillId="0" borderId="0" xfId="0" applyFont="1" applyAlignment="1">
      <alignment horizontal="center"/>
    </xf>
    <xf numFmtId="0" fontId="34" fillId="2" borderId="0" xfId="0" applyFont="1" applyFill="1" applyAlignment="1">
      <alignment horizontal="centerContinuous" vertical="center"/>
    </xf>
    <xf numFmtId="0" fontId="37" fillId="2" borderId="0" xfId="0" applyFont="1" applyFill="1" applyAlignment="1">
      <alignment horizontal="centerContinuous"/>
    </xf>
    <xf numFmtId="0" fontId="37" fillId="2" borderId="0" xfId="0" applyFont="1" applyFill="1" applyAlignment="1">
      <alignment horizontal="centerContinuous" vertical="center"/>
    </xf>
    <xf numFmtId="0" fontId="34" fillId="0" borderId="0" xfId="0" applyFont="1" applyAlignment="1">
      <alignment horizontal="center"/>
    </xf>
    <xf numFmtId="0" fontId="37" fillId="0" borderId="0" xfId="0" applyFont="1"/>
    <xf numFmtId="167" fontId="34" fillId="2" borderId="8" xfId="0" applyNumberFormat="1"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8" xfId="0" applyFont="1" applyFill="1" applyBorder="1" applyAlignment="1">
      <alignment horizontal="centerContinuous" vertical="center" wrapText="1"/>
    </xf>
    <xf numFmtId="0" fontId="34" fillId="2" borderId="8" xfId="0" applyFont="1" applyFill="1" applyBorder="1" applyAlignment="1">
      <alignment horizontal="centerContinuous" vertical="center"/>
    </xf>
    <xf numFmtId="0" fontId="12" fillId="0" borderId="38" xfId="0" applyFont="1" applyBorder="1" applyAlignment="1">
      <alignment horizontal="center" vertical="center" wrapText="1"/>
    </xf>
    <xf numFmtId="167" fontId="51" fillId="13" borderId="17" xfId="0" applyNumberFormat="1" applyFont="1" applyFill="1" applyBorder="1" applyAlignment="1">
      <alignment horizontal="center" vertical="center"/>
    </xf>
    <xf numFmtId="0" fontId="51" fillId="13" borderId="17" xfId="0" applyFont="1" applyFill="1" applyBorder="1" applyAlignment="1">
      <alignment horizontal="center" vertical="center"/>
    </xf>
    <xf numFmtId="167" fontId="51" fillId="13" borderId="17" xfId="0" applyNumberFormat="1" applyFont="1" applyFill="1" applyBorder="1" applyAlignment="1">
      <alignment horizontal="center" vertical="center" wrapText="1"/>
    </xf>
    <xf numFmtId="0" fontId="51" fillId="13" borderId="17" xfId="0" applyFont="1" applyFill="1" applyBorder="1" applyAlignment="1">
      <alignment horizontal="center" vertical="center" wrapText="1"/>
    </xf>
    <xf numFmtId="0" fontId="51" fillId="13"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8" xfId="0" applyFont="1" applyBorder="1" applyAlignment="1">
      <alignment horizontal="center" vertical="center"/>
    </xf>
    <xf numFmtId="167" fontId="51" fillId="0" borderId="8" xfId="0" applyNumberFormat="1" applyFont="1" applyBorder="1" applyAlignment="1">
      <alignment horizontal="center" vertical="center"/>
    </xf>
    <xf numFmtId="0" fontId="51" fillId="0" borderId="8" xfId="0" applyFont="1" applyBorder="1" applyAlignment="1">
      <alignment horizontal="center" vertical="center"/>
    </xf>
    <xf numFmtId="0" fontId="51" fillId="0" borderId="8" xfId="0" applyFont="1" applyBorder="1" applyAlignment="1">
      <alignment horizontal="center" vertical="center" wrapText="1"/>
    </xf>
    <xf numFmtId="0" fontId="23" fillId="0" borderId="8" xfId="0" applyFont="1" applyBorder="1" applyAlignment="1" applyProtection="1">
      <alignment vertical="top" wrapText="1"/>
      <protection locked="0"/>
    </xf>
    <xf numFmtId="0" fontId="43" fillId="0" borderId="8" xfId="0" applyFont="1" applyBorder="1" applyAlignment="1">
      <alignment horizontal="center" vertical="center" wrapText="1"/>
    </xf>
    <xf numFmtId="0" fontId="37" fillId="0" borderId="8" xfId="0" applyFont="1" applyBorder="1"/>
    <xf numFmtId="170" fontId="23" fillId="0" borderId="8" xfId="0" applyNumberFormat="1" applyFont="1" applyBorder="1" applyAlignment="1">
      <alignment horizontal="center" vertical="center" wrapText="1"/>
    </xf>
    <xf numFmtId="0" fontId="34" fillId="0" borderId="8" xfId="0" applyFont="1" applyBorder="1" applyAlignment="1">
      <alignment horizontal="center"/>
    </xf>
    <xf numFmtId="167" fontId="31" fillId="0" borderId="8" xfId="0" applyNumberFormat="1" applyFont="1" applyBorder="1" applyAlignment="1">
      <alignment horizontal="center"/>
    </xf>
    <xf numFmtId="173" fontId="23" fillId="0" borderId="8" xfId="0" applyNumberFormat="1" applyFont="1" applyBorder="1" applyAlignment="1" applyProtection="1">
      <alignment horizontal="center" vertical="center"/>
      <protection locked="0"/>
    </xf>
    <xf numFmtId="173" fontId="23" fillId="0" borderId="8" xfId="0" applyNumberFormat="1" applyFont="1" applyBorder="1" applyAlignment="1" applyProtection="1">
      <alignment horizontal="center" vertical="center" wrapText="1"/>
      <protection locked="0"/>
    </xf>
    <xf numFmtId="0" fontId="23" fillId="0" borderId="8" xfId="0" applyFont="1" applyBorder="1" applyAlignment="1" applyProtection="1">
      <alignment horizontal="left" vertical="center" wrapText="1"/>
      <protection locked="0"/>
    </xf>
    <xf numFmtId="0" fontId="23" fillId="0" borderId="8" xfId="0" applyFont="1" applyBorder="1" applyAlignment="1" applyProtection="1">
      <alignment horizontal="center" vertical="center" wrapText="1"/>
      <protection locked="0"/>
    </xf>
    <xf numFmtId="164" fontId="23" fillId="13" borderId="8" xfId="0" applyNumberFormat="1" applyFont="1" applyFill="1" applyBorder="1" applyAlignment="1" applyProtection="1">
      <alignment horizontal="center" vertical="center" wrapText="1"/>
      <protection locked="0"/>
    </xf>
    <xf numFmtId="0" fontId="23" fillId="14" borderId="8" xfId="0" applyFont="1" applyFill="1" applyBorder="1" applyAlignment="1">
      <alignment horizontal="center" vertical="center" wrapText="1"/>
    </xf>
    <xf numFmtId="167" fontId="23" fillId="0" borderId="8" xfId="0" applyNumberFormat="1" applyFont="1" applyBorder="1" applyAlignment="1" applyProtection="1">
      <alignment horizontal="center" vertical="top"/>
      <protection locked="0"/>
    </xf>
    <xf numFmtId="3" fontId="23" fillId="13" borderId="8" xfId="0" applyNumberFormat="1" applyFont="1" applyFill="1" applyBorder="1" applyAlignment="1" applyProtection="1">
      <alignment horizontal="center" vertical="top"/>
      <protection locked="0"/>
    </xf>
    <xf numFmtId="0" fontId="23" fillId="13" borderId="8" xfId="0" applyFont="1" applyFill="1" applyBorder="1" applyAlignment="1" applyProtection="1">
      <alignment horizontal="center" vertical="top"/>
      <protection locked="0"/>
    </xf>
    <xf numFmtId="0" fontId="23" fillId="0" borderId="8" xfId="0" applyFont="1" applyBorder="1" applyAlignment="1" applyProtection="1">
      <alignment vertical="top"/>
      <protection locked="0"/>
    </xf>
    <xf numFmtId="0" fontId="23" fillId="0" borderId="8" xfId="0" applyFont="1" applyBorder="1" applyAlignment="1" applyProtection="1">
      <alignment horizontal="center" vertical="top"/>
      <protection locked="0"/>
    </xf>
    <xf numFmtId="0" fontId="23" fillId="0" borderId="8" xfId="0" applyFont="1" applyBorder="1" applyAlignment="1" applyProtection="1">
      <alignment horizontal="center" vertical="center"/>
      <protection locked="0"/>
    </xf>
    <xf numFmtId="167" fontId="23" fillId="0" borderId="8" xfId="0" applyNumberFormat="1" applyFont="1" applyBorder="1" applyAlignment="1" applyProtection="1">
      <alignment horizontal="center" vertical="center" wrapText="1"/>
      <protection locked="0"/>
    </xf>
    <xf numFmtId="174" fontId="23" fillId="13" borderId="8" xfId="0" applyNumberFormat="1" applyFont="1" applyFill="1" applyBorder="1" applyAlignment="1" applyProtection="1">
      <alignment vertical="top"/>
      <protection locked="0"/>
    </xf>
    <xf numFmtId="0" fontId="23" fillId="13" borderId="8" xfId="0" applyFont="1" applyFill="1" applyBorder="1" applyAlignment="1" applyProtection="1">
      <alignment horizontal="center" vertical="center"/>
      <protection locked="0"/>
    </xf>
    <xf numFmtId="167" fontId="23" fillId="13" borderId="8" xfId="0" applyNumberFormat="1" applyFont="1" applyFill="1" applyBorder="1" applyAlignment="1" applyProtection="1">
      <alignment horizontal="center" vertical="top"/>
      <protection locked="0"/>
    </xf>
    <xf numFmtId="0" fontId="23" fillId="13" borderId="8" xfId="0" applyFont="1" applyFill="1" applyBorder="1" applyAlignment="1" applyProtection="1">
      <alignment vertical="top"/>
      <protection locked="0"/>
    </xf>
    <xf numFmtId="167" fontId="23" fillId="13" borderId="8" xfId="0" applyNumberFormat="1" applyFont="1" applyFill="1" applyBorder="1" applyAlignment="1" applyProtection="1">
      <alignment vertical="top"/>
      <protection locked="0"/>
    </xf>
    <xf numFmtId="175" fontId="23" fillId="0" borderId="8" xfId="0" applyNumberFormat="1" applyFont="1" applyBorder="1" applyAlignment="1" applyProtection="1">
      <alignment horizontal="center" vertical="center" wrapText="1"/>
      <protection locked="0"/>
    </xf>
    <xf numFmtId="1" fontId="58" fillId="0" borderId="8" xfId="0" applyNumberFormat="1" applyFont="1" applyBorder="1" applyAlignment="1">
      <alignment horizontal="center" vertical="center"/>
    </xf>
    <xf numFmtId="164" fontId="58" fillId="0" borderId="8" xfId="0" applyNumberFormat="1" applyFont="1" applyBorder="1" applyAlignment="1">
      <alignment horizontal="center" vertical="center"/>
    </xf>
    <xf numFmtId="0" fontId="23" fillId="0" borderId="8" xfId="0" applyFont="1" applyBorder="1" applyAlignment="1">
      <alignment vertical="top" wrapText="1"/>
    </xf>
    <xf numFmtId="0" fontId="23" fillId="0" borderId="8" xfId="0" applyFont="1" applyBorder="1" applyAlignment="1">
      <alignment horizontal="center" vertical="center" wrapText="1"/>
    </xf>
    <xf numFmtId="0" fontId="58" fillId="0" borderId="8" xfId="0" applyFont="1" applyBorder="1" applyAlignment="1">
      <alignment horizontal="center" vertical="center" wrapText="1"/>
    </xf>
    <xf numFmtId="0" fontId="29" fillId="0" borderId="8" xfId="0" applyFont="1" applyBorder="1" applyAlignment="1">
      <alignment vertical="top" wrapText="1"/>
    </xf>
    <xf numFmtId="0" fontId="23" fillId="0" borderId="8" xfId="0" applyFont="1" applyBorder="1" applyAlignment="1">
      <alignment horizontal="center" vertical="top" wrapText="1"/>
    </xf>
    <xf numFmtId="167" fontId="23" fillId="0" borderId="8" xfId="0" applyNumberFormat="1" applyFont="1" applyBorder="1" applyAlignment="1">
      <alignment vertical="center"/>
    </xf>
    <xf numFmtId="165" fontId="23" fillId="0" borderId="8" xfId="0" applyNumberFormat="1" applyFont="1" applyBorder="1" applyAlignment="1">
      <alignment horizontal="center" vertical="center" wrapText="1"/>
    </xf>
    <xf numFmtId="167" fontId="31" fillId="0" borderId="8" xfId="0" applyNumberFormat="1" applyFont="1" applyBorder="1" applyAlignment="1">
      <alignment horizontal="center" vertical="center"/>
    </xf>
    <xf numFmtId="0" fontId="23" fillId="0" borderId="0" xfId="0" applyFont="1" applyAlignment="1">
      <alignment vertical="top"/>
    </xf>
    <xf numFmtId="0" fontId="23" fillId="0" borderId="8" xfId="0" applyFont="1" applyBorder="1" applyAlignment="1" applyProtection="1">
      <alignment vertical="center" wrapText="1"/>
      <protection locked="0"/>
    </xf>
    <xf numFmtId="0" fontId="23" fillId="13" borderId="8" xfId="0" applyFont="1" applyFill="1" applyBorder="1" applyAlignment="1" applyProtection="1">
      <alignment horizontal="left" vertical="top" wrapText="1"/>
      <protection locked="0"/>
    </xf>
    <xf numFmtId="0" fontId="23" fillId="13" borderId="8" xfId="0" applyFont="1" applyFill="1" applyBorder="1" applyAlignment="1" applyProtection="1">
      <alignment horizontal="center" vertical="center" wrapText="1"/>
      <protection locked="0"/>
    </xf>
    <xf numFmtId="167" fontId="23" fillId="13" borderId="8" xfId="0" applyNumberFormat="1" applyFont="1" applyFill="1" applyBorder="1" applyAlignment="1" applyProtection="1">
      <alignment horizontal="center" vertical="center"/>
      <protection locked="0"/>
    </xf>
    <xf numFmtId="167" fontId="23" fillId="13" borderId="8" xfId="0" applyNumberFormat="1" applyFont="1" applyFill="1" applyBorder="1" applyAlignment="1" applyProtection="1">
      <alignment horizontal="center" vertical="center" wrapText="1"/>
      <protection locked="0"/>
    </xf>
    <xf numFmtId="174" fontId="23" fillId="0" borderId="8" xfId="0" applyNumberFormat="1" applyFont="1" applyBorder="1" applyAlignment="1" applyProtection="1">
      <alignment horizontal="center" vertical="center"/>
      <protection locked="0"/>
    </xf>
    <xf numFmtId="174" fontId="23" fillId="0" borderId="8" xfId="0" applyNumberFormat="1" applyFont="1" applyBorder="1" applyAlignment="1" applyProtection="1">
      <alignment vertical="top"/>
      <protection locked="0"/>
    </xf>
    <xf numFmtId="0" fontId="23" fillId="6" borderId="8" xfId="0" applyFont="1" applyFill="1" applyBorder="1" applyAlignment="1" applyProtection="1">
      <alignment horizontal="center" vertical="center" wrapText="1"/>
      <protection locked="0"/>
    </xf>
    <xf numFmtId="167" fontId="23" fillId="6" borderId="8" xfId="0" applyNumberFormat="1" applyFont="1" applyFill="1" applyBorder="1" applyAlignment="1" applyProtection="1">
      <alignment vertical="center"/>
      <protection locked="0"/>
    </xf>
    <xf numFmtId="0" fontId="23" fillId="0" borderId="8" xfId="2" applyFont="1" applyBorder="1" applyAlignment="1">
      <alignment horizontal="center" vertical="center" wrapText="1"/>
    </xf>
    <xf numFmtId="170" fontId="23" fillId="6" borderId="8" xfId="0" applyNumberFormat="1" applyFont="1" applyFill="1" applyBorder="1" applyAlignment="1">
      <alignment horizontal="center" vertical="center" wrapText="1"/>
    </xf>
    <xf numFmtId="0" fontId="29" fillId="0" borderId="8" xfId="0" applyFont="1" applyBorder="1" applyAlignment="1" applyProtection="1">
      <alignment horizontal="left" vertical="center" wrapText="1"/>
      <protection locked="0"/>
    </xf>
    <xf numFmtId="0" fontId="23" fillId="0" borderId="8" xfId="0" applyFont="1" applyBorder="1" applyAlignment="1" applyProtection="1">
      <alignment vertical="center"/>
      <protection locked="0"/>
    </xf>
    <xf numFmtId="174" fontId="23" fillId="13" borderId="8" xfId="0" applyNumberFormat="1" applyFont="1" applyFill="1" applyBorder="1" applyAlignment="1" applyProtection="1">
      <alignment vertical="center"/>
      <protection locked="0"/>
    </xf>
    <xf numFmtId="0" fontId="23" fillId="13" borderId="8" xfId="0" applyFont="1" applyFill="1" applyBorder="1" applyAlignment="1" applyProtection="1">
      <alignment vertical="center"/>
      <protection locked="0"/>
    </xf>
    <xf numFmtId="167" fontId="23" fillId="13" borderId="8" xfId="0" applyNumberFormat="1" applyFont="1" applyFill="1" applyBorder="1" applyAlignment="1" applyProtection="1">
      <alignment vertical="center"/>
      <protection locked="0"/>
    </xf>
    <xf numFmtId="0" fontId="23" fillId="13" borderId="8" xfId="0" applyFont="1" applyFill="1" applyBorder="1" applyAlignment="1" applyProtection="1">
      <alignment horizontal="left" vertical="top"/>
      <protection locked="0"/>
    </xf>
    <xf numFmtId="176" fontId="23" fillId="13" borderId="8" xfId="0" applyNumberFormat="1" applyFont="1" applyFill="1" applyBorder="1" applyAlignment="1" applyProtection="1">
      <alignment horizontal="center" vertical="top"/>
      <protection locked="0"/>
    </xf>
    <xf numFmtId="43" fontId="23" fillId="0" borderId="8" xfId="1" applyFont="1" applyFill="1" applyBorder="1" applyAlignment="1" applyProtection="1">
      <alignment horizontal="center" vertical="center"/>
      <protection locked="0"/>
    </xf>
    <xf numFmtId="177" fontId="23" fillId="0" borderId="8" xfId="0" applyNumberFormat="1" applyFont="1" applyBorder="1" applyAlignment="1" applyProtection="1">
      <alignment horizontal="center" vertical="center"/>
      <protection locked="0"/>
    </xf>
    <xf numFmtId="167" fontId="23" fillId="0" borderId="8" xfId="0" applyNumberFormat="1" applyFont="1" applyBorder="1" applyAlignment="1" applyProtection="1">
      <alignment horizontal="left" vertical="top" wrapText="1"/>
      <protection locked="0"/>
    </xf>
    <xf numFmtId="3" fontId="23" fillId="13" borderId="8" xfId="0" applyNumberFormat="1" applyFont="1" applyFill="1" applyBorder="1" applyAlignment="1" applyProtection="1">
      <alignment horizontal="center" vertical="center"/>
      <protection locked="0"/>
    </xf>
    <xf numFmtId="174" fontId="23" fillId="13" borderId="8" xfId="0" applyNumberFormat="1" applyFont="1" applyFill="1" applyBorder="1" applyAlignment="1" applyProtection="1">
      <alignment horizontal="center" vertical="center"/>
      <protection locked="0"/>
    </xf>
    <xf numFmtId="0" fontId="23" fillId="13" borderId="8" xfId="0" applyFont="1" applyFill="1" applyBorder="1" applyAlignment="1" applyProtection="1">
      <alignment horizontal="left" vertical="center" wrapText="1"/>
      <protection locked="0"/>
    </xf>
    <xf numFmtId="0" fontId="23" fillId="0" borderId="8" xfId="0" applyFont="1" applyBorder="1" applyAlignment="1">
      <alignment vertical="center"/>
    </xf>
    <xf numFmtId="0" fontId="29" fillId="0" borderId="8" xfId="2" applyFont="1" applyBorder="1" applyAlignment="1">
      <alignment horizontal="center" vertical="center" wrapText="1"/>
    </xf>
    <xf numFmtId="0" fontId="29" fillId="0" borderId="8" xfId="0" applyFont="1" applyBorder="1" applyAlignment="1">
      <alignment vertical="center" wrapText="1"/>
    </xf>
    <xf numFmtId="0" fontId="23" fillId="0" borderId="0" xfId="0" applyFont="1" applyAlignment="1">
      <alignment vertical="center"/>
    </xf>
    <xf numFmtId="0" fontId="23" fillId="0" borderId="8" xfId="0" applyFont="1" applyBorder="1" applyAlignment="1" applyProtection="1">
      <alignment horizontal="left" vertical="top" wrapText="1"/>
      <protection locked="0"/>
    </xf>
    <xf numFmtId="167" fontId="23" fillId="0" borderId="8" xfId="0" applyNumberFormat="1" applyFont="1" applyBorder="1" applyAlignment="1" applyProtection="1">
      <alignment vertical="top"/>
      <protection locked="0"/>
    </xf>
    <xf numFmtId="0" fontId="23" fillId="0" borderId="8" xfId="0" applyFont="1" applyBorder="1" applyAlignment="1" applyProtection="1">
      <alignment horizontal="left" vertical="top"/>
      <protection locked="0"/>
    </xf>
    <xf numFmtId="176" fontId="23" fillId="0" borderId="8" xfId="0" applyNumberFormat="1" applyFont="1" applyBorder="1" applyAlignment="1" applyProtection="1">
      <alignment horizontal="center" vertical="top"/>
      <protection locked="0"/>
    </xf>
    <xf numFmtId="0" fontId="29" fillId="0" borderId="8" xfId="0" applyFont="1" applyBorder="1" applyAlignment="1" applyProtection="1">
      <alignment vertical="top" wrapText="1"/>
      <protection locked="0"/>
    </xf>
    <xf numFmtId="171" fontId="23" fillId="0" borderId="8" xfId="1" applyNumberFormat="1" applyFont="1" applyFill="1" applyBorder="1" applyAlignment="1" applyProtection="1">
      <alignment vertical="top"/>
      <protection locked="0"/>
    </xf>
    <xf numFmtId="167" fontId="23" fillId="0" borderId="8" xfId="0" applyNumberFormat="1" applyFont="1" applyBorder="1" applyAlignment="1" applyProtection="1">
      <alignment horizontal="center" vertical="top" wrapText="1"/>
      <protection locked="0"/>
    </xf>
    <xf numFmtId="0" fontId="29" fillId="0" borderId="8" xfId="0" applyFont="1" applyBorder="1" applyAlignment="1" applyProtection="1">
      <alignment vertical="center" wrapText="1"/>
      <protection locked="0"/>
    </xf>
    <xf numFmtId="167" fontId="29" fillId="0" borderId="8" xfId="0" applyNumberFormat="1" applyFont="1" applyBorder="1" applyAlignment="1" applyProtection="1">
      <alignment horizontal="center" vertical="center"/>
      <protection locked="0"/>
    </xf>
    <xf numFmtId="0" fontId="61" fillId="0" borderId="8" xfId="0" applyFont="1" applyBorder="1" applyAlignment="1">
      <alignment horizontal="center" vertical="center" wrapText="1"/>
    </xf>
    <xf numFmtId="173" fontId="29" fillId="0" borderId="8" xfId="0" applyNumberFormat="1" applyFont="1" applyBorder="1" applyAlignment="1" applyProtection="1">
      <alignment horizontal="center" vertical="center"/>
      <protection locked="0"/>
    </xf>
    <xf numFmtId="177" fontId="0" fillId="15" borderId="8" xfId="0" applyNumberFormat="1" applyFill="1" applyBorder="1" applyAlignment="1">
      <alignment horizontal="center" vertical="center" wrapText="1"/>
    </xf>
    <xf numFmtId="14" fontId="23" fillId="0" borderId="8" xfId="0" applyNumberFormat="1" applyFont="1" applyBorder="1" applyAlignment="1" applyProtection="1">
      <alignment vertical="top" wrapText="1"/>
      <protection locked="0"/>
    </xf>
    <xf numFmtId="173" fontId="59" fillId="0" borderId="8" xfId="0" applyNumberFormat="1" applyFont="1" applyBorder="1" applyAlignment="1" applyProtection="1">
      <alignment horizontal="center" vertical="center"/>
      <protection locked="0"/>
    </xf>
    <xf numFmtId="0" fontId="61" fillId="0" borderId="8" xfId="0" applyFont="1" applyBorder="1" applyAlignment="1" applyProtection="1">
      <alignment horizontal="left" vertical="center" wrapText="1"/>
      <protection locked="0"/>
    </xf>
    <xf numFmtId="0" fontId="61" fillId="0" borderId="8" xfId="0" applyFont="1" applyBorder="1" applyAlignment="1" applyProtection="1">
      <alignment horizontal="center" vertical="center" wrapText="1"/>
      <protection locked="0"/>
    </xf>
    <xf numFmtId="164" fontId="61" fillId="13" borderId="8" xfId="0" applyNumberFormat="1" applyFont="1" applyFill="1" applyBorder="1" applyAlignment="1" applyProtection="1">
      <alignment horizontal="center" vertical="center" wrapText="1"/>
      <protection locked="0"/>
    </xf>
    <xf numFmtId="167" fontId="61" fillId="0" borderId="8" xfId="0" applyNumberFormat="1" applyFont="1" applyBorder="1" applyAlignment="1" applyProtection="1">
      <alignment horizontal="center" vertical="center"/>
      <protection locked="0"/>
    </xf>
    <xf numFmtId="0" fontId="61" fillId="0" borderId="8" xfId="0" applyFont="1" applyBorder="1" applyAlignment="1" applyProtection="1">
      <alignment vertical="center" wrapText="1"/>
      <protection locked="0"/>
    </xf>
    <xf numFmtId="3" fontId="61" fillId="13" borderId="8" xfId="0" applyNumberFormat="1" applyFont="1" applyFill="1" applyBorder="1" applyAlignment="1" applyProtection="1">
      <alignment horizontal="center" vertical="top"/>
      <protection locked="0"/>
    </xf>
    <xf numFmtId="0" fontId="61" fillId="13" borderId="8" xfId="0" applyFont="1" applyFill="1" applyBorder="1" applyAlignment="1" applyProtection="1">
      <alignment horizontal="center" vertical="top"/>
      <protection locked="0"/>
    </xf>
    <xf numFmtId="0" fontId="61" fillId="0" borderId="8" xfId="0" applyFont="1" applyBorder="1" applyAlignment="1" applyProtection="1">
      <alignment vertical="center"/>
      <protection locked="0"/>
    </xf>
    <xf numFmtId="0" fontId="61" fillId="0" borderId="8" xfId="0" applyFont="1" applyBorder="1" applyAlignment="1" applyProtection="1">
      <alignment horizontal="center" vertical="top"/>
      <protection locked="0"/>
    </xf>
    <xf numFmtId="0" fontId="61" fillId="0" borderId="8" xfId="0" applyFont="1" applyBorder="1" applyAlignment="1" applyProtection="1">
      <alignment horizontal="left" vertical="top" wrapText="1"/>
      <protection locked="0"/>
    </xf>
    <xf numFmtId="167" fontId="61" fillId="0" borderId="8" xfId="0" applyNumberFormat="1" applyFont="1" applyBorder="1" applyAlignment="1" applyProtection="1">
      <alignment horizontal="center" vertical="top"/>
      <protection locked="0"/>
    </xf>
    <xf numFmtId="0" fontId="61" fillId="0" borderId="8" xfId="0" applyFont="1" applyBorder="1" applyAlignment="1" applyProtection="1">
      <alignment horizontal="left" vertical="top"/>
      <protection locked="0"/>
    </xf>
    <xf numFmtId="0" fontId="61" fillId="0" borderId="8" xfId="0" applyFont="1" applyBorder="1" applyAlignment="1" applyProtection="1">
      <alignment vertical="top"/>
      <protection locked="0"/>
    </xf>
    <xf numFmtId="176" fontId="61" fillId="0" borderId="8" xfId="0" applyNumberFormat="1" applyFont="1" applyBorder="1" applyAlignment="1" applyProtection="1">
      <alignment horizontal="center" vertical="top"/>
      <protection locked="0"/>
    </xf>
    <xf numFmtId="174" fontId="61" fillId="13" borderId="8" xfId="0" applyNumberFormat="1" applyFont="1" applyFill="1" applyBorder="1" applyAlignment="1" applyProtection="1">
      <alignment vertical="top"/>
      <protection locked="0"/>
    </xf>
    <xf numFmtId="0" fontId="61" fillId="13" borderId="8" xfId="0" applyFont="1" applyFill="1" applyBorder="1" applyAlignment="1" applyProtection="1">
      <alignment vertical="top"/>
      <protection locked="0"/>
    </xf>
    <xf numFmtId="167" fontId="61" fillId="13" borderId="8" xfId="0" applyNumberFormat="1" applyFont="1" applyFill="1" applyBorder="1" applyAlignment="1" applyProtection="1">
      <alignment horizontal="center" vertical="top"/>
      <protection locked="0"/>
    </xf>
    <xf numFmtId="167" fontId="61" fillId="13" borderId="8" xfId="0" applyNumberFormat="1" applyFont="1" applyFill="1" applyBorder="1" applyAlignment="1" applyProtection="1">
      <alignment vertical="top"/>
      <protection locked="0"/>
    </xf>
    <xf numFmtId="0" fontId="61" fillId="0" borderId="8" xfId="0" applyFont="1" applyBorder="1" applyAlignment="1" applyProtection="1">
      <alignment vertical="top" wrapText="1"/>
      <protection locked="0"/>
    </xf>
    <xf numFmtId="0" fontId="61" fillId="0" borderId="8" xfId="0" applyFont="1" applyBorder="1" applyAlignment="1">
      <alignment vertical="top" wrapText="1"/>
    </xf>
    <xf numFmtId="0" fontId="59" fillId="0" borderId="8" xfId="0" applyFont="1" applyBorder="1" applyAlignment="1">
      <alignment vertical="top" wrapText="1"/>
    </xf>
    <xf numFmtId="167" fontId="61" fillId="0" borderId="8" xfId="0" applyNumberFormat="1" applyFont="1" applyBorder="1" applyAlignment="1">
      <alignment vertical="center"/>
    </xf>
    <xf numFmtId="0" fontId="61" fillId="0" borderId="8" xfId="0" applyFont="1" applyBorder="1" applyAlignment="1">
      <alignment horizontal="center" vertical="top" wrapText="1"/>
    </xf>
    <xf numFmtId="170" fontId="61" fillId="0" borderId="8" xfId="0" applyNumberFormat="1" applyFont="1" applyBorder="1" applyAlignment="1">
      <alignment horizontal="center" vertical="center" wrapText="1"/>
    </xf>
    <xf numFmtId="0" fontId="62" fillId="0" borderId="8" xfId="0" applyFont="1" applyBorder="1" applyAlignment="1">
      <alignment horizontal="center"/>
    </xf>
    <xf numFmtId="165" fontId="61" fillId="0" borderId="8" xfId="0" applyNumberFormat="1" applyFont="1" applyBorder="1" applyAlignment="1">
      <alignment horizontal="center" vertical="center" wrapText="1"/>
    </xf>
    <xf numFmtId="167" fontId="63" fillId="0" borderId="8" xfId="0" applyNumberFormat="1" applyFont="1" applyBorder="1" applyAlignment="1">
      <alignment horizontal="center" vertical="center"/>
    </xf>
    <xf numFmtId="0" fontId="61" fillId="0" borderId="0" xfId="0" applyFont="1" applyAlignment="1">
      <alignment vertical="top"/>
    </xf>
    <xf numFmtId="0" fontId="62" fillId="0" borderId="8" xfId="0" applyFont="1" applyBorder="1" applyAlignment="1">
      <alignment horizontal="center" vertical="center"/>
    </xf>
    <xf numFmtId="177" fontId="23" fillId="15" borderId="8" xfId="0" applyNumberFormat="1" applyFont="1" applyFill="1" applyBorder="1" applyAlignment="1">
      <alignment horizontal="center" vertical="center" wrapText="1"/>
    </xf>
    <xf numFmtId="0" fontId="23" fillId="6" borderId="8" xfId="0" applyFont="1" applyFill="1" applyBorder="1" applyAlignment="1" applyProtection="1">
      <alignment horizontal="center" vertical="top"/>
      <protection locked="0"/>
    </xf>
    <xf numFmtId="0" fontId="29" fillId="0" borderId="8" xfId="0" applyFont="1" applyBorder="1" applyAlignment="1">
      <alignment horizontal="center" vertical="center" wrapText="1"/>
    </xf>
    <xf numFmtId="0" fontId="29" fillId="16" borderId="8" xfId="0" applyFont="1" applyFill="1" applyBorder="1" applyAlignment="1">
      <alignment vertical="top" wrapText="1"/>
    </xf>
    <xf numFmtId="0" fontId="44" fillId="0" borderId="8" xfId="0" applyFont="1" applyBorder="1" applyAlignment="1" applyProtection="1">
      <alignment horizontal="center" vertical="top"/>
      <protection locked="0"/>
    </xf>
    <xf numFmtId="0" fontId="29" fillId="0" borderId="8" xfId="0" quotePrefix="1" applyFont="1" applyBorder="1" applyAlignment="1" applyProtection="1">
      <alignment vertical="top" wrapText="1"/>
      <protection locked="0"/>
    </xf>
    <xf numFmtId="0" fontId="44" fillId="0" borderId="8" xfId="0" quotePrefix="1" applyFont="1" applyBorder="1" applyAlignment="1" applyProtection="1">
      <alignment vertical="top" wrapText="1"/>
      <protection locked="0"/>
    </xf>
    <xf numFmtId="177" fontId="23" fillId="0" borderId="8" xfId="0" applyNumberFormat="1" applyFont="1" applyBorder="1" applyAlignment="1">
      <alignment horizontal="center" vertical="center" wrapText="1"/>
    </xf>
    <xf numFmtId="173" fontId="29" fillId="17" borderId="8" xfId="0" applyNumberFormat="1" applyFont="1" applyFill="1" applyBorder="1" applyAlignment="1" applyProtection="1">
      <alignment horizontal="center" vertical="center"/>
      <protection locked="0"/>
    </xf>
    <xf numFmtId="15" fontId="29" fillId="0" borderId="8" xfId="0" applyNumberFormat="1" applyFont="1" applyBorder="1" applyAlignment="1">
      <alignment vertical="top" wrapText="1"/>
    </xf>
    <xf numFmtId="0" fontId="31" fillId="0" borderId="8" xfId="0" applyFont="1" applyBorder="1"/>
    <xf numFmtId="0" fontId="31" fillId="0" borderId="8" xfId="0" applyFont="1" applyBorder="1" applyAlignment="1">
      <alignment horizontal="center"/>
    </xf>
    <xf numFmtId="0" fontId="44" fillId="0" borderId="8" xfId="0" applyFont="1" applyBorder="1" applyAlignment="1" applyProtection="1">
      <alignment vertical="top" wrapText="1"/>
      <protection locked="0"/>
    </xf>
    <xf numFmtId="174" fontId="44" fillId="0" borderId="8" xfId="0" applyNumberFormat="1" applyFont="1" applyBorder="1" applyAlignment="1" applyProtection="1">
      <alignment vertical="top"/>
      <protection locked="0"/>
    </xf>
    <xf numFmtId="0" fontId="31" fillId="0" borderId="8" xfId="0" applyFont="1" applyBorder="1" applyAlignment="1">
      <alignment horizontal="center" vertical="center" wrapText="1"/>
    </xf>
    <xf numFmtId="0" fontId="44" fillId="0" borderId="8" xfId="0" applyFont="1" applyBorder="1" applyAlignment="1" applyProtection="1">
      <alignment vertical="center" wrapText="1"/>
      <protection locked="0"/>
    </xf>
    <xf numFmtId="167" fontId="44" fillId="0" borderId="8" xfId="0" applyNumberFormat="1" applyFont="1" applyBorder="1" applyAlignment="1" applyProtection="1">
      <alignment horizontal="center" vertical="center"/>
      <protection locked="0"/>
    </xf>
    <xf numFmtId="0" fontId="23" fillId="6" borderId="8" xfId="0" applyFont="1" applyFill="1" applyBorder="1" applyAlignment="1" applyProtection="1">
      <alignment vertical="center" wrapText="1"/>
      <protection locked="0"/>
    </xf>
    <xf numFmtId="167" fontId="23" fillId="6" borderId="8" xfId="0" applyNumberFormat="1" applyFont="1" applyFill="1" applyBorder="1" applyAlignment="1" applyProtection="1">
      <alignment horizontal="center" vertical="center"/>
      <protection locked="0"/>
    </xf>
    <xf numFmtId="14" fontId="23" fillId="0" borderId="0" xfId="0" applyNumberFormat="1" applyFont="1" applyAlignment="1">
      <alignment vertical="top"/>
    </xf>
    <xf numFmtId="14" fontId="23" fillId="0" borderId="8" xfId="0" applyNumberFormat="1" applyFont="1" applyBorder="1" applyAlignment="1" applyProtection="1">
      <alignment vertical="center" wrapText="1"/>
      <protection locked="0"/>
    </xf>
    <xf numFmtId="0" fontId="29" fillId="0" borderId="8" xfId="0" applyFont="1" applyBorder="1" applyAlignment="1" applyProtection="1">
      <alignment horizontal="center" vertical="center" wrapText="1"/>
      <protection locked="0"/>
    </xf>
    <xf numFmtId="0" fontId="29" fillId="6" borderId="8" xfId="0" applyFont="1" applyFill="1" applyBorder="1" applyAlignment="1">
      <alignment vertical="top" wrapText="1"/>
    </xf>
    <xf numFmtId="14" fontId="29" fillId="0" borderId="8" xfId="0" applyNumberFormat="1" applyFont="1" applyBorder="1" applyAlignment="1">
      <alignment vertical="top" wrapText="1"/>
    </xf>
    <xf numFmtId="173" fontId="29" fillId="0" borderId="8" xfId="0" applyNumberFormat="1" applyFont="1" applyBorder="1" applyAlignment="1" applyProtection="1">
      <alignment horizontal="center" vertical="center" wrapText="1"/>
      <protection locked="0"/>
    </xf>
    <xf numFmtId="15" fontId="23" fillId="0" borderId="8" xfId="0" applyNumberFormat="1" applyFont="1" applyBorder="1" applyAlignment="1" applyProtection="1">
      <alignment horizontal="center" vertical="center"/>
      <protection locked="0"/>
    </xf>
    <xf numFmtId="0" fontId="29" fillId="0" borderId="8" xfId="0" applyFont="1" applyBorder="1" applyAlignment="1">
      <alignment horizontal="left" vertical="top" wrapText="1"/>
    </xf>
    <xf numFmtId="0" fontId="44" fillId="0" borderId="8" xfId="0" applyFont="1" applyBorder="1" applyAlignment="1" applyProtection="1">
      <alignment horizontal="center" vertical="center"/>
      <protection locked="0"/>
    </xf>
    <xf numFmtId="173" fontId="69" fillId="17" borderId="8" xfId="0" applyNumberFormat="1" applyFont="1" applyFill="1" applyBorder="1" applyAlignment="1" applyProtection="1">
      <alignment horizontal="center" vertical="center"/>
      <protection locked="0"/>
    </xf>
    <xf numFmtId="175" fontId="31" fillId="0" borderId="0" xfId="0" applyNumberFormat="1" applyFont="1" applyAlignment="1">
      <alignment horizontal="center" vertical="center"/>
    </xf>
    <xf numFmtId="0" fontId="44" fillId="0" borderId="8" xfId="0" applyFont="1" applyBorder="1" applyAlignment="1">
      <alignment vertical="top" wrapText="1"/>
    </xf>
    <xf numFmtId="0" fontId="34" fillId="2" borderId="17" xfId="0" applyFont="1" applyFill="1" applyBorder="1" applyAlignment="1">
      <alignment horizontal="center" vertical="center" wrapText="1"/>
    </xf>
    <xf numFmtId="0" fontId="34" fillId="2" borderId="38" xfId="0" applyFont="1" applyFill="1" applyBorder="1" applyAlignment="1">
      <alignment horizontal="center" vertical="center" wrapText="1"/>
    </xf>
    <xf numFmtId="0" fontId="34" fillId="2" borderId="8" xfId="0" applyFont="1" applyFill="1" applyBorder="1" applyAlignment="1">
      <alignment horizontal="center" vertical="center" textRotation="90" wrapText="1"/>
    </xf>
    <xf numFmtId="0" fontId="34" fillId="2" borderId="17" xfId="0" applyFont="1" applyFill="1" applyBorder="1" applyAlignment="1">
      <alignment horizontal="center" vertical="center" textRotation="90" wrapText="1"/>
    </xf>
    <xf numFmtId="0" fontId="34" fillId="2" borderId="8" xfId="0" applyFont="1" applyFill="1" applyBorder="1" applyAlignment="1">
      <alignment horizontal="center" vertical="center" wrapText="1"/>
    </xf>
    <xf numFmtId="0" fontId="34" fillId="2" borderId="8" xfId="0" applyFont="1" applyFill="1" applyBorder="1" applyAlignment="1">
      <alignment horizontal="center" vertical="top" wrapText="1"/>
    </xf>
    <xf numFmtId="0" fontId="34" fillId="2" borderId="8" xfId="0" applyFont="1" applyFill="1" applyBorder="1" applyAlignment="1">
      <alignment horizontal="center" vertical="center"/>
    </xf>
    <xf numFmtId="0" fontId="34" fillId="2" borderId="17" xfId="0" applyFont="1" applyFill="1" applyBorder="1" applyAlignment="1">
      <alignment horizontal="center" vertical="center"/>
    </xf>
    <xf numFmtId="0" fontId="34" fillId="2" borderId="12" xfId="0" applyFont="1" applyFill="1" applyBorder="1" applyAlignment="1">
      <alignment horizontal="center" vertical="center" wrapText="1"/>
    </xf>
    <xf numFmtId="0" fontId="34" fillId="2" borderId="18" xfId="0" applyFont="1" applyFill="1" applyBorder="1" applyAlignment="1">
      <alignment horizontal="center" vertical="center" wrapText="1"/>
    </xf>
  </cellXfs>
  <cellStyles count="3">
    <cellStyle name="Comma" xfId="1" builtinId="3"/>
    <cellStyle name="Normal" xfId="0" builtinId="0"/>
    <cellStyle name="Normal 86" xfId="2" xr:uid="{3C319DC8-E295-4844-BECF-759FC8DAA5AB}"/>
  </cellStyles>
  <dxfs count="153">
    <dxf>
      <fill>
        <patternFill>
          <fgColor auto="1"/>
          <bgColor rgb="FFCC00FF"/>
        </patternFill>
      </fill>
    </dxf>
    <dxf>
      <fill>
        <patternFill>
          <bgColor theme="7" tint="0.59996337778862885"/>
        </patternFill>
      </fill>
    </dxf>
    <dxf>
      <fill>
        <patternFill>
          <bgColor rgb="FF00B0F0"/>
        </patternFill>
      </fill>
    </dxf>
    <dxf>
      <fill>
        <patternFill>
          <bgColor rgb="FFFFFFCC"/>
        </patternFill>
      </fill>
    </dxf>
    <dxf>
      <fill>
        <patternFill>
          <bgColor rgb="FF92D050"/>
        </patternFill>
      </fill>
    </dxf>
    <dxf>
      <fill>
        <patternFill>
          <bgColor theme="0" tint="-4.9989318521683403E-2"/>
        </patternFill>
      </fill>
    </dxf>
    <dxf>
      <fill>
        <patternFill>
          <bgColor theme="7" tint="0.59996337778862885"/>
        </patternFill>
      </fill>
    </dxf>
    <dxf>
      <fill>
        <patternFill>
          <bgColor rgb="FF00B0F0"/>
        </patternFill>
      </fill>
    </dxf>
    <dxf>
      <fill>
        <patternFill>
          <bgColor rgb="FFFFFFCC"/>
        </patternFill>
      </fill>
    </dxf>
    <dxf>
      <fill>
        <patternFill>
          <bgColor rgb="FF92D050"/>
        </patternFill>
      </fill>
    </dxf>
    <dxf>
      <fill>
        <patternFill>
          <fgColor auto="1"/>
          <bgColor rgb="FFCC00FF"/>
        </patternFill>
      </fill>
    </dxf>
    <dxf>
      <fill>
        <patternFill>
          <bgColor theme="0" tint="-4.9989318521683403E-2"/>
        </patternFill>
      </fill>
    </dxf>
    <dxf>
      <fill>
        <patternFill>
          <bgColor theme="0" tint="-4.9989318521683403E-2"/>
        </patternFill>
      </fill>
    </dxf>
    <dxf>
      <fill>
        <patternFill>
          <bgColor theme="7" tint="0.59996337778862885"/>
        </patternFill>
      </fill>
    </dxf>
    <dxf>
      <fill>
        <patternFill>
          <bgColor rgb="FF00B0F0"/>
        </patternFill>
      </fill>
    </dxf>
    <dxf>
      <fill>
        <patternFill>
          <bgColor rgb="FFFFFFCC"/>
        </patternFill>
      </fill>
    </dxf>
    <dxf>
      <fill>
        <patternFill>
          <bgColor rgb="FF92D050"/>
        </patternFill>
      </fill>
    </dxf>
    <dxf>
      <fill>
        <patternFill>
          <fgColor auto="1"/>
          <bgColor rgb="FFCC00FF"/>
        </patternFill>
      </fill>
    </dxf>
    <dxf>
      <fill>
        <patternFill>
          <fgColor auto="1"/>
          <bgColor rgb="FFCC00FF"/>
        </patternFill>
      </fill>
    </dxf>
    <dxf>
      <fill>
        <patternFill>
          <bgColor rgb="FF92D050"/>
        </patternFill>
      </fill>
    </dxf>
    <dxf>
      <fill>
        <patternFill>
          <bgColor rgb="FFFFFFCC"/>
        </patternFill>
      </fill>
    </dxf>
    <dxf>
      <fill>
        <patternFill>
          <bgColor rgb="FF00B0F0"/>
        </patternFill>
      </fill>
    </dxf>
    <dxf>
      <fill>
        <patternFill>
          <bgColor theme="7" tint="0.59996337778862885"/>
        </patternFill>
      </fill>
    </dxf>
    <dxf>
      <fill>
        <patternFill>
          <bgColor theme="0" tint="-4.9989318521683403E-2"/>
        </patternFill>
      </fill>
    </dxf>
    <dxf>
      <fill>
        <patternFill>
          <bgColor rgb="FF00B050"/>
        </patternFill>
      </fill>
    </dxf>
    <dxf>
      <font>
        <color theme="0"/>
      </font>
      <fill>
        <patternFill>
          <bgColor rgb="FFCC9900"/>
        </patternFill>
      </fill>
    </dxf>
    <dxf>
      <font>
        <color theme="0"/>
      </font>
      <fill>
        <patternFill>
          <bgColor theme="4" tint="-0.24994659260841701"/>
        </patternFill>
      </fill>
    </dxf>
    <dxf>
      <fill>
        <patternFill>
          <bgColor theme="9" tint="-0.24994659260841701"/>
        </patternFill>
      </fill>
    </dxf>
    <dxf>
      <font>
        <color theme="0"/>
      </font>
      <fill>
        <patternFill>
          <bgColor rgb="FFFF0000"/>
        </patternFill>
      </fill>
    </dxf>
    <dxf>
      <font>
        <color theme="0"/>
      </font>
      <fill>
        <patternFill>
          <fgColor auto="1"/>
          <bgColor rgb="FFCC00FF"/>
        </patternFill>
      </fill>
    </dxf>
    <dxf>
      <font>
        <color auto="1"/>
      </font>
      <fill>
        <patternFill>
          <bgColor theme="5" tint="0.59996337778862885"/>
        </patternFill>
      </fill>
    </dxf>
    <dxf>
      <font>
        <color theme="0"/>
      </font>
      <fill>
        <patternFill>
          <bgColor theme="5"/>
        </patternFill>
      </fill>
    </dxf>
    <dxf>
      <fill>
        <patternFill>
          <bgColor rgb="FFFFFFCC"/>
        </patternFill>
      </fill>
    </dxf>
    <dxf>
      <fill>
        <patternFill>
          <fgColor auto="1"/>
          <bgColor rgb="FFCC00FF"/>
        </patternFill>
      </fill>
    </dxf>
    <dxf>
      <font>
        <color theme="0"/>
      </font>
      <fill>
        <patternFill>
          <bgColor rgb="FFFF0000"/>
        </patternFill>
      </fill>
    </dxf>
    <dxf>
      <fill>
        <patternFill>
          <bgColor rgb="FF92D050"/>
        </patternFill>
      </fill>
    </dxf>
    <dxf>
      <fill>
        <patternFill>
          <bgColor rgb="FFFFC000"/>
        </patternFill>
      </fill>
    </dxf>
    <dxf>
      <fill>
        <patternFill>
          <bgColor rgb="FFFFFF00"/>
        </patternFill>
      </fill>
    </dxf>
    <dxf>
      <font>
        <color theme="0"/>
      </font>
      <fill>
        <patternFill>
          <bgColor rgb="FFFF0000"/>
        </patternFill>
      </fill>
    </dxf>
    <dxf>
      <fill>
        <patternFill>
          <bgColor rgb="FF92D050"/>
        </patternFill>
      </fill>
    </dxf>
    <dxf>
      <fill>
        <patternFill>
          <bgColor rgb="FFFFC000"/>
        </patternFill>
      </fill>
    </dxf>
    <dxf>
      <fill>
        <patternFill>
          <bgColor rgb="FFFFFF00"/>
        </patternFill>
      </fill>
    </dxf>
    <dxf>
      <font>
        <color theme="0"/>
      </font>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92D050"/>
        </patternFill>
      </fill>
    </dxf>
    <dxf>
      <font>
        <color theme="0"/>
      </font>
      <fill>
        <patternFill>
          <bgColor rgb="FFFF0000"/>
        </patternFill>
      </fill>
    </dxf>
    <dxf>
      <fill>
        <patternFill>
          <bgColor rgb="FFFFFF00"/>
        </patternFill>
      </fill>
    </dxf>
    <dxf>
      <fill>
        <patternFill>
          <bgColor rgb="FFFFC000"/>
        </patternFill>
      </fill>
    </dxf>
    <dxf>
      <fill>
        <patternFill>
          <bgColor rgb="FF92D050"/>
        </patternFill>
      </fill>
    </dxf>
    <dxf>
      <font>
        <color theme="0"/>
      </font>
      <fill>
        <patternFill>
          <bgColor rgb="FFFF0000"/>
        </patternFill>
      </fill>
    </dxf>
    <dxf>
      <fill>
        <patternFill>
          <bgColor rgb="FF92D050"/>
        </patternFill>
      </fill>
    </dxf>
    <dxf>
      <fill>
        <patternFill>
          <bgColor rgb="FFFFC000"/>
        </patternFill>
      </fill>
    </dxf>
    <dxf>
      <fill>
        <patternFill>
          <bgColor rgb="FFFFFF00"/>
        </patternFill>
      </fill>
    </dxf>
    <dxf>
      <font>
        <color theme="0"/>
      </font>
      <fill>
        <patternFill>
          <bgColor rgb="FFFF0000"/>
        </patternFill>
      </fill>
    </dxf>
    <dxf>
      <fill>
        <patternFill>
          <bgColor rgb="FF92D050"/>
        </patternFill>
      </fill>
    </dxf>
    <dxf>
      <fill>
        <patternFill>
          <bgColor rgb="FFFFC000"/>
        </patternFill>
      </fill>
    </dxf>
    <dxf>
      <fill>
        <patternFill>
          <bgColor rgb="FFFFFF00"/>
        </patternFill>
      </fill>
    </dxf>
    <dxf>
      <font>
        <color theme="0"/>
      </font>
      <fill>
        <patternFill>
          <bgColor rgb="FFFF0000"/>
        </patternFill>
      </fill>
    </dxf>
    <dxf>
      <fill>
        <patternFill>
          <bgColor rgb="FF92D050"/>
        </patternFill>
      </fill>
    </dxf>
    <dxf>
      <fill>
        <patternFill>
          <bgColor rgb="FFFFC000"/>
        </patternFill>
      </fill>
    </dxf>
    <dxf>
      <fill>
        <patternFill>
          <bgColor rgb="FFFFFF00"/>
        </patternFill>
      </fill>
    </dxf>
    <dxf>
      <font>
        <color theme="0"/>
      </font>
      <fill>
        <patternFill>
          <bgColor rgb="FFFF0000"/>
        </patternFill>
      </fill>
    </dxf>
    <dxf>
      <font>
        <color theme="1"/>
      </font>
      <fill>
        <patternFill>
          <bgColor theme="0" tint="-4.9989318521683403E-2"/>
        </patternFill>
      </fill>
    </dxf>
    <dxf>
      <font>
        <color auto="1"/>
      </font>
      <fill>
        <patternFill>
          <bgColor rgb="FF92D050"/>
        </patternFill>
      </fill>
    </dxf>
    <dxf>
      <font>
        <color auto="1"/>
      </font>
      <fill>
        <patternFill>
          <bgColor rgb="FFFFC000"/>
        </patternFill>
      </fill>
    </dxf>
    <dxf>
      <font>
        <color auto="1"/>
      </font>
      <fill>
        <patternFill>
          <bgColor rgb="FFFFFF00"/>
        </patternFill>
      </fill>
    </dxf>
    <dxf>
      <font>
        <color theme="0"/>
      </font>
      <fill>
        <patternFill>
          <bgColor rgb="FFFF0000"/>
        </patternFill>
      </fill>
    </dxf>
    <dxf>
      <font>
        <color theme="1"/>
      </font>
      <fill>
        <patternFill>
          <bgColor theme="0" tint="-4.9989318521683403E-2"/>
        </patternFill>
      </fill>
    </dxf>
    <dxf>
      <font>
        <color auto="1"/>
      </font>
      <fill>
        <patternFill>
          <bgColor rgb="FF92D050"/>
        </patternFill>
      </fill>
    </dxf>
    <dxf>
      <font>
        <color auto="1"/>
      </font>
      <fill>
        <patternFill>
          <bgColor rgb="FFFFC000"/>
        </patternFill>
      </fill>
    </dxf>
    <dxf>
      <font>
        <color auto="1"/>
      </font>
      <fill>
        <patternFill>
          <bgColor rgb="FFFFFF00"/>
        </patternFill>
      </fill>
    </dxf>
    <dxf>
      <font>
        <color theme="0"/>
      </font>
      <fill>
        <patternFill>
          <bgColor rgb="FFFF0000"/>
        </patternFill>
      </fill>
    </dxf>
    <dxf>
      <font>
        <color rgb="FFFF0000"/>
      </font>
    </dxf>
    <dxf>
      <font>
        <color rgb="FFFF0000"/>
      </font>
    </dxf>
    <dxf>
      <font>
        <color theme="0"/>
      </font>
      <fill>
        <patternFill>
          <fgColor auto="1"/>
          <bgColor theme="5"/>
        </patternFill>
      </fill>
    </dxf>
    <dxf>
      <font>
        <color theme="0"/>
      </font>
      <fill>
        <patternFill>
          <fgColor auto="1"/>
          <bgColor rgb="FFFF0000"/>
        </patternFill>
      </fill>
    </dxf>
    <dxf>
      <font>
        <color theme="0"/>
      </font>
      <fill>
        <patternFill>
          <fgColor auto="1"/>
          <bgColor rgb="FFCC00FF"/>
        </patternFill>
      </fill>
    </dxf>
    <dxf>
      <fill>
        <patternFill>
          <bgColor rgb="FF92D050"/>
        </patternFill>
      </fill>
    </dxf>
    <dxf>
      <fill>
        <patternFill>
          <bgColor rgb="FFFFFFCC"/>
        </patternFill>
      </fill>
    </dxf>
    <dxf>
      <fill>
        <patternFill>
          <bgColor rgb="FF00B0F0"/>
        </patternFill>
      </fill>
    </dxf>
    <dxf>
      <font>
        <color theme="0"/>
      </font>
      <fill>
        <patternFill>
          <bgColor theme="4" tint="0.39994506668294322"/>
        </patternFill>
      </fill>
    </dxf>
    <dxf>
      <fill>
        <patternFill>
          <bgColor theme="7" tint="0.59996337778862885"/>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0"/>
      </font>
      <fill>
        <patternFill>
          <bgColor theme="7" tint="-0.24994659260841701"/>
        </patternFill>
      </fill>
    </dxf>
    <dxf>
      <font>
        <color theme="0"/>
      </font>
      <fill>
        <patternFill>
          <bgColor rgb="FFCC9900"/>
        </patternFill>
      </fill>
    </dxf>
    <dxf>
      <fill>
        <patternFill>
          <bgColor theme="0" tint="-4.9989318521683403E-2"/>
        </patternFill>
      </fill>
    </dxf>
    <dxf>
      <font>
        <color theme="0"/>
      </font>
      <fill>
        <patternFill>
          <bgColor rgb="FFFF0000"/>
        </patternFill>
      </fill>
    </dxf>
    <dxf>
      <font>
        <color theme="0"/>
      </font>
      <fill>
        <patternFill>
          <bgColor theme="5"/>
        </patternFill>
      </fill>
    </dxf>
    <dxf>
      <fill>
        <patternFill patternType="none">
          <bgColor auto="1"/>
        </patternFill>
      </fill>
    </dxf>
    <dxf>
      <font>
        <color theme="0"/>
      </font>
      <fill>
        <patternFill>
          <bgColor rgb="FFCC9900"/>
        </patternFill>
      </fill>
    </dxf>
    <dxf>
      <font>
        <color theme="0"/>
      </font>
      <fill>
        <patternFill>
          <bgColor theme="4" tint="0.39994506668294322"/>
        </patternFill>
      </fill>
    </dxf>
    <dxf>
      <font>
        <color theme="0"/>
      </font>
      <fill>
        <patternFill>
          <bgColor theme="9" tint="-0.24994659260841701"/>
        </patternFill>
      </fill>
    </dxf>
    <dxf>
      <fill>
        <patternFill>
          <fgColor auto="1"/>
          <bgColor rgb="FFCC00FF"/>
        </patternFill>
      </fill>
    </dxf>
    <dxf>
      <fill>
        <patternFill>
          <bgColor theme="0" tint="-4.9989318521683403E-2"/>
        </patternFill>
      </fill>
    </dxf>
    <dxf>
      <fill>
        <patternFill>
          <fgColor auto="1"/>
          <bgColor rgb="FFCC00FF"/>
        </patternFill>
      </fill>
    </dxf>
    <dxf>
      <font>
        <color theme="0"/>
      </font>
      <fill>
        <patternFill>
          <bgColor theme="4" tint="0.39994506668294322"/>
        </patternFill>
      </fill>
    </dxf>
    <dxf>
      <font>
        <color theme="0"/>
      </font>
      <fill>
        <patternFill>
          <bgColor rgb="FFCC9900"/>
        </patternFill>
      </fill>
    </dxf>
    <dxf>
      <font>
        <color theme="0"/>
      </font>
      <fill>
        <patternFill>
          <bgColor theme="5"/>
        </patternFill>
      </fill>
    </dxf>
    <dxf>
      <font>
        <color theme="0"/>
      </font>
      <fill>
        <patternFill>
          <bgColor rgb="FFFF0000"/>
        </patternFill>
      </fill>
    </dxf>
    <dxf>
      <fill>
        <patternFill patternType="none">
          <bgColor auto="1"/>
        </patternFill>
      </fill>
    </dxf>
    <dxf>
      <font>
        <color theme="0"/>
      </font>
      <fill>
        <patternFill>
          <fgColor auto="1"/>
          <bgColor rgb="FFCC00FF"/>
        </patternFill>
      </fill>
    </dxf>
    <dxf>
      <fill>
        <patternFill>
          <bgColor theme="7" tint="0.59996337778862885"/>
        </patternFill>
      </fill>
    </dxf>
    <dxf>
      <fill>
        <patternFill>
          <bgColor rgb="FF00B0F0"/>
        </patternFill>
      </fill>
    </dxf>
    <dxf>
      <fill>
        <patternFill>
          <bgColor rgb="FFFFFFCC"/>
        </patternFill>
      </fill>
    </dxf>
    <dxf>
      <fill>
        <patternFill>
          <bgColor rgb="FF92D050"/>
        </patternFill>
      </fill>
    </dxf>
    <dxf>
      <fill>
        <patternFill>
          <bgColor theme="0" tint="-4.9989318521683403E-2"/>
        </patternFill>
      </fill>
    </dxf>
    <dxf>
      <font>
        <color theme="0"/>
      </font>
      <fill>
        <patternFill>
          <bgColor rgb="FFFF0000"/>
        </patternFill>
      </fill>
    </dxf>
    <dxf>
      <font>
        <color auto="1"/>
      </font>
      <fill>
        <patternFill>
          <bgColor rgb="FFFFFF00"/>
        </patternFill>
      </fill>
    </dxf>
    <dxf>
      <fill>
        <patternFill>
          <bgColor theme="0" tint="-4.9989318521683403E-2"/>
        </patternFill>
      </fill>
    </dxf>
    <dxf>
      <font>
        <color auto="1"/>
      </font>
      <fill>
        <patternFill>
          <bgColor rgb="FF92D050"/>
        </patternFill>
      </fill>
    </dxf>
    <dxf>
      <font>
        <color auto="1"/>
      </font>
      <fill>
        <patternFill>
          <bgColor rgb="FFFFC000"/>
        </patternFill>
      </fill>
    </dxf>
    <dxf>
      <font>
        <color theme="0"/>
      </font>
      <fill>
        <patternFill>
          <bgColor rgb="FFFF0000"/>
        </patternFill>
      </fill>
    </dxf>
    <dxf>
      <font>
        <color auto="1"/>
      </font>
      <fill>
        <patternFill>
          <bgColor rgb="FFFFFF00"/>
        </patternFill>
      </fill>
    </dxf>
    <dxf>
      <fill>
        <patternFill>
          <bgColor rgb="FFFFC000"/>
        </patternFill>
      </fill>
    </dxf>
    <dxf>
      <fill>
        <patternFill>
          <bgColor rgb="FF92D050"/>
        </patternFill>
      </fill>
    </dxf>
    <dxf>
      <font>
        <color theme="0"/>
      </font>
      <fill>
        <patternFill>
          <bgColor rgb="FFFF0000"/>
        </patternFill>
      </fill>
    </dxf>
    <dxf>
      <font>
        <color auto="1"/>
      </font>
      <fill>
        <patternFill>
          <bgColor rgb="FFFFFF00"/>
        </patternFill>
      </fill>
    </dxf>
    <dxf>
      <fill>
        <patternFill>
          <bgColor rgb="FFFFC000"/>
        </patternFill>
      </fill>
    </dxf>
    <dxf>
      <fill>
        <patternFill>
          <bgColor rgb="FF92D050"/>
        </patternFill>
      </fill>
    </dxf>
    <dxf>
      <font>
        <color theme="0"/>
      </font>
      <fill>
        <patternFill>
          <bgColor theme="7" tint="-0.24994659260841701"/>
        </patternFill>
      </fill>
    </dxf>
    <dxf>
      <font>
        <color theme="0"/>
      </font>
      <fill>
        <patternFill>
          <bgColor rgb="FFFF0000"/>
        </patternFill>
      </fill>
    </dxf>
    <dxf>
      <font>
        <color auto="1"/>
      </font>
      <fill>
        <patternFill>
          <bgColor rgb="FFFFFF00"/>
        </patternFill>
      </fill>
    </dxf>
    <dxf>
      <fill>
        <patternFill>
          <bgColor rgb="FFFFC000"/>
        </patternFill>
      </fill>
    </dxf>
    <dxf>
      <fill>
        <patternFill>
          <bgColor rgb="FF92D050"/>
        </patternFill>
      </fill>
    </dxf>
    <dxf>
      <font>
        <color theme="0"/>
      </font>
      <fill>
        <patternFill>
          <bgColor theme="9" tint="-0.24994659260841701"/>
        </patternFill>
      </fill>
    </dxf>
    <dxf>
      <fill>
        <patternFill>
          <bgColor rgb="FF92D050"/>
        </patternFill>
      </fill>
    </dxf>
    <dxf>
      <fill>
        <patternFill>
          <bgColor rgb="FFFFFF00"/>
        </patternFill>
      </fill>
    </dxf>
    <dxf>
      <fill>
        <patternFill>
          <bgColor rgb="FF00B0F0"/>
        </patternFill>
      </fill>
    </dxf>
    <dxf>
      <fill>
        <patternFill>
          <bgColor rgb="FFFFC000"/>
        </patternFill>
      </fill>
    </dxf>
    <dxf>
      <font>
        <color theme="0"/>
      </font>
      <fill>
        <patternFill>
          <bgColor theme="5"/>
        </patternFill>
      </fill>
    </dxf>
    <dxf>
      <fill>
        <patternFill>
          <bgColor rgb="FF92D050"/>
        </patternFill>
      </fill>
    </dxf>
    <dxf>
      <fill>
        <patternFill>
          <bgColor rgb="FFFFFF00"/>
        </patternFill>
      </fill>
    </dxf>
    <dxf>
      <fill>
        <patternFill>
          <bgColor rgb="FF00B0F0"/>
        </patternFill>
      </fill>
    </dxf>
    <dxf>
      <font>
        <color theme="0"/>
      </font>
      <fill>
        <patternFill>
          <bgColor theme="4" tint="0.39994506668294322"/>
        </patternFill>
      </fill>
    </dxf>
    <dxf>
      <fill>
        <patternFill>
          <bgColor rgb="FFFFC000"/>
        </patternFill>
      </fill>
    </dxf>
    <dxf>
      <font>
        <color theme="0"/>
      </font>
      <fill>
        <patternFill>
          <bgColor rgb="FFFF0000"/>
        </patternFill>
      </fill>
    </dxf>
    <dxf>
      <font>
        <color theme="0"/>
      </font>
      <fill>
        <patternFill>
          <bgColor rgb="FFCC00FF"/>
        </patternFill>
      </fill>
    </dxf>
    <dxf>
      <font>
        <color theme="0"/>
      </font>
      <fill>
        <patternFill>
          <bgColor theme="9" tint="-0.24994659260841701"/>
        </patternFill>
      </fill>
    </dxf>
    <dxf>
      <fill>
        <patternFill>
          <bgColor rgb="FF92D050"/>
        </patternFill>
      </fill>
    </dxf>
    <dxf>
      <fill>
        <patternFill>
          <bgColor rgb="FFFFFF00"/>
        </patternFill>
      </fill>
    </dxf>
    <dxf>
      <fill>
        <patternFill>
          <bgColor rgb="FF00B0F0"/>
        </patternFill>
      </fill>
    </dxf>
    <dxf>
      <font>
        <color theme="0"/>
      </font>
      <fill>
        <patternFill>
          <bgColor theme="7" tint="-0.24994659260841701"/>
        </patternFill>
      </fill>
    </dxf>
    <dxf>
      <font>
        <color theme="0"/>
      </font>
      <fill>
        <patternFill>
          <bgColor theme="4" tint="0.39994506668294322"/>
        </patternFill>
      </fill>
    </dxf>
    <dxf>
      <fill>
        <patternFill>
          <bgColor rgb="FFFFC000"/>
        </patternFill>
      </fill>
    </dxf>
    <dxf>
      <font>
        <color theme="0"/>
      </font>
      <fill>
        <patternFill>
          <bgColor rgb="FFFF0000"/>
        </patternFill>
      </fill>
    </dxf>
    <dxf>
      <fill>
        <patternFill>
          <bgColor rgb="FFFFC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317140</xdr:rowOff>
    </xdr:from>
    <xdr:to>
      <xdr:col>43</xdr:col>
      <xdr:colOff>0</xdr:colOff>
      <xdr:row>2</xdr:row>
      <xdr:rowOff>317140</xdr:rowOff>
    </xdr:to>
    <xdr:cxnSp macro="">
      <xdr:nvCxnSpPr>
        <xdr:cNvPr id="2" name="Straight Connector 1">
          <a:extLst>
            <a:ext uri="{FF2B5EF4-FFF2-40B4-BE49-F238E27FC236}">
              <a16:creationId xmlns:a16="http://schemas.microsoft.com/office/drawing/2014/main" id="{2CE29EF0-1CFE-42BB-9ECA-B8166F280EBC}"/>
            </a:ext>
          </a:extLst>
        </xdr:cNvPr>
        <xdr:cNvCxnSpPr/>
      </xdr:nvCxnSpPr>
      <xdr:spPr>
        <a:xfrm>
          <a:off x="0" y="0"/>
          <a:ext cx="46259750" cy="0"/>
        </a:xfrm>
        <a:prstGeom prst="line">
          <a:avLst/>
        </a:prstGeom>
        <a:ln w="3175">
          <a:solidFill>
            <a:srgbClr val="8179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299358</xdr:colOff>
      <xdr:row>0</xdr:row>
      <xdr:rowOff>0</xdr:rowOff>
    </xdr:from>
    <xdr:to>
      <xdr:col>4</xdr:col>
      <xdr:colOff>381001</xdr:colOff>
      <xdr:row>11</xdr:row>
      <xdr:rowOff>283713</xdr:rowOff>
    </xdr:to>
    <xdr:pic>
      <xdr:nvPicPr>
        <xdr:cNvPr id="3" name="Picture 2">
          <a:extLst>
            <a:ext uri="{FF2B5EF4-FFF2-40B4-BE49-F238E27FC236}">
              <a16:creationId xmlns:a16="http://schemas.microsoft.com/office/drawing/2014/main" id="{F3708688-FC3E-4E23-91A9-38D167BD56DE}"/>
            </a:ext>
          </a:extLst>
        </xdr:cNvPr>
        <xdr:cNvPicPr>
          <a:picLocks noChangeAspect="1"/>
        </xdr:cNvPicPr>
      </xdr:nvPicPr>
      <xdr:blipFill>
        <a:blip xmlns:r="http://schemas.openxmlformats.org/officeDocument/2006/relationships" r:embed="rId1"/>
        <a:stretch>
          <a:fillRect/>
        </a:stretch>
      </xdr:blipFill>
      <xdr:spPr>
        <a:xfrm>
          <a:off x="5201558" y="0"/>
          <a:ext cx="1281793" cy="664713"/>
        </a:xfrm>
        <a:prstGeom prst="rect">
          <a:avLst/>
        </a:prstGeom>
      </xdr:spPr>
    </xdr:pic>
    <xdr:clientData/>
  </xdr:twoCellAnchor>
  <xdr:twoCellAnchor>
    <xdr:from>
      <xdr:col>0</xdr:col>
      <xdr:colOff>0</xdr:colOff>
      <xdr:row>2</xdr:row>
      <xdr:rowOff>317140</xdr:rowOff>
    </xdr:from>
    <xdr:to>
      <xdr:col>43</xdr:col>
      <xdr:colOff>0</xdr:colOff>
      <xdr:row>2</xdr:row>
      <xdr:rowOff>317140</xdr:rowOff>
    </xdr:to>
    <xdr:cxnSp macro="">
      <xdr:nvCxnSpPr>
        <xdr:cNvPr id="4" name="Straight Connector 3">
          <a:extLst>
            <a:ext uri="{FF2B5EF4-FFF2-40B4-BE49-F238E27FC236}">
              <a16:creationId xmlns:a16="http://schemas.microsoft.com/office/drawing/2014/main" id="{288A6D27-3437-4592-B13D-D4DF0F61541C}"/>
            </a:ext>
          </a:extLst>
        </xdr:cNvPr>
        <xdr:cNvCxnSpPr/>
      </xdr:nvCxnSpPr>
      <xdr:spPr>
        <a:xfrm>
          <a:off x="0" y="0"/>
          <a:ext cx="46259750" cy="0"/>
        </a:xfrm>
        <a:prstGeom prst="line">
          <a:avLst/>
        </a:prstGeom>
        <a:ln w="3175">
          <a:solidFill>
            <a:srgbClr val="8179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25</xdr:col>
      <xdr:colOff>0</xdr:colOff>
      <xdr:row>108</xdr:row>
      <xdr:rowOff>0</xdr:rowOff>
    </xdr:from>
    <xdr:to>
      <xdr:col>25</xdr:col>
      <xdr:colOff>304800</xdr:colOff>
      <xdr:row>131</xdr:row>
      <xdr:rowOff>288929</xdr:rowOff>
    </xdr:to>
    <xdr:sp macro="" textlink="">
      <xdr:nvSpPr>
        <xdr:cNvPr id="5" name="AutoShape 47">
          <a:extLst>
            <a:ext uri="{FF2B5EF4-FFF2-40B4-BE49-F238E27FC236}">
              <a16:creationId xmlns:a16="http://schemas.microsoft.com/office/drawing/2014/main" id="{F775C69A-8EB6-459C-8C99-B350154FF8ED}"/>
            </a:ext>
          </a:extLst>
        </xdr:cNvPr>
        <xdr:cNvSpPr>
          <a:spLocks noChangeAspect="1" noChangeArrowheads="1"/>
        </xdr:cNvSpPr>
      </xdr:nvSpPr>
      <xdr:spPr bwMode="auto">
        <a:xfrm>
          <a:off x="18865850" y="13246100"/>
          <a:ext cx="304800" cy="2889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108</xdr:row>
      <xdr:rowOff>0</xdr:rowOff>
    </xdr:from>
    <xdr:to>
      <xdr:col>25</xdr:col>
      <xdr:colOff>304800</xdr:colOff>
      <xdr:row>131</xdr:row>
      <xdr:rowOff>288929</xdr:rowOff>
    </xdr:to>
    <xdr:sp macro="" textlink="">
      <xdr:nvSpPr>
        <xdr:cNvPr id="6" name="AutoShape 47">
          <a:extLst>
            <a:ext uri="{FF2B5EF4-FFF2-40B4-BE49-F238E27FC236}">
              <a16:creationId xmlns:a16="http://schemas.microsoft.com/office/drawing/2014/main" id="{842510E4-68B7-451A-9613-8782D4DB0CAF}"/>
            </a:ext>
          </a:extLst>
        </xdr:cNvPr>
        <xdr:cNvSpPr>
          <a:spLocks noChangeAspect="1" noChangeArrowheads="1"/>
        </xdr:cNvSpPr>
      </xdr:nvSpPr>
      <xdr:spPr bwMode="auto">
        <a:xfrm>
          <a:off x="18865850" y="13246100"/>
          <a:ext cx="304800" cy="2889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108</xdr:row>
      <xdr:rowOff>0</xdr:rowOff>
    </xdr:from>
    <xdr:to>
      <xdr:col>25</xdr:col>
      <xdr:colOff>304800</xdr:colOff>
      <xdr:row>131</xdr:row>
      <xdr:rowOff>288929</xdr:rowOff>
    </xdr:to>
    <xdr:sp macro="" textlink="">
      <xdr:nvSpPr>
        <xdr:cNvPr id="7" name="AutoShape 47">
          <a:extLst>
            <a:ext uri="{FF2B5EF4-FFF2-40B4-BE49-F238E27FC236}">
              <a16:creationId xmlns:a16="http://schemas.microsoft.com/office/drawing/2014/main" id="{77A1C6F7-0F18-4682-B36D-CC4BFC418089}"/>
            </a:ext>
          </a:extLst>
        </xdr:cNvPr>
        <xdr:cNvSpPr>
          <a:spLocks noChangeAspect="1" noChangeArrowheads="1"/>
        </xdr:cNvSpPr>
      </xdr:nvSpPr>
      <xdr:spPr bwMode="auto">
        <a:xfrm>
          <a:off x="18865850" y="13246100"/>
          <a:ext cx="304800" cy="2889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mcorera/Documents/Meeting/20220826%20-%20Meeting/2026.09.24-AMA-CM-FRM-0018_Amaala%20Claims_Tracker_Amended%204%20updated.rev.1.xlsx" TargetMode="External"/><Relationship Id="rId2" Type="http://schemas.openxmlformats.org/officeDocument/2006/relationships/externalLinkPath" Target="file:///C:/Users/mcorera/Documents/Meeting/20220826%20-%20Meeting/2026.09.24-AMA-CM-FRM-0018_Amaala%20Claims_Tracker_Amended%204%20updated.rev.1.xlsx" TargetMode="External"/><Relationship Id="rId1" Type="http://schemas.openxmlformats.org/officeDocument/2006/relationships/externalLinkPath" Target="/Users/mcorera/Documents/Meeting/20220826%20-%20Meeting/2026.09.24-AMA-CM-FRM-0018_Amaala%20Claims_Tracker_Amended%204%20updated.re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s &amp; Guidelines"/>
      <sheetName val="EOT &amp; Cost Summary"/>
      <sheetName val="2024 Claims Monthly Close-out"/>
      <sheetName val="Claims KPI report 2024"/>
      <sheetName val="2025 Report - Issued DVOs"/>
      <sheetName val="2025 Claims Monthly Close-out"/>
      <sheetName val="Claims KPI report 2025"/>
      <sheetName val="Claims KPI report 2026"/>
      <sheetName val="Required actions"/>
      <sheetName val="NODs"/>
      <sheetName val="Cost Claim Summary"/>
      <sheetName val="Summary"/>
      <sheetName val="Program_01"/>
      <sheetName val="Program_02"/>
      <sheetName val="Program_03"/>
      <sheetName val="Program_04"/>
      <sheetName val="Program_04a"/>
      <sheetName val="Program_05"/>
      <sheetName val="Program_06"/>
      <sheetName val="Program_07"/>
      <sheetName val="Program_08"/>
      <sheetName val="Program_09"/>
      <sheetName val="Program_10"/>
      <sheetName val="Program_11"/>
      <sheetName val="Program_12"/>
      <sheetName val="Program_16"/>
      <sheetName val="Contracts Log"/>
      <sheetName val="Sheet1"/>
      <sheetName val="Lookup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
          <cell r="F6" t="str">
            <v/>
          </cell>
        </row>
      </sheetData>
      <sheetData sheetId="14">
        <row r="6">
          <cell r="F6" t="str">
            <v/>
          </cell>
        </row>
      </sheetData>
      <sheetData sheetId="15">
        <row r="6">
          <cell r="F6" t="str">
            <v/>
          </cell>
        </row>
      </sheetData>
      <sheetData sheetId="16"/>
      <sheetData sheetId="17">
        <row r="6">
          <cell r="F6" t="str">
            <v/>
          </cell>
        </row>
      </sheetData>
      <sheetData sheetId="18">
        <row r="6">
          <cell r="F6" t="str">
            <v/>
          </cell>
        </row>
      </sheetData>
      <sheetData sheetId="19">
        <row r="6">
          <cell r="F6" t="str">
            <v/>
          </cell>
        </row>
      </sheetData>
      <sheetData sheetId="20">
        <row r="6">
          <cell r="F6" t="str">
            <v/>
          </cell>
        </row>
      </sheetData>
      <sheetData sheetId="21">
        <row r="6">
          <cell r="F6" t="str">
            <v/>
          </cell>
        </row>
      </sheetData>
      <sheetData sheetId="22">
        <row r="6">
          <cell r="F6" t="str">
            <v/>
          </cell>
        </row>
      </sheetData>
      <sheetData sheetId="23">
        <row r="6">
          <cell r="F6" t="str">
            <v/>
          </cell>
        </row>
      </sheetData>
      <sheetData sheetId="24">
        <row r="6">
          <cell r="F6" t="str">
            <v/>
          </cell>
        </row>
      </sheetData>
      <sheetData sheetId="25">
        <row r="6">
          <cell r="F6" t="str">
            <v/>
          </cell>
        </row>
      </sheetData>
      <sheetData sheetId="26">
        <row r="7">
          <cell r="C7" t="str">
            <v>Project Name</v>
          </cell>
          <cell r="F7" t="str">
            <v>ACC Contract Ref.</v>
          </cell>
          <cell r="G7" t="str">
            <v>Asset Code.</v>
          </cell>
          <cell r="J7" t="str">
            <v>Vendor Name</v>
          </cell>
          <cell r="K7" t="str">
            <v>Scope</v>
          </cell>
        </row>
        <row r="8">
          <cell r="C8" t="str">
            <v>Island Wide</v>
          </cell>
          <cell r="F8" t="str">
            <v>1IL90902D10</v>
          </cell>
          <cell r="G8" t="str">
            <v>1.IL.90.902.99</v>
          </cell>
          <cell r="J8" t="str">
            <v>Beacon Development Company</v>
          </cell>
          <cell r="K8" t="str">
            <v>Coastal Conservation Management Plan and Coral Relocation</v>
          </cell>
        </row>
        <row r="9">
          <cell r="C9" t="str">
            <v>Miraya Wide</v>
          </cell>
          <cell r="F9" t="str">
            <v>1MR17906D13</v>
          </cell>
          <cell r="G9" t="str">
            <v>1.MR.17.906.99</v>
          </cell>
          <cell r="J9" t="str">
            <v>Beacon Development Company</v>
          </cell>
          <cell r="K9" t="str">
            <v>Coastal Conservation Management Plan and Coral Relocation</v>
          </cell>
        </row>
        <row r="10">
          <cell r="C10" t="str">
            <v>The Marina</v>
          </cell>
          <cell r="F10" t="str">
            <v>1TB01031D04</v>
          </cell>
          <cell r="G10" t="str">
            <v>1.TB.01.031.01</v>
          </cell>
          <cell r="J10" t="str">
            <v>Beacon Development Company</v>
          </cell>
          <cell r="K10" t="str">
            <v>Coastal Conservation Management Plan and Coral Relocation</v>
          </cell>
        </row>
        <row r="11">
          <cell r="C11" t="str">
            <v>Multiple</v>
          </cell>
          <cell r="F11" t="str">
            <v>Multiple</v>
          </cell>
          <cell r="G11" t="str">
            <v>Multiple</v>
          </cell>
          <cell r="J11" t="str">
            <v>Beacon Development Company</v>
          </cell>
          <cell r="K11" t="str">
            <v>Coastal Conservation Management Plan and Coral Relocation</v>
          </cell>
        </row>
        <row r="12">
          <cell r="C12" t="str">
            <v>Ridge Residences</v>
          </cell>
          <cell r="F12" t="str">
            <v>1TB06024D05</v>
          </cell>
          <cell r="G12" t="str">
            <v>1.TB.06.024.01</v>
          </cell>
          <cell r="J12" t="str">
            <v>Citterio Viel &amp; Partners</v>
          </cell>
          <cell r="K12" t="str">
            <v>Triple Bay Phase 2 Design Competition - Package 01</v>
          </cell>
        </row>
        <row r="13">
          <cell r="C13" t="str">
            <v>Ridge Residences</v>
          </cell>
          <cell r="F13" t="str">
            <v>1TB06024D10</v>
          </cell>
          <cell r="G13" t="str">
            <v>1.TB.06.024.02</v>
          </cell>
          <cell r="J13" t="str">
            <v>Citterio Viel &amp; Partners</v>
          </cell>
          <cell r="K13" t="str">
            <v>Triple Bay Phase 2 Design Competition - Package 01</v>
          </cell>
        </row>
        <row r="14">
          <cell r="C14" t="str">
            <v>Farm Hotel</v>
          </cell>
          <cell r="F14" t="str">
            <v>1TB02018D05</v>
          </cell>
          <cell r="G14" t="str">
            <v>1.TB.02.018.01</v>
          </cell>
          <cell r="J14" t="str">
            <v>Citterio Viel &amp; Partners</v>
          </cell>
          <cell r="K14" t="str">
            <v>Triple Bay Phase 2 Design Competition - Package 01</v>
          </cell>
        </row>
        <row r="15">
          <cell r="C15" t="str">
            <v>Multiple</v>
          </cell>
          <cell r="F15" t="str">
            <v>Multiple</v>
          </cell>
          <cell r="G15" t="str">
            <v>Multiple</v>
          </cell>
          <cell r="J15" t="str">
            <v>Citterio Viel &amp; Partners</v>
          </cell>
          <cell r="K15" t="str">
            <v>Triple Bay Phase 2 Design Competition - Package 01</v>
          </cell>
        </row>
        <row r="16">
          <cell r="C16" t="str">
            <v>Island Wide</v>
          </cell>
          <cell r="F16" t="str">
            <v>1IL90902D32</v>
          </cell>
          <cell r="G16" t="str">
            <v>1.IL.90.902.99</v>
          </cell>
          <cell r="J16" t="str">
            <v>Rawabi Butec Ltd. Co</v>
          </cell>
          <cell r="K16" t="str">
            <v>The Island Early Logistics Works</v>
          </cell>
        </row>
        <row r="17">
          <cell r="C17" t="str">
            <v>Red Sea Marine Life Institute</v>
          </cell>
          <cell r="F17" t="str">
            <v>1TB01005D04</v>
          </cell>
          <cell r="G17" t="str">
            <v>1.TB.01.005.01</v>
          </cell>
          <cell r="J17" t="str">
            <v>Solaiman A Elkhereiji Consultant</v>
          </cell>
          <cell r="K17" t="str">
            <v>Design Review Consultancy Services</v>
          </cell>
        </row>
        <row r="18">
          <cell r="C18" t="str">
            <v>Ridge Residences</v>
          </cell>
          <cell r="F18" t="str">
            <v>1TB06024D04</v>
          </cell>
          <cell r="G18" t="str">
            <v>1.TB.06.024.01</v>
          </cell>
          <cell r="J18" t="str">
            <v>Studio MK 27 Arquitetos LTDA</v>
          </cell>
          <cell r="K18" t="str">
            <v>Triple Bay Phase 2 Design Competition - Package 01</v>
          </cell>
        </row>
        <row r="19">
          <cell r="C19" t="str">
            <v>Ridge Residences</v>
          </cell>
          <cell r="F19" t="str">
            <v>1TB06024D09</v>
          </cell>
          <cell r="G19" t="str">
            <v>1.TB.06.024.02</v>
          </cell>
          <cell r="J19" t="str">
            <v>Studio MK 27 Arquitetos LTDA</v>
          </cell>
          <cell r="K19" t="str">
            <v>Triple Bay Phase 2 Design Competition - Package 01</v>
          </cell>
        </row>
        <row r="20">
          <cell r="C20" t="str">
            <v>Farm Hotel</v>
          </cell>
          <cell r="F20" t="str">
            <v>1TB02018D04</v>
          </cell>
          <cell r="G20" t="str">
            <v>1.TB.02.018.01</v>
          </cell>
          <cell r="J20" t="str">
            <v>Studio MK 27 Arquitetos LTDA</v>
          </cell>
          <cell r="K20" t="str">
            <v>Triple Bay Phase 2 Design Competition - Package 01</v>
          </cell>
        </row>
        <row r="21">
          <cell r="C21" t="str">
            <v>Multiple</v>
          </cell>
          <cell r="F21" t="str">
            <v>Multiple</v>
          </cell>
          <cell r="G21" t="str">
            <v>Multiple</v>
          </cell>
          <cell r="J21" t="str">
            <v>Studio MK 27 Arquitetos LTDA</v>
          </cell>
          <cell r="K21" t="str">
            <v>Triple Bay Phase 2 Design Competition - Package 01</v>
          </cell>
        </row>
        <row r="22">
          <cell r="C22" t="str">
            <v>Staff Village - Wide</v>
          </cell>
          <cell r="F22" t="str">
            <v>1SV10110C01</v>
          </cell>
          <cell r="G22" t="str">
            <v>1.SV.10.110.00</v>
          </cell>
          <cell r="J22" t="str">
            <v>Haif Trading &amp; Contracting Company</v>
          </cell>
          <cell r="K22" t="str">
            <v>Staff Village Secondary Infrastructure Works</v>
          </cell>
        </row>
        <row r="23">
          <cell r="C23" t="str">
            <v>Ocean Golf Course &amp; Club House</v>
          </cell>
          <cell r="F23" t="str">
            <v>1TB05021D09</v>
          </cell>
          <cell r="G23" t="str">
            <v>1.TB.05.021.02</v>
          </cell>
          <cell r="J23" t="str">
            <v>Ten Design FZ-LLC</v>
          </cell>
          <cell r="K23" t="str">
            <v>Triple Bay Phase 2 Design Competition - Package 02</v>
          </cell>
        </row>
        <row r="24">
          <cell r="C24" t="str">
            <v>Ocean Golf Resort</v>
          </cell>
          <cell r="F24" t="str">
            <v>1TB05022D04</v>
          </cell>
          <cell r="G24" t="str">
            <v>1.TB.05.022.01</v>
          </cell>
          <cell r="J24" t="str">
            <v>Ten Design FZ-LLC</v>
          </cell>
          <cell r="K24" t="str">
            <v>Triple Bay Phase 2 Design Competition - Package 02</v>
          </cell>
        </row>
        <row r="25">
          <cell r="C25" t="str">
            <v>Ocean Golf Private Residences - Phase 1</v>
          </cell>
          <cell r="F25" t="str">
            <v>1TB05039D04</v>
          </cell>
          <cell r="G25" t="str">
            <v>1.TB.05.039.01</v>
          </cell>
          <cell r="J25" t="str">
            <v>Ten Design FZ-LLC</v>
          </cell>
          <cell r="K25" t="str">
            <v>Triple Bay Phase 2 Design Competition - Package 02</v>
          </cell>
        </row>
        <row r="26">
          <cell r="C26" t="str">
            <v>Mountain Golf Resort</v>
          </cell>
          <cell r="F26" t="str">
            <v>1TB06019D04</v>
          </cell>
          <cell r="G26" t="str">
            <v>1.TB.06.019.01</v>
          </cell>
          <cell r="J26" t="str">
            <v>Ten Design FZ-LLC</v>
          </cell>
          <cell r="K26" t="str">
            <v>Triple Bay Phase 2 Design Competition - Package 02</v>
          </cell>
        </row>
        <row r="27">
          <cell r="C27" t="str">
            <v>Mountain Golf Resort</v>
          </cell>
          <cell r="F27" t="str">
            <v>1TB06019D08</v>
          </cell>
          <cell r="G27" t="str">
            <v>1.TB.06.019.03</v>
          </cell>
          <cell r="J27" t="str">
            <v>Ten Design FZ-LLC</v>
          </cell>
          <cell r="K27" t="str">
            <v>Triple Bay Phase 2 Design Competition - Package 02</v>
          </cell>
        </row>
        <row r="28">
          <cell r="C28" t="str">
            <v>Residences (Hinterland)</v>
          </cell>
          <cell r="F28" t="str">
            <v>1TB06025D04</v>
          </cell>
          <cell r="G28" t="str">
            <v>1.TB.06.025.01</v>
          </cell>
          <cell r="J28" t="str">
            <v>Ten Design FZ-LLC</v>
          </cell>
          <cell r="K28" t="str">
            <v>Triple Bay Phase 2 Design Competition - Package 02</v>
          </cell>
        </row>
        <row r="29">
          <cell r="C29" t="str">
            <v>Ocean Golf Course &amp; Club House</v>
          </cell>
          <cell r="F29" t="str">
            <v>1TB05021D05</v>
          </cell>
          <cell r="G29" t="str">
            <v>1.TB.05.021.01</v>
          </cell>
          <cell r="J29" t="str">
            <v>Ten Design FZ-LLC</v>
          </cell>
          <cell r="K29" t="str">
            <v>Triple Bay Phase 2 Design Competition - Package 02</v>
          </cell>
        </row>
        <row r="30">
          <cell r="C30" t="str">
            <v>Multiple</v>
          </cell>
          <cell r="F30" t="str">
            <v>Multiple</v>
          </cell>
          <cell r="G30" t="str">
            <v>Multiple</v>
          </cell>
          <cell r="J30" t="str">
            <v>Ten Design FZ-LLC</v>
          </cell>
          <cell r="K30" t="str">
            <v>Triple Bay Phase 2 Design Competition - Package 02</v>
          </cell>
        </row>
        <row r="31">
          <cell r="C31" t="str">
            <v>Ocean Golf Course &amp; Club House</v>
          </cell>
          <cell r="F31" t="str">
            <v>1TB05021D08</v>
          </cell>
          <cell r="G31" t="str">
            <v>1.TB.05.021.02</v>
          </cell>
          <cell r="J31" t="str">
            <v>OAOA LTD</v>
          </cell>
          <cell r="K31" t="str">
            <v>Triple Bay Phase 2 Design Competition - Package 02</v>
          </cell>
        </row>
        <row r="32">
          <cell r="C32" t="str">
            <v>Ocean Golf Resort</v>
          </cell>
          <cell r="F32" t="str">
            <v>1TB05022D03</v>
          </cell>
          <cell r="G32" t="str">
            <v>1.TB.05.022.01</v>
          </cell>
          <cell r="J32" t="str">
            <v>OAOA LTD</v>
          </cell>
          <cell r="K32" t="str">
            <v>Triple Bay Phase 2 Design Competition - Package 02</v>
          </cell>
        </row>
        <row r="33">
          <cell r="C33" t="str">
            <v>Ocean Golf Private Residences - Phase 1</v>
          </cell>
          <cell r="F33" t="str">
            <v>1TB05039D03</v>
          </cell>
          <cell r="G33" t="str">
            <v>1.TB.05.039.01</v>
          </cell>
          <cell r="J33" t="str">
            <v>OAOA LTD</v>
          </cell>
          <cell r="K33" t="str">
            <v>Triple Bay Phase 2 Design Competition - Package 02</v>
          </cell>
        </row>
        <row r="34">
          <cell r="C34" t="str">
            <v>Mountain Golf Resort</v>
          </cell>
          <cell r="F34" t="str">
            <v>1TB06019D03</v>
          </cell>
          <cell r="G34" t="str">
            <v>1.TB.06.019.01</v>
          </cell>
          <cell r="J34" t="str">
            <v>OAOA LTD</v>
          </cell>
          <cell r="K34" t="str">
            <v>Triple Bay Phase 2 Design Competition - Package 02</v>
          </cell>
        </row>
        <row r="35">
          <cell r="C35" t="str">
            <v>Mountain Golf Resort</v>
          </cell>
          <cell r="F35" t="str">
            <v>1TB06019D07</v>
          </cell>
          <cell r="G35" t="str">
            <v>1.TB.06.019.03</v>
          </cell>
          <cell r="J35" t="str">
            <v>OAOA LTD</v>
          </cell>
          <cell r="K35" t="str">
            <v>Triple Bay Phase 2 Design Competition - Package 02</v>
          </cell>
        </row>
        <row r="36">
          <cell r="C36" t="str">
            <v>Residences (Hinterland)</v>
          </cell>
          <cell r="F36" t="str">
            <v>1TB06025D03</v>
          </cell>
          <cell r="G36" t="str">
            <v>1.TB.06.025.01</v>
          </cell>
          <cell r="J36" t="str">
            <v>OAOA LTD</v>
          </cell>
          <cell r="K36" t="str">
            <v>Triple Bay Phase 2 Design Competition - Package 02</v>
          </cell>
        </row>
        <row r="37">
          <cell r="C37" t="str">
            <v>Ocean Golf Course &amp; Club House</v>
          </cell>
          <cell r="F37" t="str">
            <v>1TB05021D04</v>
          </cell>
          <cell r="G37" t="str">
            <v>1.TB.05.021.01</v>
          </cell>
          <cell r="J37" t="str">
            <v>OAOA LTD</v>
          </cell>
          <cell r="K37" t="str">
            <v>Triple Bay Phase 2 Design Competition - Package 02</v>
          </cell>
        </row>
        <row r="38">
          <cell r="C38" t="str">
            <v>Multiple</v>
          </cell>
          <cell r="F38" t="str">
            <v>Multiple</v>
          </cell>
          <cell r="G38" t="str">
            <v>Multiple</v>
          </cell>
          <cell r="J38" t="str">
            <v>OAOA LTD</v>
          </cell>
          <cell r="K38" t="str">
            <v>Triple Bay Phase 2 Design Competition - Package 02</v>
          </cell>
        </row>
        <row r="39">
          <cell r="C39" t="str">
            <v>Ocean Golf Course &amp; Club House</v>
          </cell>
          <cell r="F39" t="str">
            <v>1TB05021D07</v>
          </cell>
          <cell r="G39" t="str">
            <v>1.TB.05.021.02</v>
          </cell>
          <cell r="J39" t="str">
            <v>Tabanlioglu USA LLC</v>
          </cell>
          <cell r="K39" t="str">
            <v>Triple Bay Phase 2 Design Competition - Package 02</v>
          </cell>
        </row>
        <row r="40">
          <cell r="C40" t="str">
            <v>Ocean Golf Resort</v>
          </cell>
          <cell r="F40" t="str">
            <v>1TB05022D02</v>
          </cell>
          <cell r="G40" t="str">
            <v>1.TB.05.022.01</v>
          </cell>
          <cell r="J40" t="str">
            <v>Tabanlioglu USA LLC</v>
          </cell>
          <cell r="K40" t="str">
            <v>Triple Bay Phase 2 Design Competition - Package 02</v>
          </cell>
        </row>
        <row r="41">
          <cell r="C41" t="str">
            <v>Ocean Golf Private Residences - Phase 1</v>
          </cell>
          <cell r="F41" t="str">
            <v>1TB05039D02</v>
          </cell>
          <cell r="G41" t="str">
            <v>1.TB.05.039.01</v>
          </cell>
          <cell r="J41" t="str">
            <v>Tabanlioglu USA LLC</v>
          </cell>
          <cell r="K41" t="str">
            <v>Triple Bay Phase 2 Design Competition - Package 02</v>
          </cell>
        </row>
        <row r="42">
          <cell r="C42" t="str">
            <v>Mountain Golf Resort</v>
          </cell>
          <cell r="F42" t="str">
            <v>1TB06019D02</v>
          </cell>
          <cell r="G42" t="str">
            <v>1.TB.06.019.01</v>
          </cell>
          <cell r="J42" t="str">
            <v>Tabanlioglu USA LLC</v>
          </cell>
          <cell r="K42" t="str">
            <v>Triple Bay Phase 2 Design Competition - Package 02</v>
          </cell>
        </row>
        <row r="43">
          <cell r="C43" t="str">
            <v>Mountain Golf Resort</v>
          </cell>
          <cell r="F43" t="str">
            <v>1TB06019D06</v>
          </cell>
          <cell r="G43" t="str">
            <v>1.TB.06.019.03</v>
          </cell>
          <cell r="J43" t="str">
            <v>Tabanlioglu USA LLC</v>
          </cell>
          <cell r="K43" t="str">
            <v>Triple Bay Phase 2 Design Competition - Package 02</v>
          </cell>
        </row>
        <row r="44">
          <cell r="C44" t="str">
            <v>Residences (Hinterland)</v>
          </cell>
          <cell r="F44" t="str">
            <v>1TB06025D02</v>
          </cell>
          <cell r="G44" t="str">
            <v>1.TB.06.025.01</v>
          </cell>
          <cell r="J44" t="str">
            <v>Tabanlioglu USA LLC</v>
          </cell>
          <cell r="K44" t="str">
            <v>Triple Bay Phase 2 Design Competition - Package 02</v>
          </cell>
        </row>
        <row r="45">
          <cell r="C45" t="str">
            <v>Ocean Golf Course &amp; Club House</v>
          </cell>
          <cell r="F45" t="str">
            <v>1TB05021D03</v>
          </cell>
          <cell r="G45" t="str">
            <v>1.TB.05.021.01</v>
          </cell>
          <cell r="J45" t="str">
            <v>Tabanlioglu USA LLC</v>
          </cell>
          <cell r="K45" t="str">
            <v>Triple Bay Phase 2 Design Competition - Package 02</v>
          </cell>
        </row>
        <row r="46">
          <cell r="C46" t="str">
            <v>Multiple</v>
          </cell>
          <cell r="F46" t="str">
            <v>Multiple</v>
          </cell>
          <cell r="G46" t="str">
            <v>Multiple</v>
          </cell>
          <cell r="J46" t="str">
            <v>Tabanlioglu USA LLC</v>
          </cell>
          <cell r="K46" t="str">
            <v>Triple Bay Phase 2 Design Competition - Package 02</v>
          </cell>
        </row>
        <row r="47">
          <cell r="C47" t="str">
            <v>Wellness Resort 2</v>
          </cell>
          <cell r="F47" t="str">
            <v>1TB05014D08</v>
          </cell>
          <cell r="G47" t="str">
            <v>1.TB.05.014.02</v>
          </cell>
          <cell r="J47" t="str">
            <v>EAA Emre Arolat Architectural Studio Limited</v>
          </cell>
          <cell r="K47" t="str">
            <v>Triple Bay Phase 2 Design Competition - Package 03</v>
          </cell>
        </row>
        <row r="48">
          <cell r="C48" t="str">
            <v>Wellness Resort 3</v>
          </cell>
          <cell r="F48" t="str">
            <v>1TB07013D06</v>
          </cell>
          <cell r="G48" t="str">
            <v>1.TB.07.013.01</v>
          </cell>
          <cell r="J48" t="str">
            <v>EAA Emre Arolat Architectural Studio Limited</v>
          </cell>
          <cell r="K48" t="str">
            <v>Triple Bay Phase 2 Design Competition - Package 03</v>
          </cell>
        </row>
        <row r="49">
          <cell r="C49" t="str">
            <v>Wellness Resort 3</v>
          </cell>
          <cell r="F49" t="str">
            <v>1TB07013D10</v>
          </cell>
          <cell r="G49" t="str">
            <v>1.TB.07.013.02</v>
          </cell>
          <cell r="J49" t="str">
            <v>EAA Emre Arolat Architectural Studio Limited</v>
          </cell>
          <cell r="K49" t="str">
            <v>Triple Bay Phase 2 Design Competition - Package 03</v>
          </cell>
        </row>
        <row r="50">
          <cell r="C50" t="str">
            <v>Wellness Resort 3</v>
          </cell>
          <cell r="F50" t="str">
            <v>1TB07013D14</v>
          </cell>
          <cell r="G50" t="str">
            <v>1.TB.07.013.03</v>
          </cell>
          <cell r="J50" t="str">
            <v>EAA Emre Arolat Architectural Studio Limited</v>
          </cell>
          <cell r="K50" t="str">
            <v>Triple Bay Phase 2 Design Competition - Package 03</v>
          </cell>
        </row>
        <row r="51">
          <cell r="C51" t="str">
            <v>Wellness Resort 3</v>
          </cell>
          <cell r="F51" t="str">
            <v>1TB07013D18</v>
          </cell>
          <cell r="G51" t="str">
            <v>1.TB.07.013.04</v>
          </cell>
          <cell r="J51" t="str">
            <v>EAA Emre Arolat Architectural Studio Limited</v>
          </cell>
          <cell r="K51" t="str">
            <v>Triple Bay Phase 2 Design Competition - Package 03</v>
          </cell>
        </row>
        <row r="52">
          <cell r="C52" t="str">
            <v xml:space="preserve">Polo Club &amp; Equestrian Centre </v>
          </cell>
          <cell r="F52" t="str">
            <v>1TB07015D05</v>
          </cell>
          <cell r="G52" t="str">
            <v>1.TB.07.015.01</v>
          </cell>
          <cell r="J52" t="str">
            <v>EAA Emre Arolat Architectural Studio Limited</v>
          </cell>
          <cell r="K52" t="str">
            <v>Triple Bay Phase 2 Design Competition - Package 03</v>
          </cell>
        </row>
        <row r="53">
          <cell r="C53" t="str">
            <v>Wellness Resort 2</v>
          </cell>
          <cell r="F53" t="str">
            <v>1TB05014D04</v>
          </cell>
          <cell r="G53" t="str">
            <v>1.TB.05.014.01</v>
          </cell>
          <cell r="J53" t="str">
            <v>EAA Emre Arolat Architectural Studio Limited</v>
          </cell>
          <cell r="K53" t="str">
            <v>Triple Bay Phase 2 Design Competition - Package 03</v>
          </cell>
        </row>
        <row r="54">
          <cell r="C54" t="str">
            <v>Multiple</v>
          </cell>
          <cell r="F54" t="str">
            <v>Multiple</v>
          </cell>
          <cell r="G54" t="str">
            <v>Multiple</v>
          </cell>
          <cell r="J54" t="str">
            <v>EAA Emre Arolat Architectural Studio Limited</v>
          </cell>
          <cell r="K54" t="str">
            <v>Triple Bay Phase 2 Design Competition - Package 03</v>
          </cell>
        </row>
        <row r="55">
          <cell r="C55" t="str">
            <v>Wellness Resort 2</v>
          </cell>
          <cell r="F55" t="str">
            <v>1TB05014D03</v>
          </cell>
          <cell r="G55" t="str">
            <v>1.TB.05.014.01</v>
          </cell>
          <cell r="J55" t="str">
            <v>Architecture Workshop 2</v>
          </cell>
          <cell r="K55" t="str">
            <v>Triple Bay Phase 2 Design Competition - Package 03</v>
          </cell>
        </row>
        <row r="56">
          <cell r="C56" t="str">
            <v>Wellness Resort 2</v>
          </cell>
          <cell r="F56" t="str">
            <v>1TB05014D07</v>
          </cell>
          <cell r="G56" t="str">
            <v>1.TB.05.014.02</v>
          </cell>
          <cell r="J56" t="str">
            <v>Architecture Workshop 2</v>
          </cell>
          <cell r="K56" t="str">
            <v>Triple Bay Phase 2 Design Competition - Package 03</v>
          </cell>
        </row>
        <row r="57">
          <cell r="C57" t="str">
            <v>Wellness Resort 3</v>
          </cell>
          <cell r="F57" t="str">
            <v>1TB07013D05</v>
          </cell>
          <cell r="G57" t="str">
            <v>1.TB.07.013.01</v>
          </cell>
          <cell r="J57" t="str">
            <v>Architecture Workshop 2</v>
          </cell>
          <cell r="K57" t="str">
            <v>Triple Bay Phase 2 Design Competition - Package 03</v>
          </cell>
        </row>
        <row r="58">
          <cell r="C58" t="str">
            <v>Wellness Resort 3</v>
          </cell>
          <cell r="F58" t="str">
            <v>1TB07013D09</v>
          </cell>
          <cell r="G58" t="str">
            <v>1.TB.07.013.02</v>
          </cell>
          <cell r="J58" t="str">
            <v>Architecture Workshop 2</v>
          </cell>
          <cell r="K58" t="str">
            <v>Triple Bay Phase 2 Design Competition - Package 03</v>
          </cell>
        </row>
        <row r="59">
          <cell r="C59" t="str">
            <v>Wellness Resort 3</v>
          </cell>
          <cell r="F59" t="str">
            <v>1TB07013D13</v>
          </cell>
          <cell r="G59" t="str">
            <v>1.TB.07.013.03</v>
          </cell>
          <cell r="J59" t="str">
            <v>Architecture Workshop 2</v>
          </cell>
          <cell r="K59" t="str">
            <v>Triple Bay Phase 2 Design Competition - Package 03</v>
          </cell>
        </row>
        <row r="60">
          <cell r="C60" t="str">
            <v>Wellness Resort 3</v>
          </cell>
          <cell r="F60" t="str">
            <v>1TB07013D17</v>
          </cell>
          <cell r="G60" t="str">
            <v>1.TB.07.013.04</v>
          </cell>
          <cell r="J60" t="str">
            <v>Architecture Workshop 2</v>
          </cell>
          <cell r="K60" t="str">
            <v>Triple Bay Phase 2 Design Competition - Package 03</v>
          </cell>
        </row>
        <row r="61">
          <cell r="C61" t="str">
            <v xml:space="preserve">Polo Club &amp; Equestrian Centre </v>
          </cell>
          <cell r="F61" t="str">
            <v>1TB07015D04</v>
          </cell>
          <cell r="G61" t="str">
            <v>1.TB.07.015.01</v>
          </cell>
          <cell r="J61" t="str">
            <v>Architecture Workshop 2</v>
          </cell>
          <cell r="K61" t="str">
            <v>Triple Bay Phase 2 Design Competition - Package 03</v>
          </cell>
        </row>
        <row r="62">
          <cell r="C62" t="str">
            <v>Multiple</v>
          </cell>
          <cell r="F62" t="str">
            <v>Multiple</v>
          </cell>
          <cell r="G62" t="str">
            <v>Multiple</v>
          </cell>
          <cell r="J62" t="str">
            <v>Architecture Workshop 2</v>
          </cell>
          <cell r="K62" t="str">
            <v>Triple Bay Phase 2 Design Competition - Package 03</v>
          </cell>
        </row>
        <row r="63">
          <cell r="C63" t="str">
            <v>Ridge Residences</v>
          </cell>
          <cell r="F63" t="str">
            <v>1TB06024D01</v>
          </cell>
          <cell r="G63" t="str">
            <v>1.TB.06.024.01</v>
          </cell>
          <cell r="J63" t="str">
            <v>Elastic Design</v>
          </cell>
          <cell r="K63" t="str">
            <v>Triple Bay Phase 2 Design Competition - Package 01</v>
          </cell>
        </row>
        <row r="64">
          <cell r="C64" t="str">
            <v>Ridge Residences</v>
          </cell>
          <cell r="F64" t="str">
            <v>1TB06024D06</v>
          </cell>
          <cell r="G64" t="str">
            <v>1.TB.06.024.02</v>
          </cell>
          <cell r="J64" t="str">
            <v>Elastic Design</v>
          </cell>
          <cell r="K64" t="str">
            <v>Triple Bay Phase 2 Design Competition - Package 01</v>
          </cell>
        </row>
        <row r="65">
          <cell r="C65" t="str">
            <v>Farm Hotel</v>
          </cell>
          <cell r="F65" t="str">
            <v>1TB02018D01</v>
          </cell>
          <cell r="G65" t="str">
            <v>1.TB.02.018.01</v>
          </cell>
          <cell r="J65" t="str">
            <v>Elastic Design</v>
          </cell>
          <cell r="K65" t="str">
            <v>Triple Bay Phase 2 Design Competition - Package 01</v>
          </cell>
        </row>
        <row r="66">
          <cell r="C66" t="str">
            <v>Multiple</v>
          </cell>
          <cell r="F66" t="str">
            <v>Multiple</v>
          </cell>
          <cell r="G66" t="str">
            <v>Multiple</v>
          </cell>
          <cell r="J66" t="str">
            <v>Elastic Design</v>
          </cell>
          <cell r="K66" t="str">
            <v>Triple Bay Phase 2 Design Competition - Package 01</v>
          </cell>
        </row>
        <row r="67">
          <cell r="C67" t="str">
            <v>Ridge Residences</v>
          </cell>
          <cell r="F67" t="str">
            <v>1TB06024D03</v>
          </cell>
          <cell r="G67" t="str">
            <v>1.TB.06.024.01</v>
          </cell>
          <cell r="J67" t="str">
            <v>SAOTA (PTY) LTD</v>
          </cell>
          <cell r="K67" t="str">
            <v>Triple Bay Phase 2 Design Competition - Package 01</v>
          </cell>
        </row>
        <row r="68">
          <cell r="C68" t="str">
            <v>Ridge Residences</v>
          </cell>
          <cell r="F68" t="str">
            <v>1TB06024D08</v>
          </cell>
          <cell r="G68" t="str">
            <v>1.TB.06.024.02</v>
          </cell>
          <cell r="J68" t="str">
            <v>SAOTA (PTY) LTD</v>
          </cell>
          <cell r="K68" t="str">
            <v>Triple Bay Phase 2 Design Competition - Package 01</v>
          </cell>
        </row>
        <row r="69">
          <cell r="C69" t="str">
            <v>Farm Hotel</v>
          </cell>
          <cell r="F69" t="str">
            <v>1TB02018D03</v>
          </cell>
          <cell r="G69" t="str">
            <v>1.TB.02.018.01</v>
          </cell>
          <cell r="J69" t="str">
            <v>SAOTA (PTY) LTD</v>
          </cell>
          <cell r="K69" t="str">
            <v>Triple Bay Phase 2 Design Competition - Package 01</v>
          </cell>
        </row>
        <row r="70">
          <cell r="C70" t="str">
            <v>Multiple</v>
          </cell>
          <cell r="F70" t="str">
            <v>Multiple</v>
          </cell>
          <cell r="G70" t="str">
            <v>Multiple</v>
          </cell>
          <cell r="J70" t="str">
            <v>SAOTA (PTY) LTD</v>
          </cell>
          <cell r="K70" t="str">
            <v>Triple Bay Phase 2 Design Competition - Package 01</v>
          </cell>
        </row>
        <row r="71">
          <cell r="C71" t="str">
            <v>Marina Lifestyle Hotel &amp; Village</v>
          </cell>
          <cell r="F71" t="str">
            <v>1TB01002D19</v>
          </cell>
          <cell r="G71" t="str">
            <v>1.TB.01.002.03</v>
          </cell>
          <cell r="J71" t="str">
            <v>Humbert &amp; Poyet</v>
          </cell>
          <cell r="K71" t="str">
            <v>Marina Lifestyle Hotel Interior Design Consultancy Services</v>
          </cell>
        </row>
        <row r="72">
          <cell r="C72" t="str">
            <v>Marina Lifestyle Hotel &amp; Village</v>
          </cell>
          <cell r="F72" t="str">
            <v>1TB01002D20</v>
          </cell>
          <cell r="G72" t="str">
            <v>1.TB.01.002.02</v>
          </cell>
          <cell r="J72" t="str">
            <v>Humbert &amp; Poyet</v>
          </cell>
          <cell r="K72" t="str">
            <v>Marina Lifestyle Hotel Interior Design Consultancy Services</v>
          </cell>
        </row>
        <row r="73">
          <cell r="C73" t="str">
            <v>Multiple</v>
          </cell>
          <cell r="F73" t="str">
            <v>Multiple</v>
          </cell>
          <cell r="G73" t="str">
            <v>Multiple</v>
          </cell>
          <cell r="J73" t="str">
            <v>Humbert &amp; Poyet</v>
          </cell>
          <cell r="K73" t="str">
            <v>Marina Lifestyle Hotel Interior Design Consultancy Services</v>
          </cell>
        </row>
        <row r="74">
          <cell r="C74" t="str">
            <v>Airport - Al Wajh Upgrade</v>
          </cell>
          <cell r="F74" t="str">
            <v>1AI16081D02</v>
          </cell>
          <cell r="G74" t="str">
            <v>1.AI.16.081.01</v>
          </cell>
          <cell r="J74" t="str">
            <v>Scott Brownrigg Limited</v>
          </cell>
          <cell r="K74" t="str">
            <v>Pre-Concept Studies for the Existing Al Wajh Airport</v>
          </cell>
        </row>
        <row r="75">
          <cell r="C75" t="str">
            <v>Island Wide</v>
          </cell>
          <cell r="F75" t="str">
            <v>1IL90902D22</v>
          </cell>
          <cell r="G75" t="str">
            <v>1.IL.90.902.99</v>
          </cell>
          <cell r="J75" t="str">
            <v>Foster + Partners Limited</v>
          </cell>
          <cell r="K75" t="str">
            <v>Island Design Competition - Pre-Concept Design Services</v>
          </cell>
        </row>
        <row r="76">
          <cell r="C76" t="str">
            <v>Ocean Golf Course &amp; Club House</v>
          </cell>
          <cell r="F76" t="str">
            <v>1TB05021D06</v>
          </cell>
          <cell r="G76" t="str">
            <v>1.TB.05.021.02</v>
          </cell>
          <cell r="J76" t="str">
            <v>Unscripted PTE. LTD</v>
          </cell>
          <cell r="K76" t="str">
            <v>Triple Bay Phase 2 Design Competition - Package 02</v>
          </cell>
        </row>
        <row r="77">
          <cell r="C77" t="str">
            <v>Ocean Golf Resort</v>
          </cell>
          <cell r="F77" t="str">
            <v>1TB05022D01</v>
          </cell>
          <cell r="G77" t="str">
            <v>1.TB.05.022.01</v>
          </cell>
          <cell r="J77" t="str">
            <v>Unscripted PTE. LTD</v>
          </cell>
          <cell r="K77" t="str">
            <v>Triple Bay Phase 2 Design Competition - Package 02</v>
          </cell>
        </row>
        <row r="78">
          <cell r="C78" t="str">
            <v>Ocean Golf Private Residences - Phase 1</v>
          </cell>
          <cell r="F78" t="str">
            <v>1TB05039D01</v>
          </cell>
          <cell r="G78" t="str">
            <v>1.TB.05.039.01</v>
          </cell>
          <cell r="J78" t="str">
            <v>Unscripted PTE. LTD</v>
          </cell>
          <cell r="K78" t="str">
            <v>Triple Bay Phase 2 Design Competition - Package 02</v>
          </cell>
        </row>
        <row r="79">
          <cell r="C79" t="str">
            <v>Mountain Golf Resort</v>
          </cell>
          <cell r="F79" t="str">
            <v>1TB06019D01</v>
          </cell>
          <cell r="G79" t="str">
            <v>1.TB.06.019.01</v>
          </cell>
          <cell r="J79" t="str">
            <v>Unscripted PTE. LTD</v>
          </cell>
          <cell r="K79" t="str">
            <v>Triple Bay Phase 2 Design Competition - Package 02</v>
          </cell>
        </row>
        <row r="80">
          <cell r="C80" t="str">
            <v>Mountain Golf Resort</v>
          </cell>
          <cell r="F80" t="str">
            <v>1TB06019D05</v>
          </cell>
          <cell r="G80" t="str">
            <v>1.TB.06.019.03</v>
          </cell>
          <cell r="J80" t="str">
            <v>Unscripted PTE. LTD</v>
          </cell>
          <cell r="K80" t="str">
            <v>Triple Bay Phase 2 Design Competition - Package 02</v>
          </cell>
        </row>
        <row r="81">
          <cell r="C81" t="str">
            <v>Residences (Hinterland)</v>
          </cell>
          <cell r="F81" t="str">
            <v>1TB06025D01</v>
          </cell>
          <cell r="G81" t="str">
            <v>1.TB.06.025.01</v>
          </cell>
          <cell r="J81" t="str">
            <v>Unscripted PTE. LTD</v>
          </cell>
          <cell r="K81" t="str">
            <v>Triple Bay Phase 2 Design Competition - Package 02</v>
          </cell>
        </row>
        <row r="82">
          <cell r="C82" t="str">
            <v>Ocean Golf Course &amp; Club House</v>
          </cell>
          <cell r="F82" t="str">
            <v>1TB05021D02</v>
          </cell>
          <cell r="G82" t="str">
            <v>1.TB.05.021.01</v>
          </cell>
          <cell r="J82" t="str">
            <v>Unscripted PTE. LTD</v>
          </cell>
          <cell r="K82" t="str">
            <v>Triple Bay Phase 2 Design Competition - Package 02</v>
          </cell>
        </row>
        <row r="83">
          <cell r="C83" t="str">
            <v>Multiple</v>
          </cell>
          <cell r="F83" t="str">
            <v>Multiple</v>
          </cell>
          <cell r="G83" t="str">
            <v>Multiple</v>
          </cell>
          <cell r="J83" t="str">
            <v>Unscripted PTE. LTD</v>
          </cell>
          <cell r="K83" t="str">
            <v>Triple Bay Phase 2 Design Competition - Package 02</v>
          </cell>
        </row>
        <row r="84">
          <cell r="C84" t="str">
            <v>Wellness Resort 2</v>
          </cell>
          <cell r="F84" t="str">
            <v>1TB05014D06</v>
          </cell>
          <cell r="G84" t="str">
            <v>1.TB.05.014.02</v>
          </cell>
          <cell r="J84" t="str">
            <v>UN Studio Middle East FZ-LLC</v>
          </cell>
          <cell r="K84" t="str">
            <v>Triple Bay Phase 2 Design Competition - Package 03</v>
          </cell>
        </row>
        <row r="85">
          <cell r="C85" t="str">
            <v>Wellness Resort 3</v>
          </cell>
          <cell r="F85" t="str">
            <v>1TB07013D04</v>
          </cell>
          <cell r="G85" t="str">
            <v>1.TB.07.013.01</v>
          </cell>
          <cell r="J85" t="str">
            <v>UN Studio Middle East FZ-LLC</v>
          </cell>
          <cell r="K85" t="str">
            <v>Triple Bay Phase 2 Design Competition - Package 03</v>
          </cell>
        </row>
        <row r="86">
          <cell r="C86" t="str">
            <v>Wellness Resort 3</v>
          </cell>
          <cell r="F86" t="str">
            <v>1TB07013D08</v>
          </cell>
          <cell r="G86" t="str">
            <v>1.TB.07.013.02</v>
          </cell>
          <cell r="J86" t="str">
            <v>UN Studio Middle East FZ-LLC</v>
          </cell>
          <cell r="K86" t="str">
            <v>Triple Bay Phase 2 Design Competition - Package 03</v>
          </cell>
        </row>
        <row r="87">
          <cell r="C87" t="str">
            <v>Wellness Resort 3</v>
          </cell>
          <cell r="F87" t="str">
            <v>1TB07013D12</v>
          </cell>
          <cell r="G87" t="str">
            <v>1.TB.07.013.03</v>
          </cell>
          <cell r="J87" t="str">
            <v>UN Studio Middle East FZ-LLC</v>
          </cell>
          <cell r="K87" t="str">
            <v>Triple Bay Phase 2 Design Competition - Package 03</v>
          </cell>
        </row>
        <row r="88">
          <cell r="C88" t="str">
            <v>Wellness Resort 3</v>
          </cell>
          <cell r="F88" t="str">
            <v>1TB07013D16</v>
          </cell>
          <cell r="G88" t="str">
            <v>1.TB.07.013.04</v>
          </cell>
          <cell r="J88" t="str">
            <v>UN Studio Middle East FZ-LLC</v>
          </cell>
          <cell r="K88" t="str">
            <v>Triple Bay Phase 2 Design Competition - Package 03</v>
          </cell>
        </row>
        <row r="89">
          <cell r="C89" t="str">
            <v xml:space="preserve">Polo Club &amp; Equestrian Centre </v>
          </cell>
          <cell r="F89" t="str">
            <v>1TB07015D03</v>
          </cell>
          <cell r="G89" t="str">
            <v>1.TB.07.015.01</v>
          </cell>
          <cell r="J89" t="str">
            <v>UN Studio Middle East FZ-LLC</v>
          </cell>
          <cell r="K89" t="str">
            <v>Triple Bay Phase 2 Design Competition - Package 03</v>
          </cell>
        </row>
        <row r="90">
          <cell r="C90" t="str">
            <v>Wellness Resort 2</v>
          </cell>
          <cell r="F90" t="str">
            <v>1TB05014D02</v>
          </cell>
          <cell r="G90" t="str">
            <v>1.TB.05.014.01</v>
          </cell>
          <cell r="J90" t="str">
            <v>UN Studio Middle East FZ-LLC</v>
          </cell>
          <cell r="K90" t="str">
            <v>Triple Bay Phase 2 Design Competition - Package 03</v>
          </cell>
        </row>
        <row r="91">
          <cell r="C91" t="str">
            <v>Multiple</v>
          </cell>
          <cell r="F91" t="str">
            <v>Multiple</v>
          </cell>
          <cell r="G91" t="str">
            <v>Multiple</v>
          </cell>
          <cell r="J91" t="str">
            <v>UN Studio Middle East FZ-LLC</v>
          </cell>
          <cell r="K91" t="str">
            <v>Triple Bay Phase 2 Design Competition - Package 03</v>
          </cell>
        </row>
        <row r="92">
          <cell r="C92" t="str">
            <v>Ridge Residences</v>
          </cell>
          <cell r="F92" t="str">
            <v>1TB06024D02</v>
          </cell>
          <cell r="G92" t="str">
            <v>1.TB.06.024.01</v>
          </cell>
          <cell r="J92" t="str">
            <v>Office of Architecture in Barcelona S.L.P</v>
          </cell>
          <cell r="K92" t="str">
            <v>Triple Bay Phase 2 Design Competition - Package 01</v>
          </cell>
        </row>
        <row r="93">
          <cell r="C93" t="str">
            <v>Ridge Residences</v>
          </cell>
          <cell r="F93" t="str">
            <v>1TB06024D07</v>
          </cell>
          <cell r="G93" t="str">
            <v>1.TB.06.024.02</v>
          </cell>
          <cell r="J93" t="str">
            <v>Office of Architecture in Barcelona S.L.P</v>
          </cell>
          <cell r="K93" t="str">
            <v>Triple Bay Phase 2 Design Competition - Package 01</v>
          </cell>
        </row>
        <row r="94">
          <cell r="C94" t="str">
            <v>Farm Hotel</v>
          </cell>
          <cell r="F94" t="str">
            <v>1TB02018D02</v>
          </cell>
          <cell r="G94" t="str">
            <v>1.TB.02.018.01</v>
          </cell>
          <cell r="J94" t="str">
            <v>Office of Architecture in Barcelona S.L.P</v>
          </cell>
          <cell r="K94" t="str">
            <v>Triple Bay Phase 2 Design Competition - Package 01</v>
          </cell>
        </row>
        <row r="95">
          <cell r="C95" t="str">
            <v>Multiple</v>
          </cell>
          <cell r="F95" t="str">
            <v>Multiple</v>
          </cell>
          <cell r="G95" t="str">
            <v>Multiple</v>
          </cell>
          <cell r="J95" t="str">
            <v>Office of Architecture in Barcelona S.L.P</v>
          </cell>
          <cell r="K95" t="str">
            <v>Triple Bay Phase 2 Design Competition - Package 01</v>
          </cell>
        </row>
        <row r="96">
          <cell r="C96" t="str">
            <v>Wellness Resort 2</v>
          </cell>
          <cell r="F96" t="str">
            <v>1TB05014D05</v>
          </cell>
          <cell r="G96" t="str">
            <v>1.TB.05.014.02</v>
          </cell>
          <cell r="J96" t="str">
            <v>Benoy Limited</v>
          </cell>
          <cell r="K96" t="str">
            <v>Triple Bay Phase 2 Design Competition - Package 03</v>
          </cell>
        </row>
        <row r="97">
          <cell r="C97" t="str">
            <v>Wellness Resort 3</v>
          </cell>
          <cell r="F97" t="str">
            <v>1TB07013D03</v>
          </cell>
          <cell r="G97" t="str">
            <v>1.TB.07.013.01</v>
          </cell>
          <cell r="J97" t="str">
            <v>Benoy Limited</v>
          </cell>
          <cell r="K97" t="str">
            <v>Triple Bay Phase 2 Design Competition - Package 03</v>
          </cell>
        </row>
        <row r="98">
          <cell r="C98" t="str">
            <v>Wellness Resort 3</v>
          </cell>
          <cell r="F98" t="str">
            <v>1TB07013D07</v>
          </cell>
          <cell r="G98" t="str">
            <v>1.TB.07.013.02</v>
          </cell>
          <cell r="J98" t="str">
            <v>Benoy Limited</v>
          </cell>
          <cell r="K98" t="str">
            <v>Triple Bay Phase 2 Design Competition - Package 03</v>
          </cell>
        </row>
        <row r="99">
          <cell r="C99" t="str">
            <v>Wellness Resort 3</v>
          </cell>
          <cell r="F99" t="str">
            <v>1TB07013D11</v>
          </cell>
          <cell r="G99" t="str">
            <v>1.TB.07.013.03</v>
          </cell>
          <cell r="J99" t="str">
            <v>Benoy Limited</v>
          </cell>
          <cell r="K99" t="str">
            <v>Triple Bay Phase 2 Design Competition - Package 03</v>
          </cell>
        </row>
        <row r="100">
          <cell r="C100" t="str">
            <v>Wellness Resort 3</v>
          </cell>
          <cell r="F100" t="str">
            <v>1TB07013D15</v>
          </cell>
          <cell r="G100" t="str">
            <v>1.TB.07.013.04</v>
          </cell>
          <cell r="J100" t="str">
            <v>Benoy Limited</v>
          </cell>
          <cell r="K100" t="str">
            <v>Triple Bay Phase 2 Design Competition - Package 03</v>
          </cell>
        </row>
        <row r="101">
          <cell r="C101" t="str">
            <v xml:space="preserve">Polo Club &amp; Equestrian Centre </v>
          </cell>
          <cell r="F101" t="str">
            <v>1TB07015D02</v>
          </cell>
          <cell r="G101" t="str">
            <v>1.TB.07.015.01</v>
          </cell>
          <cell r="J101" t="str">
            <v>Benoy Limited</v>
          </cell>
          <cell r="K101" t="str">
            <v>Triple Bay Phase 2 Design Competition - Package 03</v>
          </cell>
        </row>
        <row r="102">
          <cell r="C102" t="str">
            <v>Wellness Resort 2</v>
          </cell>
          <cell r="F102" t="str">
            <v>1TB05014D01</v>
          </cell>
          <cell r="G102" t="str">
            <v>1.TB.05.014.01</v>
          </cell>
          <cell r="J102" t="str">
            <v>Benoy Limited</v>
          </cell>
          <cell r="K102" t="str">
            <v>Triple Bay Phase 2 Design Competition - Package 03</v>
          </cell>
        </row>
        <row r="103">
          <cell r="C103" t="str">
            <v>Multiple</v>
          </cell>
          <cell r="F103" t="str">
            <v>Multiple</v>
          </cell>
          <cell r="G103" t="str">
            <v>Multiple</v>
          </cell>
          <cell r="J103" t="str">
            <v>Benoy Limited</v>
          </cell>
          <cell r="K103" t="str">
            <v>Triple Bay Phase 2 Design Competition - Package 03</v>
          </cell>
        </row>
        <row r="104">
          <cell r="C104" t="str">
            <v>Civic Assets</v>
          </cell>
          <cell r="F104" t="str">
            <v>1TB09035D01</v>
          </cell>
          <cell r="G104" t="str">
            <v>1.TB.09.035.07</v>
          </cell>
          <cell r="J104" t="str">
            <v>Turnberry Consulting Limited</v>
          </cell>
          <cell r="K104" t="str">
            <v>Rapid Peer Review of AMAALA Existing Designs of Equestrian Facilities</v>
          </cell>
        </row>
        <row r="105">
          <cell r="C105" t="str">
            <v>Island Wide</v>
          </cell>
          <cell r="F105" t="str">
            <v xml:space="preserve">1IL90902D21 </v>
          </cell>
          <cell r="G105" t="str">
            <v>1.IL.90.902.99</v>
          </cell>
          <cell r="J105" t="str">
            <v>EAA Emre Arolat Architectural Studio Limited</v>
          </cell>
          <cell r="K105" t="str">
            <v>Island Design Competition - Pre-Concept Design Services</v>
          </cell>
        </row>
        <row r="106">
          <cell r="C106" t="str">
            <v>Island Wide</v>
          </cell>
          <cell r="F106" t="str">
            <v>1IL90902D20</v>
          </cell>
          <cell r="G106" t="str">
            <v>1.IL.90.902.99</v>
          </cell>
          <cell r="J106" t="str">
            <v>Ateliers Jean Nouvel</v>
          </cell>
          <cell r="K106" t="str">
            <v>Island Design Competition - Pre-Concept Design Services</v>
          </cell>
        </row>
        <row r="107">
          <cell r="C107" t="str">
            <v>Island Wide</v>
          </cell>
          <cell r="F107" t="str">
            <v>1IL90902D19</v>
          </cell>
          <cell r="G107" t="str">
            <v>1.IL.90.902.99</v>
          </cell>
          <cell r="J107" t="str">
            <v>Safdie Architects LLC</v>
          </cell>
          <cell r="K107" t="str">
            <v>Island Design Competition - Pre-Concept Design Services</v>
          </cell>
        </row>
        <row r="108">
          <cell r="C108" t="str">
            <v>Island Wide</v>
          </cell>
          <cell r="F108" t="str">
            <v>1IL90902D18</v>
          </cell>
          <cell r="G108" t="str">
            <v>1.IL.90.902.99</v>
          </cell>
          <cell r="J108" t="str">
            <v>Gensler Europe, LTD</v>
          </cell>
          <cell r="K108" t="str">
            <v>Island Design Competition - Pre-Concept Design Services</v>
          </cell>
        </row>
        <row r="109">
          <cell r="C109" t="str">
            <v>Island Wide</v>
          </cell>
          <cell r="F109" t="str">
            <v>1IL90902D23</v>
          </cell>
          <cell r="G109" t="str">
            <v>1.IL.90.902.99</v>
          </cell>
          <cell r="J109" t="str">
            <v>Architecture Workshop 2</v>
          </cell>
          <cell r="K109" t="str">
            <v>Island Design Competition - Pre-Concept Design Services</v>
          </cell>
        </row>
        <row r="110">
          <cell r="C110" t="str">
            <v>Island Wide</v>
          </cell>
          <cell r="F110" t="str">
            <v>1IL90902D24</v>
          </cell>
          <cell r="G110" t="str">
            <v>1.IL.90.902.99</v>
          </cell>
          <cell r="J110" t="str">
            <v>Arney Fender Katsalidis Limited</v>
          </cell>
          <cell r="K110" t="str">
            <v>Island Design Competition - Pre-Concept Design Services</v>
          </cell>
        </row>
        <row r="111">
          <cell r="C111" t="str">
            <v>Island Wide</v>
          </cell>
          <cell r="F111" t="str">
            <v xml:space="preserve">1IL90902D25 </v>
          </cell>
          <cell r="G111" t="str">
            <v>1.IL.90.902.99</v>
          </cell>
          <cell r="J111" t="str">
            <v>Adjaye/Associates Limited</v>
          </cell>
          <cell r="K111" t="str">
            <v>Island Design Competition - Pre-Concept Design Services</v>
          </cell>
        </row>
        <row r="112">
          <cell r="C112" t="str">
            <v>Ocean Golf Course &amp; Club House</v>
          </cell>
          <cell r="F112" t="str">
            <v>1TB05021D01</v>
          </cell>
          <cell r="G112" t="str">
            <v>1.TB.05.021.03</v>
          </cell>
          <cell r="J112" t="str">
            <v>Dye Designs Group LLC</v>
          </cell>
          <cell r="K112" t="str">
            <v>Triple Bay, Ocean Golf Course, Design Architect</v>
          </cell>
        </row>
        <row r="113">
          <cell r="C113" t="str">
            <v>Staff Village - Wide</v>
          </cell>
          <cell r="F113" t="str">
            <v>1SV10110D18</v>
          </cell>
          <cell r="G113" t="str">
            <v>1.SV.10.110.00</v>
          </cell>
          <cell r="J113" t="str">
            <v>Arab Company for Laboratories and Soil Branch (ACES)</v>
          </cell>
          <cell r="K113" t="str">
            <v>Staff Village Additional Boreholes - (Geo-Technical Investigation for Land Works)</v>
          </cell>
        </row>
        <row r="114">
          <cell r="C114" t="str">
            <v>AMAALA DevCo</v>
          </cell>
          <cell r="F114" t="str">
            <v>1DC99999D47</v>
          </cell>
          <cell r="G114" t="str">
            <v>1.DC.99.999.99</v>
          </cell>
          <cell r="J114" t="str">
            <v>Branch of Alpin Co. Limited</v>
          </cell>
          <cell r="K114" t="str">
            <v>Triple Bay - Independent Commissioning Agent Consultancy Services - Design Stage</v>
          </cell>
        </row>
        <row r="115">
          <cell r="C115" t="str">
            <v>AMAALA DevCo</v>
          </cell>
          <cell r="F115" t="str">
            <v>1DC99999D84</v>
          </cell>
          <cell r="G115" t="str">
            <v>1.DC.99.999.99</v>
          </cell>
          <cell r="J115" t="str">
            <v>Fugro Suhaimi Ltd</v>
          </cell>
          <cell r="K115" t="str">
            <v>Re-Survey of Existing Benchmarks and Re-Projection Survey Services</v>
          </cell>
        </row>
        <row r="116">
          <cell r="C116" t="str">
            <v>Primary Infrastructure</v>
          </cell>
          <cell r="F116" t="str">
            <v>1TB04029C10</v>
          </cell>
          <cell r="G116" t="str">
            <v>1.TB.04.029.01</v>
          </cell>
          <cell r="J116" t="str">
            <v>Fugro Suhaimi Ltd</v>
          </cell>
          <cell r="K116" t="str">
            <v>Re-Survey of Existing Benchmarks and Re-Projection Survey Services</v>
          </cell>
        </row>
        <row r="117">
          <cell r="C117" t="str">
            <v>Multiple</v>
          </cell>
          <cell r="F117" t="str">
            <v>Multiple</v>
          </cell>
          <cell r="G117" t="str">
            <v>Multiple</v>
          </cell>
          <cell r="J117" t="str">
            <v>Fugro Suhaimi Ltd</v>
          </cell>
          <cell r="K117" t="str">
            <v>Re-Survey of Existing Benchmarks and Re-Projection Survey Services</v>
          </cell>
        </row>
        <row r="118">
          <cell r="C118" t="str">
            <v>Staff Village - Wide</v>
          </cell>
          <cell r="F118" t="str">
            <v>1SV10110D09</v>
          </cell>
          <cell r="G118" t="str">
            <v>1.SV.10.110.00</v>
          </cell>
          <cell r="J118" t="str">
            <v>Norr Group Consultants International Limited</v>
          </cell>
          <cell r="K118" t="str">
            <v>Triple Bay - Staff Village - K12 School Design Consultancy Services</v>
          </cell>
        </row>
        <row r="119">
          <cell r="C119" t="str">
            <v>Staff Village - Wide</v>
          </cell>
          <cell r="F119" t="str">
            <v>1SV10110D15</v>
          </cell>
          <cell r="G119" t="str">
            <v>1.SV.10.110.00</v>
          </cell>
          <cell r="J119" t="str">
            <v>Arab Company for Laboratories and Soil Branch (ACES)</v>
          </cell>
          <cell r="K119" t="str">
            <v>Staff Village - (Geo-Technical Investigation for Land Works)</v>
          </cell>
        </row>
        <row r="120">
          <cell r="C120" t="str">
            <v>Early Works</v>
          </cell>
          <cell r="F120" t="str">
            <v>1TB04004C09</v>
          </cell>
          <cell r="G120" t="str">
            <v>1.TB.04.004.01</v>
          </cell>
          <cell r="J120" t="str">
            <v>Arab Company for Laboratories and Soil Branch (ACES)</v>
          </cell>
          <cell r="K120" t="str">
            <v>Regional Infrastructure (Solar Farm, TB &amp; SV Desalination Plants, TB &amp; SV Water Storage and WWTP, TB Primary Sub-Station (Phase I) and SV Access Road (Phase II)</v>
          </cell>
        </row>
        <row r="121">
          <cell r="C121" t="str">
            <v>Six Senses Resort</v>
          </cell>
          <cell r="F121" t="str">
            <v>1TB02017D10</v>
          </cell>
          <cell r="G121" t="str">
            <v>1.TB.02.017.01</v>
          </cell>
          <cell r="J121" t="str">
            <v>Studio Carter INC</v>
          </cell>
          <cell r="K121" t="str">
            <v>Interior Design Services Family Hotel &amp; Branded Residentials</v>
          </cell>
        </row>
        <row r="122">
          <cell r="C122" t="str">
            <v>Nabatean Rock Hotel</v>
          </cell>
          <cell r="F122" t="str">
            <v>1TB06020D02</v>
          </cell>
          <cell r="G122" t="str">
            <v>1.TB.06.020.01</v>
          </cell>
          <cell r="J122" t="str">
            <v>Arab Company for Laboratories and Soil Branch (ACES)</v>
          </cell>
          <cell r="K122" t="str">
            <v>Nabatean Rock (1.1.015.00) - Geo-Technical Investigation for Land Works</v>
          </cell>
        </row>
        <row r="123">
          <cell r="C123" t="str">
            <v>Early Works</v>
          </cell>
          <cell r="F123" t="str">
            <v>1TB04004D02</v>
          </cell>
          <cell r="G123" t="str">
            <v>1.TB.04.004.01</v>
          </cell>
          <cell r="J123" t="str">
            <v>Al-Kaabi Soil &amp; Materials Testing</v>
          </cell>
          <cell r="K123" t="str">
            <v>Triple Bay Rock Stability Study</v>
          </cell>
        </row>
        <row r="124">
          <cell r="C124" t="str">
            <v>Primary Infrastructure</v>
          </cell>
          <cell r="F124" t="str">
            <v>1TB04029D08</v>
          </cell>
          <cell r="G124" t="str">
            <v>1.TB.04.029.01</v>
          </cell>
          <cell r="J124" t="str">
            <v>Cracknell Landscape Design</v>
          </cell>
          <cell r="K124" t="str">
            <v>Masterplan Rendering Services</v>
          </cell>
        </row>
        <row r="125">
          <cell r="C125" t="str">
            <v>Village Boutique Hotel</v>
          </cell>
          <cell r="F125" t="str">
            <v>1TB01006D01</v>
          </cell>
          <cell r="G125" t="str">
            <v>1.TB.01.006.03</v>
          </cell>
          <cell r="J125" t="str">
            <v>Arab Company for Laboratories and Soil Branch (ACES)</v>
          </cell>
          <cell r="K125" t="str">
            <v>The Village Boutique Hotel - Hijaz Island - (Geo-Technical Investigation for Land Works) - Rev 01</v>
          </cell>
        </row>
        <row r="126">
          <cell r="C126" t="str">
            <v>Construction Village Section 1</v>
          </cell>
          <cell r="F126" t="str">
            <v>1TB00032D06</v>
          </cell>
          <cell r="G126" t="str">
            <v>1.TB.00.032.01</v>
          </cell>
          <cell r="J126" t="str">
            <v>Tamimi Global Company Limited for Services and Maintenance</v>
          </cell>
          <cell r="K126" t="str">
            <v>Integrated Facility Management Agreement - Construction Village at Triple Bay</v>
          </cell>
        </row>
        <row r="127">
          <cell r="C127" t="str">
            <v>Staff Village - Wide</v>
          </cell>
          <cell r="F127" t="str">
            <v>1SV10110D11</v>
          </cell>
          <cell r="G127" t="str">
            <v>1.SV.10.110.00</v>
          </cell>
          <cell r="J127" t="str">
            <v>Studio International Engineering Consultants</v>
          </cell>
          <cell r="K127" t="str">
            <v>AMAALA Staff Village - Lead Consultant Services</v>
          </cell>
        </row>
        <row r="128">
          <cell r="C128" t="str">
            <v>Regional Infrastructure  - Wide</v>
          </cell>
          <cell r="F128" t="str">
            <v>1RI12071D18</v>
          </cell>
          <cell r="G128" t="str">
            <v>1.RI.12.071.00</v>
          </cell>
          <cell r="J128" t="str">
            <v>ILF Consulting Engineers for Engineering Consultancy</v>
          </cell>
          <cell r="K128" t="str">
            <v>Technical Advisory Consultant</v>
          </cell>
        </row>
        <row r="129">
          <cell r="C129" t="str">
            <v>Regional Infrastructure  - Wide</v>
          </cell>
          <cell r="F129" t="str">
            <v>1RI12071D20</v>
          </cell>
          <cell r="G129" t="str">
            <v>1.RI.12.071.00</v>
          </cell>
          <cell r="J129" t="str">
            <v>Ernst &amp; Young &amp; Co (Public Accountants)</v>
          </cell>
          <cell r="K129" t="str">
            <v>Advisory Consulting Services for Utilities Public Private Partnership Agreements</v>
          </cell>
        </row>
        <row r="130">
          <cell r="C130" t="str">
            <v>Six Senses Resort</v>
          </cell>
          <cell r="F130" t="str">
            <v>1TB02017D09</v>
          </cell>
          <cell r="G130" t="str">
            <v>1.TB.02.017.02</v>
          </cell>
          <cell r="J130" t="str">
            <v>Arab Company for Laboratories and Soil Branch (ACES)</v>
          </cell>
          <cell r="K130" t="str">
            <v>Family Hotel - (Geo-Technical Investigation for Land Works)</v>
          </cell>
        </row>
        <row r="131">
          <cell r="C131" t="str">
            <v>Medical Wellness</v>
          </cell>
          <cell r="F131" t="str">
            <v>1TB03008D14</v>
          </cell>
          <cell r="G131" t="str">
            <v>1.TB.03.008.01</v>
          </cell>
          <cell r="J131" t="str">
            <v>Arab Company for Laboratories and Soil Branch (ACES)</v>
          </cell>
          <cell r="K131" t="str">
            <v>Wellness Core - Geo-Technical Investigation for Land Works)</v>
          </cell>
        </row>
        <row r="132">
          <cell r="C132" t="str">
            <v>Rosewood Resort</v>
          </cell>
          <cell r="F132" t="str">
            <v>1TB02011D08</v>
          </cell>
          <cell r="G132" t="str">
            <v>1.TB.02.011.01</v>
          </cell>
          <cell r="J132" t="str">
            <v>Arab Company for Laboratories and Soil Branch (ACES)</v>
          </cell>
          <cell r="K132" t="str">
            <v>Beach Resort - (Geo-Technical Investigation for Land Works)</v>
          </cell>
        </row>
        <row r="133">
          <cell r="C133" t="str">
            <v>Regional Infrastructure  - Wide</v>
          </cell>
          <cell r="F133" t="str">
            <v>1RI12071D19</v>
          </cell>
          <cell r="G133" t="str">
            <v>1.RI.12.071.00</v>
          </cell>
          <cell r="J133" t="str">
            <v>Beacon Development Company</v>
          </cell>
          <cell r="K133" t="str">
            <v>Environmental Studies for Masterplan 4, Regional Infrastructure Baseline Environmental Surveys, and AMAALA Oasis</v>
          </cell>
        </row>
        <row r="134">
          <cell r="C134" t="str">
            <v>Marina Lifestyle Hotel &amp; Village</v>
          </cell>
          <cell r="F134" t="str">
            <v>1TB01002C01</v>
          </cell>
          <cell r="G134" t="str">
            <v>1.TB.01.002.01</v>
          </cell>
          <cell r="J134" t="str">
            <v>Soil Improvement Contracting</v>
          </cell>
          <cell r="K134" t="str">
            <v>Triple Bay Wide Ground Improvement</v>
          </cell>
        </row>
        <row r="135">
          <cell r="C135" t="str">
            <v xml:space="preserve">AMAALA Yacht Club </v>
          </cell>
          <cell r="F135" t="str">
            <v>1TB01003C13</v>
          </cell>
          <cell r="G135" t="str">
            <v>1.TB.01.003.01</v>
          </cell>
          <cell r="J135" t="str">
            <v>Soil Improvement Contracting</v>
          </cell>
          <cell r="K135" t="str">
            <v>Triple Bay Wide Ground Improvement</v>
          </cell>
        </row>
        <row r="136">
          <cell r="C136" t="str">
            <v>Rosewood Resort</v>
          </cell>
          <cell r="F136" t="str">
            <v>1TB02011C01</v>
          </cell>
          <cell r="G136" t="str">
            <v>1.TB.02.011.01</v>
          </cell>
          <cell r="J136" t="str">
            <v>Soil Improvement Contracting</v>
          </cell>
          <cell r="K136" t="str">
            <v>Triple Bay Wide Ground Improvement</v>
          </cell>
        </row>
        <row r="137">
          <cell r="C137" t="str">
            <v>Four Seasons Resort</v>
          </cell>
          <cell r="F137" t="str">
            <v>1TB02012C15</v>
          </cell>
          <cell r="G137" t="str">
            <v>1.TB.02.012.01</v>
          </cell>
          <cell r="J137" t="str">
            <v>Soil Improvement Contracting</v>
          </cell>
          <cell r="K137" t="str">
            <v>Triple Bay Wide Ground Improvement</v>
          </cell>
        </row>
        <row r="138">
          <cell r="C138" t="str">
            <v>Six Senses Resort</v>
          </cell>
          <cell r="F138" t="str">
            <v>1TB02017C16</v>
          </cell>
          <cell r="G138" t="str">
            <v>1.TB.02.017.01</v>
          </cell>
          <cell r="J138" t="str">
            <v>Soil Improvement Contracting</v>
          </cell>
          <cell r="K138" t="str">
            <v>Triple Bay Wide Ground Improvement</v>
          </cell>
        </row>
        <row r="139">
          <cell r="C139" t="str">
            <v>Integrative Wellness</v>
          </cell>
          <cell r="F139" t="str">
            <v>1TB03007C03</v>
          </cell>
          <cell r="G139" t="str">
            <v>1.TB.03.007.01</v>
          </cell>
          <cell r="J139" t="str">
            <v>Soil Improvement Contracting</v>
          </cell>
          <cell r="K139" t="str">
            <v>Triple Bay Wide Ground Improvement</v>
          </cell>
        </row>
        <row r="140">
          <cell r="C140" t="str">
            <v>Staff Village - Wide</v>
          </cell>
          <cell r="F140" t="str">
            <v>1SV10110C05</v>
          </cell>
          <cell r="G140" t="str">
            <v>1.SV.10.110.00</v>
          </cell>
          <cell r="J140" t="str">
            <v>Soil Improvement Contracting</v>
          </cell>
          <cell r="K140" t="str">
            <v>Triple Bay Wide Ground Improvement</v>
          </cell>
        </row>
        <row r="141">
          <cell r="C141" t="str">
            <v>Multiple</v>
          </cell>
          <cell r="F141" t="str">
            <v>Multiple</v>
          </cell>
          <cell r="G141" t="str">
            <v>Multiple</v>
          </cell>
          <cell r="J141" t="str">
            <v>Soil Improvement Contracting</v>
          </cell>
          <cell r="K141" t="str">
            <v>Triple Bay Wide Ground Improvement</v>
          </cell>
        </row>
        <row r="142">
          <cell r="C142" t="str">
            <v>AMAALA DevCo</v>
          </cell>
          <cell r="F142" t="str">
            <v>1DC99999D70</v>
          </cell>
          <cell r="G142" t="str">
            <v>1.DC.99.999.99</v>
          </cell>
          <cell r="J142" t="str">
            <v>Denniston SDN BHD</v>
          </cell>
          <cell r="K142" t="str">
            <v>The Island Revised Concept Master Plan</v>
          </cell>
        </row>
        <row r="143">
          <cell r="C143" t="str">
            <v>Rosewood Resort</v>
          </cell>
          <cell r="F143" t="str">
            <v>1TB02011D07</v>
          </cell>
          <cell r="G143" t="str">
            <v>1.TB.02.011.01</v>
          </cell>
          <cell r="J143" t="str">
            <v>Consolidated Consultants Engineering and Environment. Co</v>
          </cell>
          <cell r="K143" t="str">
            <v>Triple Bay Phase 1A Architect of Record</v>
          </cell>
        </row>
        <row r="144">
          <cell r="C144" t="str">
            <v>Four Seasons Resort</v>
          </cell>
          <cell r="F144" t="str">
            <v>1TB02012D06</v>
          </cell>
          <cell r="G144" t="str">
            <v>1.TB.02.012.01</v>
          </cell>
          <cell r="J144" t="str">
            <v>Consolidated Consultants Engineering and Environment. Co</v>
          </cell>
          <cell r="K144" t="str">
            <v>Triple Bay Phase 1A Architect of Record</v>
          </cell>
        </row>
        <row r="145">
          <cell r="C145" t="str">
            <v>Medical Wellness</v>
          </cell>
          <cell r="F145" t="str">
            <v>1TB03008D13</v>
          </cell>
          <cell r="G145" t="str">
            <v>1.TB.03.008.01</v>
          </cell>
          <cell r="J145" t="str">
            <v>Consolidated Consultants Engineering and Environment. Co</v>
          </cell>
          <cell r="K145" t="str">
            <v>Triple Bay Phase 1A Architect of Record</v>
          </cell>
        </row>
        <row r="146">
          <cell r="C146" t="str">
            <v>Six Senses Resort</v>
          </cell>
          <cell r="F146" t="str">
            <v>1TB02017D06</v>
          </cell>
          <cell r="G146" t="str">
            <v>1.TB.02.017.01</v>
          </cell>
          <cell r="J146" t="str">
            <v>Consolidated Consultants Engineering and Environment. Co</v>
          </cell>
          <cell r="K146" t="str">
            <v>Triple Bay Phase 1A Architect of Record</v>
          </cell>
        </row>
        <row r="147">
          <cell r="C147" t="str">
            <v>Multiple</v>
          </cell>
          <cell r="F147" t="str">
            <v>Multiple</v>
          </cell>
          <cell r="G147" t="str">
            <v>Multiple</v>
          </cell>
          <cell r="J147" t="str">
            <v>Consolidated Consultants Engineering and Environment. Co</v>
          </cell>
          <cell r="K147" t="str">
            <v>Triple Bay Phase 1A Architect of Record</v>
          </cell>
        </row>
        <row r="148">
          <cell r="C148" t="str">
            <v>Primary Infrastructure</v>
          </cell>
          <cell r="F148" t="str">
            <v>1TB04029D05</v>
          </cell>
          <cell r="G148" t="str">
            <v>1.TB.04.029.01</v>
          </cell>
          <cell r="J148" t="str">
            <v>Faithful Gould Saudi Arabia Co. LTD</v>
          </cell>
          <cell r="K148" t="str">
            <v>Triple Bay - Primary Infrastructure &amp; Public Realm Cost Consultancy Services</v>
          </cell>
        </row>
        <row r="149">
          <cell r="C149" t="str">
            <v>Staff Village - Wide</v>
          </cell>
          <cell r="F149" t="str">
            <v>1SV10110C06</v>
          </cell>
          <cell r="G149" t="str">
            <v>1.SV.10.110.00</v>
          </cell>
          <cell r="J149" t="str">
            <v>Unipods LLC</v>
          </cell>
          <cell r="K149" t="str">
            <v>Design, Manufacture and Delivery of Bathroom POD Prototypes</v>
          </cell>
        </row>
        <row r="150">
          <cell r="C150" t="str">
            <v>The Marina</v>
          </cell>
          <cell r="F150" t="str">
            <v>1TB01031D03</v>
          </cell>
          <cell r="G150" t="str">
            <v>1.TB.01.031.01</v>
          </cell>
          <cell r="J150" t="str">
            <v>WSP Middle East &amp; Partner Saudi Company for Engineering Consultancy</v>
          </cell>
          <cell r="K150" t="str">
            <v>Supervision and Cost Consultancy - Triple Bay Marina Projects</v>
          </cell>
        </row>
        <row r="151">
          <cell r="C151" t="str">
            <v xml:space="preserve">AMAALA Yacht Club </v>
          </cell>
          <cell r="F151" t="str">
            <v>1TB01003D04</v>
          </cell>
          <cell r="G151" t="str">
            <v>1.TB.01.003.01</v>
          </cell>
          <cell r="J151" t="str">
            <v>Applied Technology and Management Inc (Dubai BR)</v>
          </cell>
          <cell r="K151" t="str">
            <v>Rapid Peer Review of AMAALA Existing Design of Yachting and Marina Facilities</v>
          </cell>
        </row>
        <row r="152">
          <cell r="C152" t="str">
            <v>Four Seasons Resort</v>
          </cell>
          <cell r="F152" t="str">
            <v>1TB02012D05</v>
          </cell>
          <cell r="G152" t="str">
            <v>1.TB.02.012.01</v>
          </cell>
          <cell r="J152" t="str">
            <v>Wimberly Allison Tong and Goo (UK) Limited</v>
          </cell>
          <cell r="K152" t="str">
            <v>Culinary Destination Hotel - Design Architect</v>
          </cell>
        </row>
        <row r="153">
          <cell r="C153" t="str">
            <v>AMAALA DevCo</v>
          </cell>
          <cell r="F153" t="str">
            <v>1DC99999D60</v>
          </cell>
          <cell r="G153" t="str">
            <v>1.DC.99.999.99</v>
          </cell>
          <cell r="J153" t="str">
            <v>Boundary Visualization Limited</v>
          </cell>
          <cell r="K153" t="str">
            <v>The Island Revised Concept Master Plan Presentation</v>
          </cell>
        </row>
        <row r="154">
          <cell r="C154" t="str">
            <v>AMAALA DevCo</v>
          </cell>
          <cell r="F154" t="str">
            <v>1DC99999D76</v>
          </cell>
          <cell r="G154" t="str">
            <v>1.DC.99.999.99</v>
          </cell>
          <cell r="J154" t="str">
            <v>Foster + Partners Limited</v>
          </cell>
          <cell r="K154" t="str">
            <v>Island Resort 3 Precinct Concept Design Competition</v>
          </cell>
        </row>
        <row r="155">
          <cell r="C155" t="str">
            <v>MP4 Wide</v>
          </cell>
          <cell r="F155" t="str">
            <v>1M418907D14</v>
          </cell>
          <cell r="G155" t="str">
            <v>1.M4.18.907.99</v>
          </cell>
          <cell r="J155" t="str">
            <v>Foster + Partners Limited</v>
          </cell>
          <cell r="K155" t="str">
            <v>MP4 Masterplan Competition</v>
          </cell>
        </row>
        <row r="156">
          <cell r="C156" t="str">
            <v>Island Wide</v>
          </cell>
          <cell r="F156" t="str">
            <v>1IL90902D31</v>
          </cell>
          <cell r="G156" t="str">
            <v>1.IL.90.902.99</v>
          </cell>
          <cell r="J156" t="str">
            <v>Capella Hotel Group Pte Ltd</v>
          </cell>
          <cell r="K156" t="str">
            <v>Pre-Commencement Services</v>
          </cell>
        </row>
        <row r="157">
          <cell r="C157" t="str">
            <v>AMAALA DevCo</v>
          </cell>
          <cell r="F157" t="str">
            <v>1DC99999D68</v>
          </cell>
          <cell r="G157" t="str">
            <v>1.DC.99.999.99</v>
          </cell>
          <cell r="J157" t="str">
            <v>Riyadh Geotechnique &amp; Foundations Co.</v>
          </cell>
          <cell r="K157" t="str">
            <v>Geotechnical Investigation Contractor - Island</v>
          </cell>
        </row>
        <row r="158">
          <cell r="C158" t="str">
            <v>The Marina</v>
          </cell>
          <cell r="F158" t="str">
            <v>1TB01031D01</v>
          </cell>
          <cell r="G158" t="str">
            <v>1.TB.01.031.01</v>
          </cell>
          <cell r="J158" t="str">
            <v>Five Oceans Environmental Services LLC</v>
          </cell>
          <cell r="K158" t="str">
            <v>Ecology Surveys</v>
          </cell>
        </row>
        <row r="159">
          <cell r="C159" t="str">
            <v>AMAALA DevCo</v>
          </cell>
          <cell r="F159" t="str">
            <v>1DC99999D35</v>
          </cell>
          <cell r="G159" t="str">
            <v>1.DC.99.999.99</v>
          </cell>
          <cell r="J159" t="str">
            <v>Penguin Cube FZ-LLC</v>
          </cell>
          <cell r="K159" t="str">
            <v>Signage and Wayfinding Strategy &amp; Guidelines Consultancy Services</v>
          </cell>
        </row>
        <row r="160">
          <cell r="C160" t="str">
            <v>Primary Infrastructure</v>
          </cell>
          <cell r="F160" t="str">
            <v>1TB04029D01</v>
          </cell>
          <cell r="G160" t="str">
            <v>1.TB.04.029.01</v>
          </cell>
          <cell r="J160" t="str">
            <v>CH2M Saudi Limited Company</v>
          </cell>
          <cell r="K160" t="str">
            <v>Triple Bay Primary Infrastructure Engineering Design &amp; Construction Supervision</v>
          </cell>
        </row>
        <row r="161">
          <cell r="C161" t="str">
            <v>AMAALA DevCo</v>
          </cell>
          <cell r="F161" t="str">
            <v>1DC99999D75</v>
          </cell>
          <cell r="G161" t="str">
            <v>1.DC.99.999.99</v>
          </cell>
          <cell r="J161" t="str">
            <v>HKS Architects Limited</v>
          </cell>
          <cell r="K161" t="str">
            <v>Island Resort 3 Precinct Concept Design Competition</v>
          </cell>
        </row>
        <row r="162">
          <cell r="C162" t="str">
            <v>AMAALA DevCo</v>
          </cell>
          <cell r="F162" t="str">
            <v>1DC99999D74</v>
          </cell>
          <cell r="G162" t="str">
            <v>1.DC.99.999.99</v>
          </cell>
          <cell r="J162" t="str">
            <v>Citterio Viel &amp; Partners</v>
          </cell>
          <cell r="K162" t="str">
            <v>Island Resort 3 Precinct Concept Design Competition</v>
          </cell>
        </row>
        <row r="163">
          <cell r="C163" t="str">
            <v>AMAALA DevCo</v>
          </cell>
          <cell r="F163" t="str">
            <v>1DC99999D73</v>
          </cell>
          <cell r="G163" t="str">
            <v>1.DC.99.999.99</v>
          </cell>
          <cell r="J163" t="str">
            <v>Denniston International Pte. Ltd</v>
          </cell>
          <cell r="K163" t="str">
            <v>Island Resort 2 Precinct Concept Design Competition</v>
          </cell>
        </row>
        <row r="164">
          <cell r="C164" t="str">
            <v>AMAALA DevCo</v>
          </cell>
          <cell r="F164" t="str">
            <v>1DC99999D72</v>
          </cell>
          <cell r="G164" t="str">
            <v>1.DC.99.999.99</v>
          </cell>
          <cell r="J164" t="str">
            <v>Citterio Viel &amp; Partners</v>
          </cell>
          <cell r="K164" t="str">
            <v>Island Resort 2 Precinct Concept Design Competition</v>
          </cell>
        </row>
        <row r="165">
          <cell r="C165" t="str">
            <v>Village Boutique Hotel</v>
          </cell>
          <cell r="F165" t="str">
            <v>1TB01006D06</v>
          </cell>
          <cell r="G165" t="str">
            <v>1.TB.01.006.03</v>
          </cell>
          <cell r="J165" t="str">
            <v>Foster + Partners Limited</v>
          </cell>
          <cell r="K165" t="str">
            <v>Triple Bay Marina Village Executive Architect Services</v>
          </cell>
        </row>
        <row r="166">
          <cell r="C166" t="str">
            <v>Village Boutique Hotel</v>
          </cell>
          <cell r="F166" t="str">
            <v>1TB01006D05</v>
          </cell>
          <cell r="G166" t="str">
            <v>1.TB.01.006.01</v>
          </cell>
          <cell r="J166" t="str">
            <v>Foster + Partners Limited</v>
          </cell>
          <cell r="K166" t="str">
            <v>Triple Bay Marina Village Executive Architect Services</v>
          </cell>
        </row>
        <row r="167">
          <cell r="C167" t="str">
            <v>Village Boutique Hotel</v>
          </cell>
          <cell r="F167" t="str">
            <v>1TB01006D09</v>
          </cell>
          <cell r="G167" t="str">
            <v>1.TB.01.006.02</v>
          </cell>
          <cell r="J167" t="str">
            <v>Foster + Partners Limited</v>
          </cell>
          <cell r="K167" t="str">
            <v>Triple Bay Marina Village Executive Architect Services</v>
          </cell>
        </row>
        <row r="168">
          <cell r="C168" t="str">
            <v>Marina Lifestyle Hotel &amp; Village</v>
          </cell>
          <cell r="F168" t="str">
            <v>1TB01002D03</v>
          </cell>
          <cell r="G168" t="str">
            <v>1.TB.01.002.01</v>
          </cell>
          <cell r="J168" t="str">
            <v>Foster + Partners Limited</v>
          </cell>
          <cell r="K168" t="str">
            <v>Triple Bay Marina Village Executive Architect Services</v>
          </cell>
        </row>
        <row r="169">
          <cell r="C169" t="str">
            <v>Marina Lifestyle Hotel &amp; Village</v>
          </cell>
          <cell r="F169" t="str">
            <v>1TB01002D13</v>
          </cell>
          <cell r="G169" t="str">
            <v>1.TB.01.002.03</v>
          </cell>
          <cell r="J169" t="str">
            <v>Foster + Partners Limited</v>
          </cell>
          <cell r="K169" t="str">
            <v>Triple Bay Marina Village Executive Architect Services</v>
          </cell>
        </row>
        <row r="170">
          <cell r="C170" t="str">
            <v>Marina Lifestyle Hotel &amp; Village</v>
          </cell>
          <cell r="F170" t="str">
            <v>1TB01002D15</v>
          </cell>
          <cell r="G170" t="str">
            <v>1.TB.01.002.02</v>
          </cell>
          <cell r="J170" t="str">
            <v>Foster + Partners Limited</v>
          </cell>
          <cell r="K170" t="str">
            <v>Triple Bay Marina Village Executive Architect Services</v>
          </cell>
        </row>
        <row r="171">
          <cell r="C171" t="str">
            <v>Multiple</v>
          </cell>
          <cell r="F171" t="str">
            <v>Multiple</v>
          </cell>
          <cell r="G171" t="str">
            <v>Multiple</v>
          </cell>
          <cell r="J171" t="str">
            <v>Foster + Partners Limited</v>
          </cell>
          <cell r="K171" t="str">
            <v>Triple Bay Marina Village Executive Architect Services</v>
          </cell>
        </row>
        <row r="172">
          <cell r="C172" t="str">
            <v>Island Wide</v>
          </cell>
          <cell r="F172" t="str">
            <v>1IL90902D03</v>
          </cell>
          <cell r="G172" t="str">
            <v>1.IL.90.902.99</v>
          </cell>
          <cell r="J172" t="str">
            <v>Boundary Visualization Limited</v>
          </cell>
          <cell r="K172" t="str">
            <v>CGI Services</v>
          </cell>
        </row>
        <row r="173">
          <cell r="C173" t="str">
            <v>MP4 Wide</v>
          </cell>
          <cell r="F173" t="str">
            <v>1M418907D11</v>
          </cell>
          <cell r="G173" t="str">
            <v>1.M4.18.907.99</v>
          </cell>
          <cell r="J173" t="str">
            <v>Ten Design FZ-LLC</v>
          </cell>
          <cell r="K173" t="str">
            <v>MP4 Masterplan Competition</v>
          </cell>
        </row>
        <row r="174">
          <cell r="C174" t="str">
            <v>Regional Infrastructure  - Wide</v>
          </cell>
          <cell r="F174" t="str">
            <v>1RI12071D16</v>
          </cell>
          <cell r="G174" t="str">
            <v>1.RI.12.071.00</v>
          </cell>
          <cell r="J174" t="str">
            <v>Utilities Survey Company for Geophysical Services Ltd</v>
          </cell>
          <cell r="K174" t="str">
            <v>Topographical and Utilities Surveys</v>
          </cell>
        </row>
        <row r="175">
          <cell r="C175" t="str">
            <v>Medical Wellness</v>
          </cell>
          <cell r="F175" t="str">
            <v>1TB03008D03</v>
          </cell>
          <cell r="G175" t="str">
            <v>1.TB.03.008.01</v>
          </cell>
          <cell r="J175" t="str">
            <v>Genesis Planning LLC</v>
          </cell>
          <cell r="K175" t="str">
            <v>Triple Bay - Wellness Core - Medical Planner</v>
          </cell>
        </row>
        <row r="176">
          <cell r="C176" t="str">
            <v>Medical Wellness</v>
          </cell>
          <cell r="F176" t="str">
            <v>1TB03008D06</v>
          </cell>
          <cell r="G176" t="str">
            <v>1.TB.03.008.01</v>
          </cell>
          <cell r="J176" t="str">
            <v>Patricia Urquiola S.P.A</v>
          </cell>
          <cell r="K176" t="str">
            <v>Interior Design Services - Triple Bay - Integrated Wellness Hotel - Family Friendly</v>
          </cell>
        </row>
        <row r="177">
          <cell r="C177" t="str">
            <v>AMAALA DevCo - Staff</v>
          </cell>
          <cell r="F177" t="str">
            <v>1DC99999F02</v>
          </cell>
          <cell r="G177" t="str">
            <v>1.DC.99.999.99</v>
          </cell>
          <cell r="J177" t="str">
            <v>Currie &amp; Brown Saudi Arabia Limited</v>
          </cell>
          <cell r="K177" t="str">
            <v>Amaala Integrated Project Team Services Framework</v>
          </cell>
        </row>
        <row r="178">
          <cell r="C178" t="str">
            <v>Integrative Wellness</v>
          </cell>
          <cell r="F178" t="str">
            <v>1TB03007D01</v>
          </cell>
          <cell r="G178" t="str">
            <v>1.TB.03.007.01</v>
          </cell>
          <cell r="J178" t="str">
            <v>Blink Design Group PTE.LTD</v>
          </cell>
          <cell r="K178" t="str">
            <v>Interior Design Services - Triple Bay - Integrated Wellness Hotel - Adults Only</v>
          </cell>
        </row>
        <row r="179">
          <cell r="C179" t="str">
            <v>AMAALA DevCo</v>
          </cell>
          <cell r="F179" t="str">
            <v>1DC99999D51</v>
          </cell>
          <cell r="G179" t="str">
            <v>1.DC.99.999.99</v>
          </cell>
          <cell r="J179" t="str">
            <v>Bjarke Ingels Group NYC LLC</v>
          </cell>
          <cell r="K179" t="str">
            <v>Miraya Master Plan &amp; Arts &amp; Culture Strategy Consultancy Services Phase 2</v>
          </cell>
        </row>
        <row r="180">
          <cell r="C180" t="str">
            <v>MP4 Wide</v>
          </cell>
          <cell r="F180" t="str">
            <v>1M418907D02</v>
          </cell>
          <cell r="G180" t="str">
            <v>1.M4.18.907.99</v>
          </cell>
          <cell r="J180" t="str">
            <v>Chapman Taylor LLP</v>
          </cell>
          <cell r="K180" t="str">
            <v>MP4 Masterplan Competition</v>
          </cell>
        </row>
        <row r="181">
          <cell r="C181" t="str">
            <v>MP4 Wide</v>
          </cell>
          <cell r="F181" t="str">
            <v>1M418907D05</v>
          </cell>
          <cell r="G181" t="str">
            <v>1.M4.18.907.99</v>
          </cell>
          <cell r="J181" t="str">
            <v>Nikken Sekkei LTD</v>
          </cell>
          <cell r="K181" t="str">
            <v>MP4 Masterplan Competition</v>
          </cell>
        </row>
        <row r="182">
          <cell r="C182" t="str">
            <v>MP4 Wide</v>
          </cell>
          <cell r="F182" t="str">
            <v>1M418907D15</v>
          </cell>
          <cell r="G182" t="str">
            <v>1.M4.18.907.99</v>
          </cell>
          <cell r="J182" t="str">
            <v>Benoy Limited</v>
          </cell>
          <cell r="K182" t="str">
            <v>MP4 Masterplan Competition</v>
          </cell>
        </row>
        <row r="183">
          <cell r="C183" t="str">
            <v>MP4 Wide</v>
          </cell>
          <cell r="F183" t="str">
            <v>1M418907D09</v>
          </cell>
          <cell r="G183" t="str">
            <v>1.M4.18.907.99</v>
          </cell>
          <cell r="J183" t="str">
            <v>Skidmore, Owings &amp; Merrill Saudi Arabia LLC</v>
          </cell>
          <cell r="K183" t="str">
            <v>MP4 Masterplan Competition</v>
          </cell>
        </row>
        <row r="184">
          <cell r="C184" t="str">
            <v>Public Realm</v>
          </cell>
          <cell r="F184" t="str">
            <v>1TB04030D01</v>
          </cell>
          <cell r="G184" t="str">
            <v>1.TB.04.030.01</v>
          </cell>
          <cell r="J184" t="str">
            <v>Martha Schwartz Partners Limited</v>
          </cell>
          <cell r="K184" t="str">
            <v>Triple Bay Public Realm Design Consultancy Services</v>
          </cell>
        </row>
        <row r="185">
          <cell r="C185" t="str">
            <v>Regional Infrastructure  - Wide</v>
          </cell>
          <cell r="F185" t="str">
            <v>1RI12071D05</v>
          </cell>
          <cell r="G185" t="str">
            <v>1.RI.12.071.00</v>
          </cell>
          <cell r="J185" t="str">
            <v>Control Risks (Middle East) Limited formerly known as Control Risks (Dubai) Limited</v>
          </cell>
          <cell r="K185" t="str">
            <v>Security Risk Management &amp; Strategy Peer Review, Advisory Support Services, Requirements and Guidelines for AMAALA Regional Master Planning</v>
          </cell>
        </row>
        <row r="186">
          <cell r="C186" t="str">
            <v>MP4 Wide</v>
          </cell>
          <cell r="F186" t="str">
            <v>1M418907D06</v>
          </cell>
          <cell r="G186" t="str">
            <v>1.M4.18.907.99</v>
          </cell>
          <cell r="J186" t="str">
            <v>Original Vision Limited</v>
          </cell>
          <cell r="K186" t="str">
            <v>Research and Feasibility Masterplanning for Masterplan No. 4</v>
          </cell>
        </row>
        <row r="187">
          <cell r="C187" t="str">
            <v>Miraya Wide</v>
          </cell>
          <cell r="F187" t="str">
            <v>1MR17906C02</v>
          </cell>
          <cell r="G187" t="str">
            <v>1.MR.17.906.99</v>
          </cell>
          <cell r="J187" t="str">
            <v>Five Oceans Environmental Services LLC</v>
          </cell>
          <cell r="K187" t="str">
            <v>Marina Ecological Coral Relocation</v>
          </cell>
        </row>
        <row r="188">
          <cell r="C188" t="str">
            <v>AMAALA DevCo</v>
          </cell>
          <cell r="F188" t="str">
            <v>1DC99999D54</v>
          </cell>
          <cell r="G188" t="str">
            <v>1.DC.99.999.99</v>
          </cell>
          <cell r="J188" t="str">
            <v>Five Oceans Environmental Services LLC</v>
          </cell>
          <cell r="K188" t="str">
            <v>Marina Ecological Coral Relocation</v>
          </cell>
        </row>
        <row r="189">
          <cell r="C189" t="str">
            <v>The Marina</v>
          </cell>
          <cell r="F189" t="str">
            <v>1TB01031C05</v>
          </cell>
          <cell r="G189" t="str">
            <v>1.TB.01.031.01</v>
          </cell>
          <cell r="J189" t="str">
            <v>Five Oceans Environmental Services LLC</v>
          </cell>
          <cell r="K189" t="str">
            <v>Marina Ecological Coral Relocation</v>
          </cell>
        </row>
        <row r="190">
          <cell r="C190" t="str">
            <v>Multiple</v>
          </cell>
          <cell r="F190" t="str">
            <v>Multiple</v>
          </cell>
          <cell r="G190" t="str">
            <v>Multiple</v>
          </cell>
          <cell r="J190" t="str">
            <v>Five Oceans Environmental Services LLC</v>
          </cell>
          <cell r="K190" t="str">
            <v>Marina Ecological Coral Relocation</v>
          </cell>
        </row>
        <row r="191">
          <cell r="C191" t="str">
            <v>AMAALA DevCo</v>
          </cell>
          <cell r="F191" t="str">
            <v>1DC99999D29</v>
          </cell>
          <cell r="G191" t="str">
            <v>1.DC.99.999.99</v>
          </cell>
          <cell r="J191" t="str">
            <v>HKS Architects Limited</v>
          </cell>
          <cell r="K191" t="str">
            <v>Red Sea Marine Life Institute - Design Architect Renders</v>
          </cell>
        </row>
        <row r="192">
          <cell r="C192" t="str">
            <v>AMAALA Airside - Runways</v>
          </cell>
          <cell r="F192" t="str">
            <v>1AI16080D07</v>
          </cell>
          <cell r="G192" t="str">
            <v>1.AI.16.080.01</v>
          </cell>
          <cell r="J192" t="str">
            <v>Saudi Air Navigation Services Company</v>
          </cell>
          <cell r="K192" t="str">
            <v>Airspace Design and Instrument Flight Procedures</v>
          </cell>
        </row>
        <row r="193">
          <cell r="C193" t="str">
            <v>MP4 Wide</v>
          </cell>
          <cell r="F193" t="str">
            <v>1M418907D10</v>
          </cell>
          <cell r="G193" t="str">
            <v>1.M4.18.907.99</v>
          </cell>
          <cell r="J193" t="str">
            <v>Studio International Engineering Consultants</v>
          </cell>
          <cell r="K193" t="str">
            <v>Preliminary Masterplan Brief for Masterplan No. 4</v>
          </cell>
        </row>
        <row r="194">
          <cell r="C194" t="str">
            <v>The Marina</v>
          </cell>
          <cell r="F194" t="str">
            <v>1TB01031C02</v>
          </cell>
          <cell r="G194" t="str">
            <v>1.TB.01.031.01</v>
          </cell>
          <cell r="J194" t="str">
            <v>Alsaad General Contracting Company</v>
          </cell>
          <cell r="K194" t="str">
            <v>Triple Bay Marina Basin - Design and Build Main Contract</v>
          </cell>
        </row>
        <row r="195">
          <cell r="C195" t="str">
            <v>AMAALA Airside - Runways</v>
          </cell>
          <cell r="F195" t="str">
            <v>1AI16080C01</v>
          </cell>
          <cell r="G195" t="str">
            <v>1.AI.16.080.01</v>
          </cell>
          <cell r="J195" t="str">
            <v>Rawabi Butec Ltd. Co</v>
          </cell>
          <cell r="K195" t="str">
            <v>Amaala Airport Work Package 1</v>
          </cell>
        </row>
        <row r="196">
          <cell r="C196" t="str">
            <v>AMAALA DevCo</v>
          </cell>
          <cell r="F196" t="str">
            <v>1DC99999D55</v>
          </cell>
          <cell r="G196" t="str">
            <v>1.DC.99.999.99</v>
          </cell>
          <cell r="J196" t="str">
            <v>GCAM2 LLC</v>
          </cell>
          <cell r="K196" t="str">
            <v>Concept Design and Implementation Roadmap for the Island Art Spine</v>
          </cell>
        </row>
        <row r="197">
          <cell r="C197" t="str">
            <v>AMAALA DevCo</v>
          </cell>
          <cell r="F197" t="str">
            <v>1DC99999D69</v>
          </cell>
          <cell r="G197" t="str">
            <v>1.DC.99.999.99</v>
          </cell>
          <cell r="J197" t="str">
            <v>Stitching Deltares</v>
          </cell>
          <cell r="K197" t="str">
            <v>Assessment of Marine Ecosystem Tolerance Limits and Health Risks</v>
          </cell>
        </row>
        <row r="198">
          <cell r="C198" t="str">
            <v>AMAALA DevCo</v>
          </cell>
          <cell r="F198" t="str">
            <v>1DC99999D71</v>
          </cell>
          <cell r="G198" t="str">
            <v>1.DC.99.999.99</v>
          </cell>
          <cell r="J198" t="str">
            <v>Bensley Design Group International</v>
          </cell>
          <cell r="K198" t="str">
            <v>Island Resort 2 Precinct Interim Concept Design</v>
          </cell>
        </row>
        <row r="199">
          <cell r="C199" t="str">
            <v>Digital Infrastructure (ICT)</v>
          </cell>
          <cell r="F199" t="str">
            <v>1RI12072C01</v>
          </cell>
          <cell r="G199" t="str">
            <v>1.RI.12.072.01</v>
          </cell>
          <cell r="J199" t="str">
            <v>National Grid Saudi Arabia</v>
          </cell>
          <cell r="K199" t="str">
            <v>Power Supply Implementation Agreement for Amaala Project</v>
          </cell>
        </row>
        <row r="200">
          <cell r="C200" t="str">
            <v>Integrative Wellness</v>
          </cell>
          <cell r="F200" t="str">
            <v>1TB03007D03</v>
          </cell>
          <cell r="G200" t="str">
            <v>1.TB.03.007.01</v>
          </cell>
          <cell r="J200" t="str">
            <v>Heah &amp; Co</v>
          </cell>
          <cell r="K200" t="str">
            <v>Design Architect, Wellness Core Concept Design - Stage 2, Phase 4 only</v>
          </cell>
        </row>
        <row r="201">
          <cell r="C201" t="str">
            <v>Medical Wellness</v>
          </cell>
          <cell r="F201" t="str">
            <v>1TB03008D04</v>
          </cell>
          <cell r="G201" t="str">
            <v>1.TB.03.008.01</v>
          </cell>
          <cell r="J201" t="str">
            <v>Heah &amp; Co</v>
          </cell>
          <cell r="K201" t="str">
            <v>Design Architect, Wellness Core Concept Design - Stage 2, Phase 4 only</v>
          </cell>
        </row>
        <row r="202">
          <cell r="C202" t="str">
            <v>Multiple</v>
          </cell>
          <cell r="F202" t="str">
            <v>Multiple</v>
          </cell>
          <cell r="G202" t="str">
            <v>Multiple</v>
          </cell>
          <cell r="J202" t="str">
            <v>Heah &amp; Co</v>
          </cell>
          <cell r="K202" t="str">
            <v>Design Architect, Wellness Core Concept Design - Stage 2, Phase 4 only</v>
          </cell>
        </row>
        <row r="203">
          <cell r="C203" t="str">
            <v>Island Wide</v>
          </cell>
          <cell r="F203" t="str">
            <v>1IL90902D27</v>
          </cell>
          <cell r="G203" t="str">
            <v>1.IL.90.902.99</v>
          </cell>
          <cell r="J203" t="str">
            <v>Nicklaus Design LLC</v>
          </cell>
          <cell r="K203" t="str">
            <v>Design Consultancy Services for the Island Golf Course</v>
          </cell>
        </row>
        <row r="204">
          <cell r="C204" t="str">
            <v>AMAALA DevCo</v>
          </cell>
          <cell r="F204" t="str">
            <v>1DC99999D53</v>
          </cell>
          <cell r="G204" t="str">
            <v>1.DC.99.999.99</v>
          </cell>
          <cell r="J204" t="str">
            <v>Five Oceans Environmental Services LLC</v>
          </cell>
          <cell r="K204" t="str">
            <v>Marina Ecological Coral Surveys</v>
          </cell>
        </row>
        <row r="205">
          <cell r="C205" t="str">
            <v>The Marina</v>
          </cell>
          <cell r="F205" t="str">
            <v>1TB01031C04</v>
          </cell>
          <cell r="G205" t="str">
            <v>1.TB.01.031.01</v>
          </cell>
          <cell r="J205" t="str">
            <v>Five Oceans Environmental Services LLC</v>
          </cell>
          <cell r="K205" t="str">
            <v>Marina Ecological Coral Surveys</v>
          </cell>
        </row>
        <row r="206">
          <cell r="C206" t="str">
            <v>Multiple</v>
          </cell>
          <cell r="F206" t="str">
            <v>Multiple</v>
          </cell>
          <cell r="G206" t="str">
            <v>Multiple</v>
          </cell>
          <cell r="J206" t="str">
            <v>Five Oceans Environmental Services LLC</v>
          </cell>
          <cell r="K206" t="str">
            <v>Marina Ecological Coral Surveys</v>
          </cell>
        </row>
        <row r="207">
          <cell r="C207" t="str">
            <v>AMAALA DevCo</v>
          </cell>
          <cell r="F207" t="str">
            <v>1DC99999D38</v>
          </cell>
          <cell r="G207" t="str">
            <v>1.DC.99.999.99</v>
          </cell>
          <cell r="J207" t="str">
            <v>Mace Arabia for Engineering Consultancy</v>
          </cell>
          <cell r="K207" t="str">
            <v>Construction Logistics - Miraya &amp; Island</v>
          </cell>
        </row>
        <row r="208">
          <cell r="C208" t="str">
            <v>AMAALA DevCo</v>
          </cell>
          <cell r="F208" t="str">
            <v>1DC99999D41</v>
          </cell>
          <cell r="G208" t="str">
            <v>1.DC.99.999.99</v>
          </cell>
          <cell r="J208" t="str">
            <v>Sahara Network Company Limited</v>
          </cell>
          <cell r="K208" t="str">
            <v>PMIS Software License Agreement</v>
          </cell>
        </row>
        <row r="209">
          <cell r="C209" t="str">
            <v>AMAALA DevCo</v>
          </cell>
          <cell r="F209" t="str">
            <v>1DC99999D40</v>
          </cell>
          <cell r="G209" t="str">
            <v>1.DC.99.999.99</v>
          </cell>
          <cell r="J209" t="str">
            <v>Sahara Network Company Limited</v>
          </cell>
          <cell r="K209" t="str">
            <v>PMIS Software Implementation Services</v>
          </cell>
        </row>
        <row r="210">
          <cell r="C210" t="str">
            <v>AMAALA DevCo</v>
          </cell>
          <cell r="F210" t="str">
            <v>1DC99999D52</v>
          </cell>
          <cell r="G210" t="str">
            <v>1.DC.99.999.99</v>
          </cell>
          <cell r="J210" t="str">
            <v>Byrne Looby Partners Limited - Bahrain Foreign Branch</v>
          </cell>
          <cell r="K210" t="str">
            <v>Miraya and Island Construction Marina's Design Technical Advisor and Supervision Consultancy Services</v>
          </cell>
        </row>
        <row r="211">
          <cell r="C211" t="str">
            <v>Six Senses Resort</v>
          </cell>
          <cell r="F211" t="str">
            <v>1TB02017D08</v>
          </cell>
          <cell r="G211" t="str">
            <v>1.TB.02.017.01</v>
          </cell>
          <cell r="J211" t="str">
            <v>Byrne Looby Partners Limited - Bahrain Foreign Branch</v>
          </cell>
          <cell r="K211" t="str">
            <v>Miraya and Island Construction Marina's Design Technical Advisor and Supervision Consultancy Services</v>
          </cell>
        </row>
        <row r="212">
          <cell r="C212" t="str">
            <v>Multiple</v>
          </cell>
          <cell r="F212" t="str">
            <v>Multiple</v>
          </cell>
          <cell r="G212" t="str">
            <v>Multiple</v>
          </cell>
          <cell r="J212" t="str">
            <v>Byrne Looby Partners Limited - Bahrain Foreign Branch</v>
          </cell>
          <cell r="K212" t="str">
            <v>Miraya and Island Construction Marina's Design Technical Advisor and Supervision Consultancy Services</v>
          </cell>
        </row>
        <row r="213">
          <cell r="C213" t="str">
            <v>AMAALA DevCo - Staff</v>
          </cell>
          <cell r="F213" t="str">
            <v>1DC99999D34</v>
          </cell>
          <cell r="G213" t="str">
            <v>1.DC.99.999.99</v>
          </cell>
          <cell r="J213" t="str">
            <v>Omnium International Company</v>
          </cell>
          <cell r="K213" t="str">
            <v>Cost Consultancy Services</v>
          </cell>
        </row>
        <row r="214">
          <cell r="C214" t="str">
            <v>Rosewood Resort</v>
          </cell>
          <cell r="F214" t="str">
            <v>1TB02011D16</v>
          </cell>
          <cell r="G214" t="str">
            <v>1.TB.02.011.02</v>
          </cell>
          <cell r="J214" t="str">
            <v>Boundary Visualization Limited</v>
          </cell>
          <cell r="K214" t="str">
            <v>The Preparation of Visual CGI Content for Board Presentation of Triple Bay Phase 1A Assets</v>
          </cell>
        </row>
        <row r="215">
          <cell r="C215" t="str">
            <v>Rosewood Resort</v>
          </cell>
          <cell r="F215" t="str">
            <v>1TB02011D01</v>
          </cell>
          <cell r="G215" t="str">
            <v>1.TB.02.011.01</v>
          </cell>
          <cell r="J215" t="str">
            <v>IZEU Tristan Auer</v>
          </cell>
          <cell r="K215" t="str">
            <v>Interior Design Consultancy Services Beach (Bou) Hotel &amp; Residences</v>
          </cell>
        </row>
        <row r="216">
          <cell r="C216" t="str">
            <v>Marina Lifestyle Hotel &amp; Village</v>
          </cell>
          <cell r="F216" t="str">
            <v>1TB01002D07</v>
          </cell>
          <cell r="G216" t="str">
            <v>1.TB.01.002.01</v>
          </cell>
          <cell r="J216" t="str">
            <v>Wimberly Allison Tong and Goo (UK) Limited</v>
          </cell>
          <cell r="K216" t="str">
            <v>Triple Bay Marina Precinct - Executive Architect Design Competition</v>
          </cell>
        </row>
        <row r="217">
          <cell r="C217" t="str">
            <v>AMAALA DevCo</v>
          </cell>
          <cell r="F217" t="str">
            <v>1DC99999D67</v>
          </cell>
          <cell r="G217" t="str">
            <v>1.DC.99.999.99</v>
          </cell>
          <cell r="J217" t="str">
            <v>Oliver Wyman Limited</v>
          </cell>
          <cell r="K217" t="str">
            <v>The Island Peer Review Process</v>
          </cell>
        </row>
        <row r="218">
          <cell r="C218" t="str">
            <v>Regional Infrastructure  - Wide</v>
          </cell>
          <cell r="F218" t="str">
            <v>1RI12071D13</v>
          </cell>
          <cell r="G218" t="str">
            <v>1.RI.12.071.00</v>
          </cell>
          <cell r="J218" t="str">
            <v>Solaiman A Elkhereiji Consultant</v>
          </cell>
          <cell r="K218" t="str">
            <v>Design Review Consultancy Services</v>
          </cell>
        </row>
        <row r="219">
          <cell r="C219" t="str">
            <v>AMAALA DevCo</v>
          </cell>
          <cell r="F219" t="str">
            <v>1DC99999D37</v>
          </cell>
          <cell r="G219" t="str">
            <v>1.DC.99.999.99</v>
          </cell>
          <cell r="J219" t="str">
            <v>Taj Al Ula Furnished Suites</v>
          </cell>
          <cell r="K219" t="str">
            <v>16 Residential Lease Contracts</v>
          </cell>
        </row>
        <row r="220">
          <cell r="C220" t="str">
            <v>MP4 Wide</v>
          </cell>
          <cell r="F220" t="str">
            <v>1M418907D08</v>
          </cell>
          <cell r="G220" t="str">
            <v>1.M4.18.907.99</v>
          </cell>
          <cell r="J220" t="str">
            <v>Riyadh Geotechnique &amp; Foundations Co.</v>
          </cell>
          <cell r="K220" t="str">
            <v>Oceanographic Survey Services for Master Plan No. 4</v>
          </cell>
        </row>
        <row r="221">
          <cell r="C221" t="str">
            <v>Regional Infrastructure  - Wide</v>
          </cell>
          <cell r="F221" t="str">
            <v>1RI12071D10</v>
          </cell>
          <cell r="G221" t="str">
            <v>1.RI.12.071.00</v>
          </cell>
          <cell r="J221" t="str">
            <v>King Abdulaziz City for Science and Technology (KACST)</v>
          </cell>
          <cell r="K221" t="str">
            <v>Base Map for Amaala Project</v>
          </cell>
        </row>
        <row r="222">
          <cell r="C222" t="str">
            <v>Staff Village - Wide</v>
          </cell>
          <cell r="F222" t="str">
            <v>1SV10110D07</v>
          </cell>
          <cell r="G222" t="str">
            <v>1.SV.10.110.00</v>
          </cell>
          <cell r="J222" t="str">
            <v>Studio International Engineering Consultants</v>
          </cell>
          <cell r="K222" t="str">
            <v>Amaala Triple Bay - Phase 1A &amp; 1B Lead Consultancy Services for Detail Design</v>
          </cell>
        </row>
        <row r="223">
          <cell r="C223" t="str">
            <v>AMAALA DevCo</v>
          </cell>
          <cell r="F223" t="str">
            <v>1DC99999D79</v>
          </cell>
          <cell r="G223" t="str">
            <v>1.DC.99.999.99</v>
          </cell>
          <cell r="J223" t="str">
            <v>GCAM2 LLC</v>
          </cell>
          <cell r="K223" t="str">
            <v>Consultancy on Curatorial and Cultural Elements on Miraya Architecture and Phase 1 Masterplan Design</v>
          </cell>
        </row>
        <row r="224">
          <cell r="C224" t="str">
            <v>Shared Facilities Hub</v>
          </cell>
          <cell r="F224" t="str">
            <v>1RI12073C01</v>
          </cell>
          <cell r="G224" t="str">
            <v>1.RI.12.073.01</v>
          </cell>
          <cell r="J224" t="str">
            <v>Gulf Advanced Control Systems Est</v>
          </cell>
          <cell r="K224" t="str">
            <v>Airport &amp; Heliport Weather Stations</v>
          </cell>
        </row>
        <row r="225">
          <cell r="C225" t="str">
            <v xml:space="preserve">AMAALA Yacht Club </v>
          </cell>
          <cell r="F225" t="str">
            <v>1TB01003D01</v>
          </cell>
          <cell r="G225" t="str">
            <v>1.TB.01.003.01</v>
          </cell>
          <cell r="J225" t="str">
            <v>Dewan Architects &amp; Engineers</v>
          </cell>
          <cell r="K225" t="str">
            <v>Triple Bay Hijaz Yacht Club - Lead Consultant Services</v>
          </cell>
        </row>
        <row r="226">
          <cell r="C226" t="str">
            <v>Wellness Resort 3</v>
          </cell>
          <cell r="F226" t="str">
            <v>1TB07013D02</v>
          </cell>
          <cell r="G226" t="str">
            <v>1.TB.07.013.03</v>
          </cell>
          <cell r="J226" t="str">
            <v>Denniston SDN BHD</v>
          </cell>
          <cell r="K226" t="str">
            <v>The Amaala Oasis Masterplan</v>
          </cell>
        </row>
        <row r="227">
          <cell r="C227" t="str">
            <v>Marina Lifestyle Hotel &amp; Village</v>
          </cell>
          <cell r="F227" t="str">
            <v>1TB01002D04</v>
          </cell>
          <cell r="G227" t="str">
            <v>1.TB.01.002.03</v>
          </cell>
          <cell r="J227" t="str">
            <v>Mandarin Oriental Hotel Group Limited</v>
          </cell>
          <cell r="K227" t="str">
            <v>Interim Technical Services Agreement Relating to Marina Lifestyle Hotel</v>
          </cell>
        </row>
        <row r="228">
          <cell r="C228" t="str">
            <v>Primary Infrastructure</v>
          </cell>
          <cell r="F228" t="str">
            <v>1TB04029D02</v>
          </cell>
          <cell r="G228" t="str">
            <v>1.TB.04.029.01</v>
          </cell>
          <cell r="J228" t="str">
            <v>Cracknell Landscape Design</v>
          </cell>
          <cell r="K228" t="str">
            <v>Landscape Consultancy Services</v>
          </cell>
        </row>
        <row r="229">
          <cell r="C229" t="str">
            <v>Primary Infrastructure</v>
          </cell>
          <cell r="F229" t="str">
            <v>1TB04029D10</v>
          </cell>
          <cell r="G229" t="str">
            <v>1.TB.04.029.01</v>
          </cell>
          <cell r="J229" t="str">
            <v>Aurecon Engineering International (PTY) Limited (Dubai Branch)</v>
          </cell>
          <cell r="K229" t="str">
            <v>Construction Logistics Consultancy Services - Triple Bay</v>
          </cell>
        </row>
        <row r="230">
          <cell r="C230" t="str">
            <v>Wellness Resort 3</v>
          </cell>
          <cell r="F230" t="str">
            <v>1TB07013C01</v>
          </cell>
          <cell r="G230" t="str">
            <v>1.TB.07.013.03</v>
          </cell>
          <cell r="J230" t="str">
            <v>Luxury Frontiers LLC</v>
          </cell>
          <cell r="K230" t="str">
            <v>Design &amp; Development Services for Luxury Tented Camps for the Amaala Oasis Development</v>
          </cell>
        </row>
        <row r="231">
          <cell r="C231" t="str">
            <v>Miraya Wide</v>
          </cell>
          <cell r="F231" t="str">
            <v>1MR17906D02</v>
          </cell>
          <cell r="G231" t="str">
            <v>1.MR.17.906.99</v>
          </cell>
          <cell r="J231" t="str">
            <v>Ateliers Jean Nouvel</v>
          </cell>
          <cell r="K231" t="str">
            <v>Miraya Masterplan Consulting Services</v>
          </cell>
        </row>
        <row r="232">
          <cell r="C232" t="str">
            <v xml:space="preserve">Polo Club &amp; Equestrian Centre </v>
          </cell>
          <cell r="F232" t="str">
            <v>1TB07015D01</v>
          </cell>
          <cell r="G232" t="str">
            <v>1.TB.07.015.01</v>
          </cell>
          <cell r="J232" t="str">
            <v>Figueras Design Group LLC</v>
          </cell>
          <cell r="K232" t="str">
            <v>Concept Master Plan Services for Triple Bay North Polo and Equestrian Facilities</v>
          </cell>
        </row>
        <row r="233">
          <cell r="C233" t="str">
            <v>Primary Infrastructure</v>
          </cell>
          <cell r="F233" t="str">
            <v>1TB04029C04</v>
          </cell>
          <cell r="G233" t="str">
            <v>1.TB.04.029.01</v>
          </cell>
          <cell r="J233" t="str">
            <v>Falcon Eye Drones Planning &amp; Ariel Photography Services LLC</v>
          </cell>
          <cell r="K233" t="str">
            <v>Construction Progress Imagery</v>
          </cell>
        </row>
        <row r="234">
          <cell r="C234" t="str">
            <v>Staff Village - Wide</v>
          </cell>
          <cell r="F234" t="str">
            <v>1SV10110D06</v>
          </cell>
          <cell r="G234" t="str">
            <v>1.SV.10.110.00</v>
          </cell>
          <cell r="J234" t="str">
            <v>Studio International Engineering Consultants</v>
          </cell>
          <cell r="K234" t="str">
            <v>Staff Village Phase 1B Concept and Schematic Design, Consultancy Services</v>
          </cell>
        </row>
        <row r="235">
          <cell r="C235" t="str">
            <v>Marina Hotel 3</v>
          </cell>
          <cell r="F235" t="str">
            <v>1TB01009D05</v>
          </cell>
          <cell r="G235" t="str">
            <v>1.TB.01.009.01</v>
          </cell>
          <cell r="J235" t="str">
            <v>Turner &amp; Townsend Albassam</v>
          </cell>
          <cell r="K235" t="str">
            <v>Cost Consultancy Services Agreement - Asset Type B</v>
          </cell>
        </row>
        <row r="236">
          <cell r="C236" t="str">
            <v>Marina Lifestyle Hotel &amp; Village</v>
          </cell>
          <cell r="F236" t="str">
            <v>1TB01002D01</v>
          </cell>
          <cell r="G236" t="str">
            <v>1.TB.01.002.01</v>
          </cell>
          <cell r="J236" t="str">
            <v>Benoy Limited</v>
          </cell>
          <cell r="K236" t="str">
            <v>Triple Bay Marina Precinct - Executive Architect Design Competition</v>
          </cell>
        </row>
        <row r="237">
          <cell r="C237" t="str">
            <v>Marina Lifestyle Hotel &amp; Village</v>
          </cell>
          <cell r="F237" t="str">
            <v>1TB01002D02</v>
          </cell>
          <cell r="G237" t="str">
            <v>1.TB.01.002.01</v>
          </cell>
          <cell r="J237" t="str">
            <v>Foster + Partners Limited</v>
          </cell>
          <cell r="K237" t="str">
            <v>Triple Bay Marina Precinct - Executive Architect Design Competition</v>
          </cell>
        </row>
        <row r="238">
          <cell r="C238" t="str">
            <v>MP4 Wide</v>
          </cell>
          <cell r="F238" t="str">
            <v>1M418907D03</v>
          </cell>
          <cell r="G238" t="str">
            <v>1.M4.18.907.99</v>
          </cell>
          <cell r="J238" t="str">
            <v>Ernst &amp; Young &amp; Co Chartered Accountants (Professional)</v>
          </cell>
          <cell r="K238" t="str">
            <v>Development Strategy for AMAALA's Masterplan 4</v>
          </cell>
        </row>
        <row r="239">
          <cell r="C239" t="str">
            <v>Construction Village Section 1</v>
          </cell>
          <cell r="F239" t="str">
            <v>1TB00032C01</v>
          </cell>
          <cell r="G239" t="str">
            <v>1.TB.00.032.01</v>
          </cell>
          <cell r="J239" t="str">
            <v>Tamimi Global Company Limited for Services and Maintenance</v>
          </cell>
          <cell r="K239" t="str">
            <v>AMAALA Construction Village at Triple Bay</v>
          </cell>
        </row>
        <row r="240">
          <cell r="C240" t="str">
            <v>Construction Village Section 2 &amp; 3</v>
          </cell>
          <cell r="F240" t="str">
            <v>1CV08033C01</v>
          </cell>
          <cell r="G240" t="str">
            <v>1.CV.08.033.01</v>
          </cell>
          <cell r="J240" t="str">
            <v>Tamimi Global Company Limited for Services and Maintenance</v>
          </cell>
          <cell r="K240" t="str">
            <v>AMAALA Construction Village at Triple Bay</v>
          </cell>
        </row>
        <row r="241">
          <cell r="C241" t="str">
            <v>Multiple</v>
          </cell>
          <cell r="F241" t="str">
            <v>Multiple</v>
          </cell>
          <cell r="G241" t="str">
            <v>Multiple</v>
          </cell>
          <cell r="J241" t="str">
            <v>Tamimi Global Company Limited for Services and Maintenance</v>
          </cell>
          <cell r="K241" t="str">
            <v>AMAALA Construction Village at Triple Bay</v>
          </cell>
        </row>
        <row r="242">
          <cell r="C242" t="str">
            <v>MP4 Wide</v>
          </cell>
          <cell r="F242" t="str">
            <v>1M418907D01</v>
          </cell>
          <cell r="G242" t="str">
            <v>1.M4.18.907.99</v>
          </cell>
          <cell r="J242" t="str">
            <v>Buro Happold Limited</v>
          </cell>
          <cell r="K242" t="str">
            <v>Planning, Engineering &amp; Environment Services Support to Masterplan 4</v>
          </cell>
        </row>
        <row r="243">
          <cell r="C243" t="str">
            <v>Rosewood Resort</v>
          </cell>
          <cell r="F243" t="str">
            <v>1TB02011D02</v>
          </cell>
          <cell r="G243" t="str">
            <v>1.TB.02.011.01</v>
          </cell>
          <cell r="J243" t="str">
            <v>Rosewood Hotels &amp; Resorts Netherlands BV</v>
          </cell>
          <cell r="K243" t="str">
            <v>Design and Project and Pre-Opening Services Agreement</v>
          </cell>
        </row>
        <row r="244">
          <cell r="C244" t="str">
            <v>Regional Infrastructure  - Wide</v>
          </cell>
          <cell r="F244" t="str">
            <v>1RI12071D14</v>
          </cell>
          <cell r="G244" t="str">
            <v>1.RI.12.071.00</v>
          </cell>
          <cell r="J244" t="str">
            <v>Synergy Consulting Infrastructure and Financial Advisory Services INC</v>
          </cell>
          <cell r="K244" t="str">
            <v>Financial Advisory Services for Regional Infrastructure PPP</v>
          </cell>
        </row>
        <row r="245">
          <cell r="C245" t="str">
            <v>MP4 Wide</v>
          </cell>
          <cell r="F245" t="str">
            <v>1M418907D04</v>
          </cell>
          <cell r="G245" t="str">
            <v>1.M4.18.907.99</v>
          </cell>
          <cell r="J245" t="str">
            <v>Fugro Suhaimi Ltd</v>
          </cell>
          <cell r="K245" t="str">
            <v>Survey Services for Master Plan No. 4</v>
          </cell>
        </row>
        <row r="246">
          <cell r="C246" t="str">
            <v>Highways and Civils</v>
          </cell>
          <cell r="F246" t="str">
            <v>1RI12078D01</v>
          </cell>
          <cell r="G246" t="str">
            <v>1.RI.12.078.01</v>
          </cell>
          <cell r="J246" t="str">
            <v>AECOM Arabia Ltd. Co</v>
          </cell>
          <cell r="K246" t="str">
            <v>AMAALA Project - Desalination Plant Environmental Appraisal and Hydrodynamic Study</v>
          </cell>
        </row>
        <row r="247">
          <cell r="C247" t="str">
            <v>Shared Facilities Hub</v>
          </cell>
          <cell r="F247" t="str">
            <v>1RI12073D01</v>
          </cell>
          <cell r="G247" t="str">
            <v>1.RI.12.073.01</v>
          </cell>
          <cell r="J247" t="str">
            <v>AECOM Arabia Ltd. Co</v>
          </cell>
          <cell r="K247" t="str">
            <v>AMAALA Project - Master Planning Services - Shared Facilities Hubs</v>
          </cell>
        </row>
        <row r="248">
          <cell r="C248" t="str">
            <v>Ocean Golf Private Residences - Phase 2</v>
          </cell>
          <cell r="F248" t="str">
            <v>1TB05041C01</v>
          </cell>
          <cell r="G248" t="str">
            <v>1.TB.05.041.01</v>
          </cell>
          <cell r="J248" t="str">
            <v>Rimal Al Wajh Apartments for Residential Units</v>
          </cell>
          <cell r="K248" t="str">
            <v>Rimal Al Wajh Residential Lease Agreements</v>
          </cell>
        </row>
        <row r="249">
          <cell r="C249" t="str">
            <v>Security Infrastructure</v>
          </cell>
          <cell r="F249" t="str">
            <v>1RI12082D01</v>
          </cell>
          <cell r="G249" t="str">
            <v>1.RI.12.082.01</v>
          </cell>
          <cell r="J249" t="str">
            <v>CH2M Saudi Limited Company</v>
          </cell>
          <cell r="K249" t="str">
            <v>Engineering Design &amp; Construction Supervision Services for Highways &amp; Civils Works (CP1)</v>
          </cell>
        </row>
        <row r="250">
          <cell r="C250" t="str">
            <v>TECHNICAL SERVICES</v>
          </cell>
          <cell r="F250" t="str">
            <v>1OC96996D06</v>
          </cell>
          <cell r="G250" t="str">
            <v>1.OC.00.999.99</v>
          </cell>
          <cell r="J250" t="str">
            <v>Sustainable Luxury Management (Thailand) Limited</v>
          </cell>
          <cell r="K250" t="str">
            <v>Interim Services Agreement - Six Senses Amaala Integrative Wellness Resort</v>
          </cell>
        </row>
        <row r="251">
          <cell r="C251" t="str">
            <v xml:space="preserve">AMAALA Yacht Club </v>
          </cell>
          <cell r="F251" t="str">
            <v>1TB01003D03</v>
          </cell>
          <cell r="G251" t="str">
            <v>1.TB.01.003.01</v>
          </cell>
          <cell r="J251" t="str">
            <v>HKS Architects Limited</v>
          </cell>
          <cell r="K251" t="str">
            <v>Triple Bay Marine Yacht Club - Design Architect Consultancy Services</v>
          </cell>
        </row>
        <row r="252">
          <cell r="C252" t="str">
            <v>AMAALA DevCo</v>
          </cell>
          <cell r="F252" t="str">
            <v>1DC99999D83</v>
          </cell>
          <cell r="G252" t="str">
            <v>1.DC.99.999.99</v>
          </cell>
          <cell r="J252" t="str">
            <v>Hassan Hamdi Al Harbi Contracting Est.</v>
          </cell>
          <cell r="K252" t="str">
            <v>Miraya Shoreline &amp; Oasis Shoreline Litter Collection</v>
          </cell>
        </row>
        <row r="253">
          <cell r="C253" t="str">
            <v>AMAALA DevCo</v>
          </cell>
          <cell r="F253" t="str">
            <v>1DC99999D22</v>
          </cell>
          <cell r="G253" t="str">
            <v>1.DC.99.999.99</v>
          </cell>
          <cell r="J253" t="str">
            <v>Collaboration, Management &amp; Control Solutions (CMCS) FZ-LLC</v>
          </cell>
          <cell r="K253" t="str">
            <v>PM Web Data Migration, Implementation and Training Services</v>
          </cell>
        </row>
        <row r="254">
          <cell r="C254" t="str">
            <v>Integrative Wellness</v>
          </cell>
          <cell r="F254" t="str">
            <v>1TB03007D02</v>
          </cell>
          <cell r="G254" t="str">
            <v>1.TB.03.007.01</v>
          </cell>
          <cell r="J254" t="str">
            <v>Heah &amp; Co</v>
          </cell>
          <cell r="K254" t="str">
            <v>Design Architect, Pre-Concept Design Services</v>
          </cell>
        </row>
        <row r="255">
          <cell r="C255" t="str">
            <v>AMAALA DevCo</v>
          </cell>
          <cell r="F255" t="str">
            <v>1DC99999D21</v>
          </cell>
          <cell r="G255" t="str">
            <v>1.DC.99.999.99</v>
          </cell>
          <cell r="J255" t="str">
            <v>Collaboration, Management &amp; Control Solutions (CMCS) FZ-LLC</v>
          </cell>
          <cell r="K255" t="str">
            <v>CMCS - PMWeb End User License Agreement</v>
          </cell>
        </row>
        <row r="256">
          <cell r="C256" t="str">
            <v>AMAALA DevCo</v>
          </cell>
          <cell r="F256" t="str">
            <v>1DC99999D63</v>
          </cell>
          <cell r="G256" t="str">
            <v>1.DC.99.999.99</v>
          </cell>
          <cell r="J256" t="str">
            <v>Civitas Architecture Inc</v>
          </cell>
          <cell r="K256" t="str">
            <v>Master Planning and Urban Design Services for 'The Island' Contract</v>
          </cell>
        </row>
        <row r="257">
          <cell r="C257" t="str">
            <v>MP4 Wide</v>
          </cell>
          <cell r="F257" t="str">
            <v>1M418907D07</v>
          </cell>
          <cell r="G257" t="str">
            <v>1.M4.18.907.99</v>
          </cell>
          <cell r="J257" t="str">
            <v>Riyadh Geotechnique &amp; Foundations Co.</v>
          </cell>
          <cell r="K257" t="str">
            <v>Geotechnical Ground Investigations Services Support to Masterplan 4</v>
          </cell>
        </row>
        <row r="258">
          <cell r="C258" t="str">
            <v>Four Seasons Resort</v>
          </cell>
          <cell r="F258" t="str">
            <v>1TB02012D01</v>
          </cell>
          <cell r="G258" t="str">
            <v>1.TB.02.012.01</v>
          </cell>
          <cell r="J258" t="str">
            <v>Four Seasons Hotels Limited</v>
          </cell>
          <cell r="K258" t="str">
            <v>Interim Services Agreement</v>
          </cell>
        </row>
        <row r="259">
          <cell r="C259" t="str">
            <v>Marina Hotel 3</v>
          </cell>
          <cell r="F259" t="str">
            <v>1TB01009D04</v>
          </cell>
          <cell r="G259" t="str">
            <v>1.TB.01.009.01</v>
          </cell>
          <cell r="J259" t="str">
            <v>Foster + Partners Limited</v>
          </cell>
          <cell r="K259" t="str">
            <v>Architectural and Masterplan Advisory Consultancy Services</v>
          </cell>
        </row>
        <row r="260">
          <cell r="C260" t="str">
            <v>The Marina</v>
          </cell>
          <cell r="F260" t="str">
            <v>1TB01031C01</v>
          </cell>
          <cell r="G260" t="str">
            <v>1.TB.01.031.01</v>
          </cell>
          <cell r="J260" t="str">
            <v>Alsaad General Contracting Company</v>
          </cell>
          <cell r="K260" t="str">
            <v>Triple Bay Marina Basin - Early Contractor Involvement</v>
          </cell>
        </row>
        <row r="261">
          <cell r="C261" t="str">
            <v>Regional Infrastructure  - Wide</v>
          </cell>
          <cell r="F261" t="str">
            <v>1RI12071D09</v>
          </cell>
          <cell r="G261" t="str">
            <v>1.RI.12.071.00</v>
          </cell>
          <cell r="J261" t="str">
            <v>Hyder &amp; Solaiman El Khereiji Engineering Consulting Company</v>
          </cell>
          <cell r="K261" t="str">
            <v>Services Agreement for Permitting Processes and Procedures Consultancy Services</v>
          </cell>
        </row>
        <row r="262">
          <cell r="C262" t="str">
            <v>AMAALA DevCo - Staff</v>
          </cell>
          <cell r="F262" t="str">
            <v>1DC99999D36</v>
          </cell>
          <cell r="G262" t="str">
            <v>1.DC.99.999.99</v>
          </cell>
          <cell r="J262" t="str">
            <v>Rider Levett Bucknall Saudi Arabia Ltd</v>
          </cell>
          <cell r="K262" t="str">
            <v>Executive Cost Planning and Cost Management Consultancy Services</v>
          </cell>
        </row>
        <row r="263">
          <cell r="C263" t="str">
            <v>AMAALA DevCo - Staff</v>
          </cell>
          <cell r="F263" t="str">
            <v>1DC99999F13</v>
          </cell>
          <cell r="G263" t="str">
            <v>1.DC.99.999.99</v>
          </cell>
          <cell r="J263" t="str">
            <v>Mirage Leisure and Development</v>
          </cell>
          <cell r="K263" t="str">
            <v>AMAALA Integrated Project Team Services Framework</v>
          </cell>
        </row>
        <row r="264">
          <cell r="C264" t="str">
            <v>AMAALA DevCo - Staff</v>
          </cell>
          <cell r="F264" t="str">
            <v>1DC99999F12</v>
          </cell>
          <cell r="G264" t="str">
            <v>1.DC.99.999.99</v>
          </cell>
          <cell r="J264" t="str">
            <v>TBH Middle East Cost Control and Risk Management Services LLC</v>
          </cell>
          <cell r="K264" t="str">
            <v>AMAALA Integrated Project Team Services Framework</v>
          </cell>
        </row>
        <row r="265">
          <cell r="C265" t="str">
            <v>AMAALA DevCo - Staff</v>
          </cell>
          <cell r="F265" t="str">
            <v>1DC99999F06</v>
          </cell>
          <cell r="G265" t="str">
            <v>1.DC.99.999.99</v>
          </cell>
          <cell r="J265" t="str">
            <v>Mace Arabia for Engineering Consultancy</v>
          </cell>
          <cell r="K265" t="str">
            <v>AMAALA Integrated Project Team Services Framework</v>
          </cell>
        </row>
        <row r="266">
          <cell r="C266" t="str">
            <v>Construction Village Section 1</v>
          </cell>
          <cell r="F266" t="str">
            <v>1TB00032D05</v>
          </cell>
          <cell r="G266" t="str">
            <v>1.TB.00.032.01</v>
          </cell>
          <cell r="J266" t="str">
            <v>Solaiman A Elkhereiji Consultant</v>
          </cell>
          <cell r="K266" t="str">
            <v>Construction Worker Facilities Supervision Consultancy Services Phase 1 - Triple Bay</v>
          </cell>
        </row>
        <row r="267">
          <cell r="C267" t="str">
            <v>Staff Village - Wide</v>
          </cell>
          <cell r="F267" t="str">
            <v>1SV10110D04</v>
          </cell>
          <cell r="G267" t="str">
            <v>1.SV.10.110.00</v>
          </cell>
          <cell r="J267" t="str">
            <v>Solaiman A Elkhereiji Consultant</v>
          </cell>
          <cell r="K267" t="str">
            <v>Management Village Design and Supervision Services at Triple Bay and Miraya</v>
          </cell>
        </row>
        <row r="268">
          <cell r="C268" t="str">
            <v>AMAALA DevCo</v>
          </cell>
          <cell r="F268" t="str">
            <v>1DC99999D45</v>
          </cell>
          <cell r="G268" t="str">
            <v>1.DC.99.999.99</v>
          </cell>
          <cell r="J268" t="str">
            <v>Solaiman A Elkhereiji Consultant</v>
          </cell>
          <cell r="K268" t="str">
            <v>Management Village Design and Supervision Services at Triple Bay and Miraya</v>
          </cell>
        </row>
        <row r="269">
          <cell r="C269" t="str">
            <v>Multiple</v>
          </cell>
          <cell r="F269" t="str">
            <v>Multiple</v>
          </cell>
          <cell r="G269" t="str">
            <v>Multiple</v>
          </cell>
          <cell r="J269" t="str">
            <v>Solaiman A Elkhereiji Consultant</v>
          </cell>
          <cell r="K269" t="str">
            <v>Management Village Design and Supervision Services at Triple Bay and Miraya</v>
          </cell>
        </row>
        <row r="270">
          <cell r="C270" t="str">
            <v>Rosewood Resort</v>
          </cell>
          <cell r="F270" t="str">
            <v>1TB02011D15</v>
          </cell>
          <cell r="G270" t="str">
            <v>1.TB.02.011.02</v>
          </cell>
          <cell r="J270" t="str">
            <v>Boundary Visualization Limited</v>
          </cell>
          <cell r="K270" t="str">
            <v>Preparation of Visual CGI Content for Board Presentation of Triple Bay Phase 1A Assets</v>
          </cell>
        </row>
        <row r="271">
          <cell r="C271" t="str">
            <v>Regional Infrastructure  - Wide</v>
          </cell>
          <cell r="F271" t="str">
            <v>1RI12071D07</v>
          </cell>
          <cell r="G271" t="str">
            <v>1.RI.12.071.00</v>
          </cell>
          <cell r="J271" t="str">
            <v>Fichtner Consulting Engineers Saudi Arabia</v>
          </cell>
          <cell r="K271" t="str">
            <v>Technical Advisory Services for Regional Infrastructure PPP</v>
          </cell>
        </row>
        <row r="272">
          <cell r="C272" t="str">
            <v>Rosewood Resort</v>
          </cell>
          <cell r="F272" t="str">
            <v>1TB02011D14</v>
          </cell>
          <cell r="G272" t="str">
            <v>1.TB.02.011.02</v>
          </cell>
          <cell r="J272" t="str">
            <v>Boundary Visualization Limited</v>
          </cell>
          <cell r="K272" t="str">
            <v>Preparation of Visual CGI Content for Board Presentation of Triple Bay Phase 1A Assets</v>
          </cell>
        </row>
        <row r="273">
          <cell r="C273" t="str">
            <v>The Marina</v>
          </cell>
          <cell r="F273" t="str">
            <v>1TB01031C03</v>
          </cell>
          <cell r="G273" t="str">
            <v>1.TB.01.031.01</v>
          </cell>
          <cell r="J273" t="str">
            <v>Dredging International Saudi Arabia Ltd</v>
          </cell>
          <cell r="K273" t="str">
            <v>Triple Bay Marina Basin - Early Contractor Involvement</v>
          </cell>
        </row>
        <row r="274">
          <cell r="C274" t="str">
            <v>AMAALA DevCo - Staff</v>
          </cell>
          <cell r="F274" t="str">
            <v>1DC99999F09</v>
          </cell>
          <cell r="G274" t="str">
            <v>1.DC.99.999.99</v>
          </cell>
          <cell r="J274" t="str">
            <v>Rider Levett Bucknall Saudi Arabia Ltd</v>
          </cell>
          <cell r="K274" t="str">
            <v>AMAALA Integrated Project Team Services Framework</v>
          </cell>
        </row>
        <row r="275">
          <cell r="C275" t="str">
            <v>AMAALA DevCo - Staff</v>
          </cell>
          <cell r="F275" t="str">
            <v>1DC99999F07</v>
          </cell>
          <cell r="G275" t="str">
            <v>1.DC.99.999.99</v>
          </cell>
          <cell r="J275" t="str">
            <v>MLC International LTD (Dubai Br)</v>
          </cell>
          <cell r="K275" t="str">
            <v>AMAALA Integrated Project Team Services Framework</v>
          </cell>
        </row>
        <row r="276">
          <cell r="C276" t="str">
            <v>AMAALA DevCo - Staff</v>
          </cell>
          <cell r="F276" t="str">
            <v>1DC99999F05</v>
          </cell>
          <cell r="G276" t="str">
            <v>1.DC.99.999.99</v>
          </cell>
          <cell r="J276" t="str">
            <v>Saudi Consolidated Engineering Company (Khatib &amp; Alami)</v>
          </cell>
          <cell r="K276" t="str">
            <v>AMAALA Integrated Project Team Services Framework</v>
          </cell>
        </row>
        <row r="277">
          <cell r="C277" t="str">
            <v>AMAALA DevCo - Staff</v>
          </cell>
          <cell r="F277" t="str">
            <v>1DC99999F04</v>
          </cell>
          <cell r="G277" t="str">
            <v>1.DC.99.999.99</v>
          </cell>
          <cell r="J277" t="str">
            <v>Arcadis International Saudi Engineering Consultant</v>
          </cell>
          <cell r="K277" t="str">
            <v>AMAALA Integrated Project Team Services Framework</v>
          </cell>
        </row>
        <row r="278">
          <cell r="C278" t="str">
            <v>Red Sea Marine Life Institute</v>
          </cell>
          <cell r="F278" t="str">
            <v>1TB01005D01</v>
          </cell>
          <cell r="G278" t="str">
            <v>1.TB.01.005.01</v>
          </cell>
          <cell r="J278" t="str">
            <v>Foster + Partners Limited</v>
          </cell>
          <cell r="K278" t="str">
            <v>Triple Bay Red Sea Marine Life Institute - Architectural and Design Consultancy Services</v>
          </cell>
        </row>
        <row r="279">
          <cell r="C279" t="str">
            <v>Four Seasons Resort</v>
          </cell>
          <cell r="F279" t="str">
            <v>1TB02012D02</v>
          </cell>
          <cell r="G279" t="str">
            <v>1.TB.02.012.01</v>
          </cell>
          <cell r="J279" t="str">
            <v>OBMI (Miami) International</v>
          </cell>
          <cell r="K279" t="str">
            <v>Culinary Destination Hotel &amp; Residencies</v>
          </cell>
        </row>
        <row r="280">
          <cell r="C280" t="str">
            <v>AMAALA DevCo</v>
          </cell>
          <cell r="F280" t="str">
            <v>1DC99999D30</v>
          </cell>
          <cell r="G280" t="str">
            <v>1.DC.99.999.99</v>
          </cell>
          <cell r="J280" t="str">
            <v>Invicara Limited</v>
          </cell>
          <cell r="K280" t="str">
            <v>Enterprise Information Management (EIM)</v>
          </cell>
        </row>
        <row r="281">
          <cell r="C281" t="str">
            <v>AMAALA DevCo - Staff</v>
          </cell>
          <cell r="F281" t="str">
            <v>1DC99999F11</v>
          </cell>
          <cell r="G281" t="str">
            <v>1.DC.99.999.99</v>
          </cell>
          <cell r="J281" t="str">
            <v>Saudi Arabian Parsons LTD</v>
          </cell>
          <cell r="K281" t="str">
            <v>AMAALA Integrated Project Team Services Framework</v>
          </cell>
        </row>
        <row r="282">
          <cell r="C282" t="str">
            <v>AMAALA DevCo - Staff</v>
          </cell>
          <cell r="F282" t="str">
            <v>1DC99999F08</v>
          </cell>
          <cell r="G282" t="str">
            <v>1.DC.99.999.99</v>
          </cell>
          <cell r="J282" t="str">
            <v>Omnium International Company</v>
          </cell>
          <cell r="K282" t="str">
            <v>AMAALA Integrated Project Team Services Framework</v>
          </cell>
        </row>
        <row r="283">
          <cell r="C283" t="str">
            <v>AMAALA DevCo - Staff</v>
          </cell>
          <cell r="F283" t="str">
            <v>1DC99999F10</v>
          </cell>
          <cell r="G283" t="str">
            <v>1.DC.99.999.99</v>
          </cell>
          <cell r="J283" t="str">
            <v>Robert Bird Group Pty Ltd (Dubai Branch)</v>
          </cell>
          <cell r="K283" t="str">
            <v>AMAALA Integrated Project Team Services Framework</v>
          </cell>
        </row>
        <row r="284">
          <cell r="C284" t="str">
            <v>AMAALA DevCo - Staff</v>
          </cell>
          <cell r="F284" t="str">
            <v>1DC99999F01</v>
          </cell>
          <cell r="G284" t="str">
            <v>1.DC.99.999.99</v>
          </cell>
          <cell r="J284" t="str">
            <v>AECOM Arabia Ltd. Co</v>
          </cell>
          <cell r="K284" t="str">
            <v>AMAALA Integrated Project Team Services Framework</v>
          </cell>
        </row>
        <row r="285">
          <cell r="C285" t="str">
            <v>AMAALA DevCo</v>
          </cell>
          <cell r="F285" t="str">
            <v>1DC99999D65</v>
          </cell>
          <cell r="G285" t="str">
            <v>1.DC.99.999.99</v>
          </cell>
          <cell r="J285" t="str">
            <v>Denniston SDN BHD</v>
          </cell>
          <cell r="K285" t="str">
            <v>Amaala Island - 2020 Concept Masterplan Reconciliation</v>
          </cell>
        </row>
        <row r="286">
          <cell r="C286" t="str">
            <v>Rosewood Resort</v>
          </cell>
          <cell r="F286" t="str">
            <v>1TB02011D03</v>
          </cell>
          <cell r="G286" t="str">
            <v>1.TB.02.011.01</v>
          </cell>
          <cell r="J286" t="str">
            <v>Twozan Surveys</v>
          </cell>
          <cell r="K286" t="str">
            <v>3D Topography Survey</v>
          </cell>
        </row>
        <row r="287">
          <cell r="C287" t="str">
            <v>Six Senses Resort</v>
          </cell>
          <cell r="F287" t="str">
            <v>1TB02017D02</v>
          </cell>
          <cell r="G287" t="str">
            <v>1.TB.02.017.01</v>
          </cell>
          <cell r="J287" t="str">
            <v>Twozan Surveys</v>
          </cell>
          <cell r="K287" t="str">
            <v>3D Topography Survey</v>
          </cell>
        </row>
        <row r="288">
          <cell r="C288" t="str">
            <v>Medical Wellness</v>
          </cell>
          <cell r="F288" t="str">
            <v>1TB03008D10</v>
          </cell>
          <cell r="G288" t="str">
            <v>1.TB.03.008.01</v>
          </cell>
          <cell r="J288" t="str">
            <v>Twozan Surveys</v>
          </cell>
          <cell r="K288" t="str">
            <v>3D Topography Survey</v>
          </cell>
        </row>
        <row r="289">
          <cell r="C289" t="str">
            <v>Multiple</v>
          </cell>
          <cell r="F289" t="str">
            <v>Multiple</v>
          </cell>
          <cell r="G289" t="str">
            <v>Multiple</v>
          </cell>
          <cell r="J289" t="str">
            <v>Twozan Surveys</v>
          </cell>
          <cell r="K289" t="str">
            <v>3D Topography Survey</v>
          </cell>
        </row>
        <row r="290">
          <cell r="C290" t="str">
            <v>Integrative Wellness</v>
          </cell>
          <cell r="F290" t="str">
            <v>1TB03007D06</v>
          </cell>
          <cell r="G290" t="str">
            <v>1.TB.03.007.01</v>
          </cell>
          <cell r="J290" t="str">
            <v>SPA Venture Group Limited</v>
          </cell>
          <cell r="K290" t="str">
            <v>Technical Service Agreement - Wellness Development - Integrated Wellness Hotel, Villas, Centre / Organic Farm Building, Farm &amp; Cultural Village Contents</v>
          </cell>
        </row>
        <row r="291">
          <cell r="C291" t="str">
            <v>AMAALA DevCo - Staff</v>
          </cell>
          <cell r="F291" t="str">
            <v>1DC99999D44</v>
          </cell>
          <cell r="G291" t="str">
            <v>1.DC.99.999.99</v>
          </cell>
          <cell r="J291" t="str">
            <v>Turner &amp; Townsend Albassam Engineering Consultancy</v>
          </cell>
          <cell r="K291" t="str">
            <v>Planning &amp; Programming Consultancy Services Agreement</v>
          </cell>
        </row>
        <row r="292">
          <cell r="C292" t="str">
            <v>Staff Village - Wide</v>
          </cell>
          <cell r="F292" t="str">
            <v>1SV10110D05</v>
          </cell>
          <cell r="G292" t="str">
            <v>1.SV.10.110.00</v>
          </cell>
          <cell r="J292" t="str">
            <v>Studio International Engineering Consultants</v>
          </cell>
          <cell r="K292" t="str">
            <v>Staff Village Design Consultancy Services</v>
          </cell>
        </row>
        <row r="293">
          <cell r="C293" t="str">
            <v>Integrative Wellness</v>
          </cell>
          <cell r="F293" t="str">
            <v>1TB03007D07</v>
          </cell>
          <cell r="G293" t="str">
            <v>1.TB.03.007.01</v>
          </cell>
          <cell r="J293" t="str">
            <v>SPA Venture Group Limited</v>
          </cell>
          <cell r="K293" t="str">
            <v>Technical Service Agreement - Wellness Development - VIP Compound Main &amp; Entourage Village Contents</v>
          </cell>
        </row>
        <row r="294">
          <cell r="C294" t="str">
            <v>AMAALA DevCo - Staff</v>
          </cell>
          <cell r="F294" t="str">
            <v>1DC99999D43</v>
          </cell>
          <cell r="G294" t="str">
            <v>1.DC.99.999.99</v>
          </cell>
          <cell r="J294" t="str">
            <v>TBH Middle East Cost Control and Risk Management Services LLC</v>
          </cell>
          <cell r="K294" t="str">
            <v>Planning &amp; Programming Consultancy Services Agreement</v>
          </cell>
        </row>
        <row r="295">
          <cell r="C295" t="str">
            <v>TECHNICAL SERVICES</v>
          </cell>
          <cell r="F295" t="str">
            <v>1OC96996D05</v>
          </cell>
          <cell r="G295" t="str">
            <v>1.OC.00.999.99</v>
          </cell>
          <cell r="J295" t="str">
            <v>Clinique La Prairie SA</v>
          </cell>
          <cell r="K295" t="str">
            <v>Interim Technical Services Agreement Relating to Medical Wellness</v>
          </cell>
        </row>
        <row r="296">
          <cell r="C296" t="str">
            <v>Medical Wellness</v>
          </cell>
          <cell r="F296" t="str">
            <v>1TB03008D08</v>
          </cell>
          <cell r="G296" t="str">
            <v>1.TB.03.008.02</v>
          </cell>
          <cell r="J296" t="str">
            <v>SPA Venture Group Limited</v>
          </cell>
          <cell r="K296" t="str">
            <v>Technical Services Agreement - Medical Wellness Hotel, Villas, Centre &amp; Cosmetic Surgery Centre / Healing Retreat Contents</v>
          </cell>
        </row>
        <row r="297">
          <cell r="C297" t="str">
            <v>AMAALA DevCo</v>
          </cell>
          <cell r="F297" t="str">
            <v>1DC99999D48</v>
          </cell>
          <cell r="G297" t="str">
            <v>1.DC.99.999.99</v>
          </cell>
          <cell r="J297" t="str">
            <v>Ateliers Jean Nouvel</v>
          </cell>
          <cell r="K297" t="str">
            <v>Miraya Master Plan &amp; Arts &amp; Culture Strategy Consulting Services</v>
          </cell>
        </row>
        <row r="298">
          <cell r="C298" t="str">
            <v>AMAALA DevCo</v>
          </cell>
          <cell r="F298" t="str">
            <v>1DC99999D42</v>
          </cell>
          <cell r="G298" t="str">
            <v>1.DC.99.999.99</v>
          </cell>
          <cell r="J298" t="str">
            <v>Solid Support Pty Limited</v>
          </cell>
          <cell r="K298" t="str">
            <v>4D Visual Model Consultancy Services</v>
          </cell>
        </row>
        <row r="299">
          <cell r="C299" t="str">
            <v>Medical Wellness</v>
          </cell>
          <cell r="F299" t="str">
            <v>1TB03008D09</v>
          </cell>
          <cell r="G299" t="str">
            <v>1.TB.03.008.01</v>
          </cell>
          <cell r="J299" t="str">
            <v>SPA Venture Group Limited</v>
          </cell>
          <cell r="K299" t="str">
            <v>Technical Services Agreement - Healing Institute &amp; Research / Innovation Hub</v>
          </cell>
        </row>
        <row r="300">
          <cell r="C300" t="str">
            <v>AMAALA DevCo</v>
          </cell>
          <cell r="F300" t="str">
            <v>1DC99999D46</v>
          </cell>
          <cell r="G300" t="str">
            <v>1.DC.99.999.99</v>
          </cell>
          <cell r="J300" t="str">
            <v>Omnium International Company</v>
          </cell>
          <cell r="K300" t="str">
            <v>Cost Consultancy Services, Amaala Airfield</v>
          </cell>
        </row>
        <row r="301">
          <cell r="C301" t="str">
            <v>Marina Hotel 3</v>
          </cell>
          <cell r="F301" t="str">
            <v>1TB01009D02</v>
          </cell>
          <cell r="G301" t="str">
            <v>1.TB.01.009.01</v>
          </cell>
          <cell r="J301" t="str">
            <v>Currie &amp; Brown (CI) Limited - Abu Dhabi</v>
          </cell>
          <cell r="K301" t="str">
            <v>Cost Consultancy Services Agreement - Asset Type A</v>
          </cell>
        </row>
        <row r="302">
          <cell r="C302" t="str">
            <v>AMAALA Airside - Runways</v>
          </cell>
          <cell r="F302" t="str">
            <v>1AI16080D04</v>
          </cell>
          <cell r="G302" t="str">
            <v>1.AI.16.080.01</v>
          </cell>
          <cell r="J302" t="str">
            <v>Foster + Partners Limited</v>
          </cell>
          <cell r="K302" t="str">
            <v>Concept, Schematic and Design Guardian to Amaala Airfield Terminal Building and Control Tower</v>
          </cell>
        </row>
        <row r="303">
          <cell r="C303" t="str">
            <v>Rosewood Resort</v>
          </cell>
          <cell r="F303" t="str">
            <v>1TB02011D13</v>
          </cell>
          <cell r="G303" t="str">
            <v>1.TB.02.011.01</v>
          </cell>
          <cell r="J303" t="str">
            <v>Marina Projects LTD</v>
          </cell>
          <cell r="K303" t="str">
            <v>Triple Bay, Miraya and Island Master Planning Support Services</v>
          </cell>
        </row>
        <row r="304">
          <cell r="C304" t="str">
            <v>AMAALA DevCo</v>
          </cell>
          <cell r="F304" t="str">
            <v>1DC99999D66</v>
          </cell>
          <cell r="G304" t="str">
            <v>1.DC.99.999.99</v>
          </cell>
          <cell r="J304" t="str">
            <v>Marina Projects LTD</v>
          </cell>
          <cell r="K304" t="str">
            <v>Triple Bay, Miraya and Island Master Planning Support Services</v>
          </cell>
        </row>
        <row r="305">
          <cell r="C305" t="str">
            <v>AMAALA DevCo</v>
          </cell>
          <cell r="F305" t="str">
            <v>1DC99999D81</v>
          </cell>
          <cell r="G305" t="str">
            <v>1.DC.99.999.99</v>
          </cell>
          <cell r="J305" t="str">
            <v>Marina Projects LTD</v>
          </cell>
          <cell r="K305" t="str">
            <v>Triple Bay, Miraya and Island Master Planning Support Services</v>
          </cell>
        </row>
        <row r="306">
          <cell r="C306" t="str">
            <v>Regional Infrastructure  - Wide</v>
          </cell>
          <cell r="F306" t="str">
            <v>1RI12071D04</v>
          </cell>
          <cell r="G306" t="str">
            <v>1.RI.12.071.00</v>
          </cell>
          <cell r="J306" t="str">
            <v>Buro Happold Limited</v>
          </cell>
          <cell r="K306" t="str">
            <v>Contract 7 - Regional Infrastructure Engineering Consultancy Services</v>
          </cell>
        </row>
        <row r="307">
          <cell r="C307" t="str">
            <v>AMAALA DevCo</v>
          </cell>
          <cell r="F307" t="str">
            <v>1DC99999D82</v>
          </cell>
          <cell r="G307" t="str">
            <v>1.DC.99.999.99</v>
          </cell>
          <cell r="J307" t="str">
            <v>Buro Happold Limited</v>
          </cell>
          <cell r="K307" t="str">
            <v>Contract 12 - Miraya Staff Village re-engineering works</v>
          </cell>
        </row>
        <row r="308">
          <cell r="C308" t="str">
            <v>AMAALA DevCo</v>
          </cell>
          <cell r="F308" t="str">
            <v>1DC99999D77</v>
          </cell>
          <cell r="G308" t="str">
            <v>1.DC.99.999.99</v>
          </cell>
          <cell r="J308" t="str">
            <v>Buro Happold Limited</v>
          </cell>
          <cell r="K308" t="str">
            <v>Contract 13 - Miraya Master Planning re-engineering works</v>
          </cell>
        </row>
        <row r="309">
          <cell r="C309" t="str">
            <v>Staff Village - Wide</v>
          </cell>
          <cell r="F309" t="str">
            <v>1SV10110D01</v>
          </cell>
          <cell r="G309" t="str">
            <v>1.SV.10.110.00</v>
          </cell>
          <cell r="J309" t="str">
            <v>Buro Happold Limited</v>
          </cell>
          <cell r="K309" t="str">
            <v>Contract 10 - Triple Bay Staff Village re-engineering works</v>
          </cell>
        </row>
        <row r="310">
          <cell r="C310" t="str">
            <v>AMAALA DevCo</v>
          </cell>
          <cell r="F310" t="str">
            <v>1DC99999D48</v>
          </cell>
          <cell r="G310" t="str">
            <v>1.DC.99.999.99</v>
          </cell>
          <cell r="J310" t="str">
            <v>Ateliers Jean Nouvel</v>
          </cell>
          <cell r="K310" t="str">
            <v>Miraya Master Plan &amp; Arts &amp; Culture Strategy Consulting Services</v>
          </cell>
        </row>
        <row r="311">
          <cell r="C311" t="str">
            <v>AMAALA DevCo</v>
          </cell>
          <cell r="F311" t="str">
            <v>1DC99999D50</v>
          </cell>
          <cell r="G311" t="str">
            <v>1.DC.99.999.99</v>
          </cell>
          <cell r="J311" t="str">
            <v>Bjarke Ingels Group NYC LLC</v>
          </cell>
          <cell r="K311" t="str">
            <v>Miraya Master Plan &amp; Arts &amp; Culture Strategy Consulting Services</v>
          </cell>
        </row>
        <row r="312">
          <cell r="C312" t="str">
            <v>AMAALA DevCo</v>
          </cell>
          <cell r="F312" t="str">
            <v>1DC99999D80</v>
          </cell>
          <cell r="G312" t="str">
            <v>1.DC.99.999.99</v>
          </cell>
          <cell r="J312" t="str">
            <v>HKS Architects Limited</v>
          </cell>
          <cell r="K312" t="str">
            <v>Miraya Master Planning &amp; Design Guidelines</v>
          </cell>
        </row>
        <row r="313">
          <cell r="C313" t="str">
            <v>Ocean Golf Private Residences - Phase 1</v>
          </cell>
          <cell r="F313" t="str">
            <v>1TB05039D05</v>
          </cell>
          <cell r="G313" t="str">
            <v>1.TB.05.039.01</v>
          </cell>
          <cell r="J313" t="str">
            <v>HKS Architects Limited</v>
          </cell>
          <cell r="K313" t="str">
            <v>Triple Bay Master Planning &amp; Design Guidelines</v>
          </cell>
        </row>
        <row r="314">
          <cell r="C314" t="str">
            <v>AMAALA DevCo</v>
          </cell>
          <cell r="F314" t="str">
            <v>1DC99999D62</v>
          </cell>
          <cell r="G314" t="str">
            <v>1.DC.99.999.99</v>
          </cell>
          <cell r="J314" t="str">
            <v>Buro Happold Limited</v>
          </cell>
          <cell r="K314" t="str">
            <v>Contract 11 - Island  Master Planning re-engineering works</v>
          </cell>
        </row>
        <row r="315">
          <cell r="C315" t="str">
            <v>Six Senses Resort</v>
          </cell>
          <cell r="F315" t="str">
            <v>1TB02017D13</v>
          </cell>
          <cell r="G315" t="str">
            <v>1.TB.02.017.01</v>
          </cell>
          <cell r="J315" t="str">
            <v>Buro Happold Limited</v>
          </cell>
          <cell r="K315" t="str">
            <v>Contract 9 - Triple Bay Master Planning re-engineering works</v>
          </cell>
        </row>
        <row r="316">
          <cell r="C316" t="str">
            <v>Rosewood Resort</v>
          </cell>
          <cell r="F316" t="str">
            <v>1TB02011D04</v>
          </cell>
          <cell r="G316" t="str">
            <v>1.TB.02.011.01</v>
          </cell>
          <cell r="J316" t="str">
            <v>WTS International Inc</v>
          </cell>
          <cell r="K316" t="str">
            <v>Wellness Consultant - Boutique, ECO &amp; Destination Resort's</v>
          </cell>
        </row>
        <row r="317">
          <cell r="C317" t="str">
            <v>Four Seasons Resort</v>
          </cell>
          <cell r="F317" t="str">
            <v>1TB02012D04</v>
          </cell>
          <cell r="G317" t="str">
            <v>1.TB.02.012.01</v>
          </cell>
          <cell r="J317" t="str">
            <v>WTS International Inc</v>
          </cell>
          <cell r="K317" t="str">
            <v>Wellness Consultant - Boutique, ECO &amp; Destination Resort's</v>
          </cell>
        </row>
        <row r="318">
          <cell r="C318" t="str">
            <v>Six Senses Resort</v>
          </cell>
          <cell r="F318" t="str">
            <v>1TB02017D04</v>
          </cell>
          <cell r="G318" t="str">
            <v>1.TB.02.017.01</v>
          </cell>
          <cell r="J318" t="str">
            <v>WTS International Inc</v>
          </cell>
          <cell r="K318" t="str">
            <v>Wellness Consultant - Boutique, ECO &amp; Destination Resort's</v>
          </cell>
        </row>
        <row r="319">
          <cell r="C319" t="str">
            <v>Multiple</v>
          </cell>
          <cell r="F319" t="str">
            <v>Multiple</v>
          </cell>
          <cell r="G319" t="str">
            <v>Multiple</v>
          </cell>
          <cell r="J319" t="str">
            <v>WTS International Inc</v>
          </cell>
          <cell r="K319" t="str">
            <v>Wellness Consultant - Boutique, ECO &amp; Destination Resort's</v>
          </cell>
        </row>
        <row r="320">
          <cell r="C320" t="str">
            <v>AMAALA DevCo</v>
          </cell>
          <cell r="F320" t="str">
            <v>1DC99999D32</v>
          </cell>
          <cell r="G320" t="str">
            <v>1.DC.99.999.99</v>
          </cell>
          <cell r="J320" t="str">
            <v>Marsh Saudi Arabia Insurance and Reinsurance Brokers LLC</v>
          </cell>
          <cell r="K320" t="str">
            <v>Insurance Consultancy Services</v>
          </cell>
        </row>
        <row r="321">
          <cell r="C321" t="str">
            <v>Marina Lifestyle Hotel &amp; Village</v>
          </cell>
          <cell r="F321" t="str">
            <v>1TB01002D14</v>
          </cell>
          <cell r="G321" t="str">
            <v>1.TB.01.002.03</v>
          </cell>
          <cell r="J321" t="str">
            <v>Foster + Partners Limited</v>
          </cell>
          <cell r="K321" t="str">
            <v>Design Supervision Consultancy</v>
          </cell>
        </row>
        <row r="322">
          <cell r="C322" t="str">
            <v>AMAALA DevCo</v>
          </cell>
          <cell r="F322" t="str">
            <v>1DC99999D20</v>
          </cell>
          <cell r="G322" t="str">
            <v>1.DC.99.999.99</v>
          </cell>
          <cell r="J322" t="str">
            <v>Buro Happold Limited</v>
          </cell>
          <cell r="K322" t="str">
            <v>Contract 8 - Sustainability Support - Strategy &amp; SMS Maintenance</v>
          </cell>
        </row>
        <row r="323">
          <cell r="C323" t="str">
            <v>AMAALA DevCo</v>
          </cell>
          <cell r="F323" t="str">
            <v>1DC99999D26</v>
          </cell>
          <cell r="G323" t="str">
            <v>1.DC.99.999.99</v>
          </cell>
          <cell r="J323" t="str">
            <v>Fugro Suhaimi Ltd</v>
          </cell>
          <cell r="K323" t="str">
            <v>Extended Topographical survey for the CWF plot and highway 5</v>
          </cell>
        </row>
        <row r="324">
          <cell r="C324" t="str">
            <v>Regional Infrastructure  - Wide</v>
          </cell>
          <cell r="F324" t="str">
            <v>1RI12071D06</v>
          </cell>
          <cell r="G324" t="str">
            <v>1.RI.12.071.00</v>
          </cell>
          <cell r="J324" t="str">
            <v>DC PRO Engineering</v>
          </cell>
          <cell r="K324" t="str">
            <v>Technical Advisory Consultancy Services</v>
          </cell>
        </row>
        <row r="325">
          <cell r="C325" t="str">
            <v>AMAALA Airside - Runways</v>
          </cell>
          <cell r="F325" t="str">
            <v>1AI16080D02</v>
          </cell>
          <cell r="G325" t="str">
            <v>1.AI.16.080.01</v>
          </cell>
          <cell r="J325" t="str">
            <v>EGIS Saudi Engineering Consultancy</v>
          </cell>
          <cell r="K325" t="str">
            <v>Amaala Airfield Works Package 2 (WP2)</v>
          </cell>
        </row>
        <row r="326">
          <cell r="C326" t="str">
            <v>AMAALA Airside - Runways</v>
          </cell>
          <cell r="F326" t="str">
            <v>1AI16080D05</v>
          </cell>
          <cell r="G326" t="str">
            <v>1.AI.16.080.01</v>
          </cell>
          <cell r="J326" t="str">
            <v>EGIS AVIA</v>
          </cell>
          <cell r="K326" t="str">
            <v>Amaala Airfield Aeronautical Study &amp; Aerodrome Approvals</v>
          </cell>
        </row>
        <row r="327">
          <cell r="C327" t="str">
            <v>AMAALA DevCo</v>
          </cell>
          <cell r="F327" t="str">
            <v>1DC99999D50</v>
          </cell>
          <cell r="G327" t="str">
            <v>1.DC.99.999.99</v>
          </cell>
          <cell r="J327" t="str">
            <v>Bjarke Ingels Group NYC LLC</v>
          </cell>
          <cell r="K327" t="str">
            <v>Miraya Master Plan &amp; Arts &amp; Culture Strategy Consulting Services</v>
          </cell>
        </row>
        <row r="328">
          <cell r="C328" t="str">
            <v>Early Works</v>
          </cell>
          <cell r="F328" t="str">
            <v>1TB04004C02</v>
          </cell>
          <cell r="G328" t="str">
            <v>1.TB.04.004.01</v>
          </cell>
          <cell r="J328" t="str">
            <v>Saudi Real Estate Infrastructure Company (BINYAH)</v>
          </cell>
          <cell r="K328" t="str">
            <v>Triple Bay Earthworks Phase 1</v>
          </cell>
        </row>
        <row r="329">
          <cell r="C329" t="str">
            <v>Early Works</v>
          </cell>
          <cell r="F329" t="str">
            <v>1TB04004D01</v>
          </cell>
          <cell r="G329" t="str">
            <v>1.TB.04.004.01</v>
          </cell>
          <cell r="J329" t="str">
            <v>Saudi Arabian Parsons LTD</v>
          </cell>
          <cell r="K329" t="str">
            <v>Site Supervision Consultant</v>
          </cell>
        </row>
        <row r="330">
          <cell r="C330" t="str">
            <v>AMAALA DevCo</v>
          </cell>
          <cell r="F330" t="str">
            <v>1DC99999D78</v>
          </cell>
          <cell r="G330" t="str">
            <v>1.DC.99.999.99</v>
          </cell>
          <cell r="J330" t="str">
            <v>GCAM2 LLC</v>
          </cell>
          <cell r="K330" t="str">
            <v>Cultural Assets within the Cultural District of Miraya</v>
          </cell>
        </row>
        <row r="331">
          <cell r="C331" t="str">
            <v>Marina Lifestyle Hotel &amp; Village</v>
          </cell>
          <cell r="F331" t="str">
            <v>1TB01002D05</v>
          </cell>
          <cell r="G331" t="str">
            <v>1.TB.01.002.01</v>
          </cell>
          <cell r="J331" t="str">
            <v>Monaco Marina Management S.A.M</v>
          </cell>
          <cell r="K331" t="str">
            <v>Yachting and Marina Consultancy Services</v>
          </cell>
        </row>
        <row r="332">
          <cell r="C332" t="str">
            <v>Regional Infrastructure  - Wide</v>
          </cell>
          <cell r="F332" t="str">
            <v>1RI12071D15</v>
          </cell>
          <cell r="G332" t="str">
            <v>1.RI.12.071.00</v>
          </cell>
          <cell r="J332" t="str">
            <v>Turner &amp; Townsend Albassam</v>
          </cell>
          <cell r="K332" t="str">
            <v>Cost Consultancy Services Agreement - Regional Infrastructure DMP Cost Estimate</v>
          </cell>
        </row>
        <row r="333">
          <cell r="C333" t="str">
            <v>Medical Wellness</v>
          </cell>
          <cell r="F333" t="str">
            <v>1TB03008D07</v>
          </cell>
          <cell r="G333" t="str">
            <v>1.TB.03.008.01</v>
          </cell>
          <cell r="J333" t="str">
            <v>SPA Venture Group Limited</v>
          </cell>
          <cell r="K333" t="str">
            <v>Spa &amp; Wellness Consultant - Wellness Resort</v>
          </cell>
        </row>
        <row r="334">
          <cell r="C334" t="str">
            <v>Regional Infrastructure  - Wide</v>
          </cell>
          <cell r="F334" t="str">
            <v>1RI12071D02</v>
          </cell>
          <cell r="G334" t="str">
            <v>1.RI.12.071.00</v>
          </cell>
          <cell r="J334" t="str">
            <v>AECOM Arabia Ltd. Co</v>
          </cell>
          <cell r="K334" t="str">
            <v>Regional Infrastructure Quantitative Risk Assessment (QRA) Part 1 - Risk Strategy</v>
          </cell>
        </row>
        <row r="335">
          <cell r="C335" t="str">
            <v>Regional Infrastructure  - Wide</v>
          </cell>
          <cell r="F335" t="str">
            <v>1RI12071D08</v>
          </cell>
          <cell r="G335" t="str">
            <v>1.RI.12.071.00</v>
          </cell>
          <cell r="J335" t="str">
            <v>Gregory &amp; Jones Consultants Ltd</v>
          </cell>
          <cell r="K335" t="str">
            <v>Provision of Cost &amp; Facilities Management Services</v>
          </cell>
        </row>
        <row r="336">
          <cell r="C336" t="str">
            <v>Marina Lifestyle Hotel &amp; Village</v>
          </cell>
          <cell r="F336" t="str">
            <v>1TB01002D08</v>
          </cell>
          <cell r="G336" t="str">
            <v>1.TB.01.002.01</v>
          </cell>
          <cell r="J336" t="str">
            <v>Zaha Hadid Limited</v>
          </cell>
          <cell r="K336" t="str">
            <v>Design Competition</v>
          </cell>
        </row>
        <row r="337">
          <cell r="C337" t="str">
            <v xml:space="preserve">AMAALA Yacht Club </v>
          </cell>
          <cell r="F337" t="str">
            <v>1TB01003D02</v>
          </cell>
          <cell r="G337" t="str">
            <v>1.TB.01.003.01</v>
          </cell>
          <cell r="J337" t="str">
            <v>HKS Architects Limited</v>
          </cell>
          <cell r="K337" t="str">
            <v>Design Competition</v>
          </cell>
        </row>
        <row r="338">
          <cell r="C338" t="str">
            <v>Marina Hotel 3</v>
          </cell>
          <cell r="F338" t="str">
            <v>1TB01009D01</v>
          </cell>
          <cell r="G338" t="str">
            <v>1.TB.01.009.01</v>
          </cell>
          <cell r="J338" t="str">
            <v>Office of Architecture in Barcelona S.L.P</v>
          </cell>
          <cell r="K338" t="str">
            <v>Design Competition</v>
          </cell>
        </row>
        <row r="339">
          <cell r="C339" t="str">
            <v>AMAALA DevCo - Staff</v>
          </cell>
          <cell r="F339" t="str">
            <v>1DC99999D24</v>
          </cell>
          <cell r="G339" t="str">
            <v>1.DC.99.999.99</v>
          </cell>
          <cell r="J339" t="str">
            <v>Arcadis International Saudi Engineering Consultant</v>
          </cell>
          <cell r="K339" t="str">
            <v>Project Management Services for Amaala Projects</v>
          </cell>
        </row>
        <row r="340">
          <cell r="C340" t="str">
            <v>AMAALA DevCo</v>
          </cell>
          <cell r="F340" t="str">
            <v>1DC99999D09</v>
          </cell>
          <cell r="G340" t="str">
            <v>1.DC.99.999.99</v>
          </cell>
          <cell r="J340" t="str">
            <v>AECOM Arabia Ltd. Co</v>
          </cell>
          <cell r="K340" t="str">
            <v>Preparation of Project Development Strategy - Quantitative Risk Assessment Part 2</v>
          </cell>
        </row>
        <row r="341">
          <cell r="C341" t="str">
            <v>AMAALA DevCo</v>
          </cell>
          <cell r="F341" t="str">
            <v>1DC99999D10</v>
          </cell>
          <cell r="G341" t="str">
            <v>1.DC.99.999.99</v>
          </cell>
          <cell r="J341" t="str">
            <v>AECOM Arabia Ltd. Co</v>
          </cell>
          <cell r="K341" t="str">
            <v>Amaala Project Development Strategy Quantitative Risk Assessment (QRA) Part 3 - Risk Strategy</v>
          </cell>
        </row>
        <row r="342">
          <cell r="C342" t="str">
            <v>Construction Village Section 1</v>
          </cell>
          <cell r="F342" t="str">
            <v>1TB00032D04</v>
          </cell>
          <cell r="G342" t="str">
            <v>1.TB.00.032.01</v>
          </cell>
          <cell r="J342" t="str">
            <v>Rider Levett Bucknall Saudi Arabia Ltd</v>
          </cell>
          <cell r="K342" t="str">
            <v>Enabling Works Workforce Assessment and Rough Order of Magnitude (ROM) Budget for Triple Bay Construction Village</v>
          </cell>
        </row>
        <row r="343">
          <cell r="C343" t="str">
            <v>Construction Village Section 1</v>
          </cell>
          <cell r="F343" t="str">
            <v>1TB00032D02</v>
          </cell>
          <cell r="G343" t="str">
            <v>1.TB.00.032.01</v>
          </cell>
          <cell r="J343" t="str">
            <v>ASG Engineering Consultants</v>
          </cell>
          <cell r="K343" t="str">
            <v>Masterplan Design Concept for Main Construction Worker Facility</v>
          </cell>
        </row>
        <row r="344">
          <cell r="C344" t="str">
            <v>Wellness Resort 3</v>
          </cell>
          <cell r="F344" t="str">
            <v>1TB07013D01</v>
          </cell>
          <cell r="G344" t="str">
            <v>1.TB.07.013.03</v>
          </cell>
          <cell r="J344" t="str">
            <v>ASG Engineering Consultants</v>
          </cell>
          <cell r="K344" t="str">
            <v>Due Diligence Consulting for Pioneer Camp</v>
          </cell>
        </row>
        <row r="345">
          <cell r="C345" t="str">
            <v>Primary Infrastructure</v>
          </cell>
          <cell r="F345" t="str">
            <v>1TB04029C09</v>
          </cell>
          <cell r="G345" t="str">
            <v>1.TB.04.029.01</v>
          </cell>
          <cell r="J345" t="str">
            <v>Beacon Development Company</v>
          </cell>
          <cell r="K345" t="str">
            <v>Survey and Assessment of Turtles Critical Habitat</v>
          </cell>
        </row>
        <row r="346">
          <cell r="C346" t="str">
            <v>Medical Wellness</v>
          </cell>
          <cell r="F346" t="str">
            <v>1TB03008D18</v>
          </cell>
          <cell r="G346" t="str">
            <v>1.TB.03.008.02</v>
          </cell>
          <cell r="J346" t="str">
            <v>Wood Environmental &amp; Infrastructure Solutions UK Limited</v>
          </cell>
          <cell r="K346" t="str">
            <v>ESIA Assessor Services (Environmental and Social Impact Assessment)</v>
          </cell>
        </row>
        <row r="347">
          <cell r="C347" t="str">
            <v>Four Seasons Resort</v>
          </cell>
          <cell r="F347" t="str">
            <v>1TB02012D08</v>
          </cell>
          <cell r="G347" t="str">
            <v>1.TB.02.012.01</v>
          </cell>
          <cell r="J347" t="str">
            <v>Robert Bird Group Pty Ltd (Dubai Branch)</v>
          </cell>
          <cell r="K347" t="str">
            <v>Consultancy Services for Engineering Advisory and Planning</v>
          </cell>
        </row>
        <row r="348">
          <cell r="C348" t="str">
            <v>Construction Village Section 1</v>
          </cell>
          <cell r="F348" t="str">
            <v>1TB00032D03</v>
          </cell>
          <cell r="G348" t="str">
            <v>1.TB.00.032.01</v>
          </cell>
          <cell r="J348" t="str">
            <v>Fugro Suhaimi Ltd</v>
          </cell>
          <cell r="K348" t="str">
            <v>Topographical Survey Services - Construction Worker Facility - Triple Bay</v>
          </cell>
        </row>
        <row r="349">
          <cell r="C349" t="str">
            <v>Island Wide</v>
          </cell>
          <cell r="F349" t="str">
            <v>1IL90902D02</v>
          </cell>
          <cell r="G349" t="str">
            <v>1.IL.90.902.99</v>
          </cell>
          <cell r="J349" t="str">
            <v>Beacon Development Company</v>
          </cell>
          <cell r="K349" t="str">
            <v>Marine Environmental Survey of the Island</v>
          </cell>
        </row>
        <row r="350">
          <cell r="C350" t="str">
            <v>Regional Infrastructure  - Wide</v>
          </cell>
          <cell r="F350" t="str">
            <v>1RI12071D12</v>
          </cell>
          <cell r="G350" t="str">
            <v>1.RI.12.071.00</v>
          </cell>
          <cell r="J350" t="str">
            <v>Riyadh Geotechnique &amp; Foundations Co.</v>
          </cell>
          <cell r="K350" t="str">
            <v>Ground Investigation Services for Regional and Airfield Areas</v>
          </cell>
        </row>
        <row r="351">
          <cell r="C351" t="str">
            <v>Early Works</v>
          </cell>
          <cell r="F351" t="str">
            <v>1TB04004C01</v>
          </cell>
          <cell r="G351" t="str">
            <v>1.TB.04.004.01</v>
          </cell>
          <cell r="J351" t="str">
            <v>Hassan Hamdi Al Harbi Contracting Est.</v>
          </cell>
          <cell r="K351" t="str">
            <v>Early Earth Works Phase 1 Triple Bay (Marina) SCHEDULE 1</v>
          </cell>
        </row>
        <row r="352">
          <cell r="C352" t="str">
            <v>AMAALA DevCo - Staff</v>
          </cell>
          <cell r="F352" t="str">
            <v>1DC99999D08</v>
          </cell>
          <cell r="G352" t="str">
            <v>1.DC.99.999.99</v>
          </cell>
          <cell r="J352" t="str">
            <v>AECOM Arabia Ltd. Co</v>
          </cell>
          <cell r="K352" t="str">
            <v>Project Management Support Services for the Amaala Projects</v>
          </cell>
        </row>
        <row r="353">
          <cell r="C353" t="str">
            <v>AMAALA DevCo</v>
          </cell>
          <cell r="F353" t="str">
            <v>1DC99999D12</v>
          </cell>
          <cell r="G353" t="str">
            <v>1.DC.99.999.99</v>
          </cell>
          <cell r="J353" t="str">
            <v>AT Kearney Saudi Limited</v>
          </cell>
          <cell r="K353" t="str">
            <v>Mobility Sourcing Strategy for Amaala</v>
          </cell>
        </row>
        <row r="354">
          <cell r="C354" t="str">
            <v>Four Seasons Resort</v>
          </cell>
          <cell r="F354" t="str">
            <v>1TB02012D03</v>
          </cell>
          <cell r="G354" t="str">
            <v>1.TB.02.012.02</v>
          </cell>
          <cell r="J354" t="str">
            <v>U Plus A FZ-LLC</v>
          </cell>
          <cell r="K354" t="str">
            <v>Lead Consultancy Services - Destination Hotel &amp; Villas</v>
          </cell>
        </row>
        <row r="355">
          <cell r="C355" t="str">
            <v>Six Senses Resort</v>
          </cell>
          <cell r="F355" t="str">
            <v>1TB02017D01</v>
          </cell>
          <cell r="G355" t="str">
            <v>1.TB.02.017.01</v>
          </cell>
          <cell r="J355" t="str">
            <v>Remedios Studio (Hong Kong) Limited</v>
          </cell>
          <cell r="K355" t="str">
            <v>Design Architect - Eco Lifestyle Hotel</v>
          </cell>
        </row>
        <row r="356">
          <cell r="C356" t="str">
            <v>Six Senses Resort</v>
          </cell>
          <cell r="F356" t="str">
            <v>1TB02017D03</v>
          </cell>
          <cell r="G356" t="str">
            <v>1.TB.02.017.01</v>
          </cell>
          <cell r="J356" t="str">
            <v>U Plus A FZ-LLC</v>
          </cell>
          <cell r="K356" t="str">
            <v>ECO Life Style Resort - Lead Consultancy Services</v>
          </cell>
        </row>
        <row r="357">
          <cell r="C357" t="str">
            <v>Integrative Wellness</v>
          </cell>
          <cell r="F357" t="str">
            <v>1TB03007D12</v>
          </cell>
          <cell r="G357" t="str">
            <v>1.TB.03.007.01</v>
          </cell>
          <cell r="J357" t="str">
            <v>DSA Architects International SA (PTY) LTD Dubai (BR)</v>
          </cell>
          <cell r="K357" t="str">
            <v>Lead Consultancy - Wellness Resort</v>
          </cell>
        </row>
        <row r="358">
          <cell r="C358" t="str">
            <v>Medical Wellness</v>
          </cell>
          <cell r="F358" t="str">
            <v>1TB03008D02</v>
          </cell>
          <cell r="G358" t="str">
            <v>1.TB.03.008.01</v>
          </cell>
          <cell r="J358" t="str">
            <v>DSA Architects International SA (PTY) LTD Dubai (BR)</v>
          </cell>
          <cell r="K358" t="str">
            <v>Lead Consultancy - Wellness Resort</v>
          </cell>
        </row>
        <row r="359">
          <cell r="C359" t="str">
            <v>Multiple</v>
          </cell>
          <cell r="F359" t="str">
            <v>Multiple</v>
          </cell>
          <cell r="G359" t="str">
            <v>Multiple</v>
          </cell>
          <cell r="J359" t="str">
            <v>DSA Architects International SA (PTY) LTD Dubai (BR)</v>
          </cell>
          <cell r="K359" t="str">
            <v>Lead Consultancy - Wellness Resort</v>
          </cell>
        </row>
        <row r="360">
          <cell r="C360" t="str">
            <v>Rosewood Resort</v>
          </cell>
          <cell r="F360" t="str">
            <v>1TB02011D06</v>
          </cell>
          <cell r="G360" t="str">
            <v>1.TB.02.011.01</v>
          </cell>
          <cell r="J360" t="str">
            <v>DSA Architects International SA (PTY) LTD Dubai (BR)</v>
          </cell>
          <cell r="K360" t="str">
            <v>Lead Consultancy Services - Boutique Hotel &amp; Branded Residential Villas</v>
          </cell>
        </row>
        <row r="361">
          <cell r="C361" t="str">
            <v>Rosewood Resort</v>
          </cell>
          <cell r="F361" t="str">
            <v>1TB02011D05</v>
          </cell>
          <cell r="G361" t="str">
            <v>1.TB.02.011.01</v>
          </cell>
          <cell r="J361" t="str">
            <v>Citterio Viel &amp; Partners</v>
          </cell>
          <cell r="K361" t="str">
            <v>Design Architect - Boutique Resort</v>
          </cell>
        </row>
        <row r="362">
          <cell r="C362" t="str">
            <v>AMAALA DevCo</v>
          </cell>
          <cell r="F362" t="str">
            <v>1DC99999D27</v>
          </cell>
          <cell r="G362" t="str">
            <v>1.DC.99.999.99</v>
          </cell>
          <cell r="J362" t="str">
            <v>GCAM2 LLC</v>
          </cell>
          <cell r="K362" t="str">
            <v>Art Collection, Architecture Partnership Strategy Project (i) advisory support RFP's to Architects &amp; Support to Preliminary Design; (ii) Developing the Amaala Collection - Acquisitions and Commissions</v>
          </cell>
        </row>
        <row r="363">
          <cell r="C363" t="str">
            <v>AMAALA DevCo</v>
          </cell>
          <cell r="F363" t="str">
            <v>1DC99999D18</v>
          </cell>
          <cell r="G363" t="str">
            <v>1.DC.99.999.99</v>
          </cell>
          <cell r="J363" t="str">
            <v>Beaux Arts &amp; Cie</v>
          </cell>
          <cell r="K363" t="str">
            <v>Art Collection, Architecture and Partnership Strategy Project (i) programmatic support (pre-opening event and biennale); (ii) positioning within the international film festivals</v>
          </cell>
        </row>
        <row r="364">
          <cell r="C364" t="str">
            <v>AMAALA Airside - Runways</v>
          </cell>
          <cell r="F364" t="str">
            <v>1AI16080D03</v>
          </cell>
          <cell r="G364" t="str">
            <v>1.AI.16.080.01</v>
          </cell>
          <cell r="J364" t="str">
            <v>Foster + Partners Limited</v>
          </cell>
          <cell r="K364" t="str">
            <v>Pre-Concept Design  for the Amaala Airfield Terminal Building and Control Tower</v>
          </cell>
        </row>
        <row r="365">
          <cell r="C365" t="str">
            <v>Primary Infrastructure</v>
          </cell>
          <cell r="F365" t="str">
            <v>1TB04029C08</v>
          </cell>
          <cell r="G365" t="str">
            <v>1.TB.04.029.01</v>
          </cell>
          <cell r="J365" t="str">
            <v>Riyadh Geotechnique &amp; Foundations Co.</v>
          </cell>
          <cell r="K365" t="str">
            <v>Geotechnical Investigation Reports</v>
          </cell>
        </row>
        <row r="366">
          <cell r="C366" t="str">
            <v>Construction Village Section 1</v>
          </cell>
          <cell r="F366" t="str">
            <v>1TB00032D01</v>
          </cell>
          <cell r="G366" t="str">
            <v>1.TB.00.032.01</v>
          </cell>
          <cell r="J366" t="str">
            <v>ASG Engineering Consultants</v>
          </cell>
          <cell r="K366" t="str">
            <v>Design Concept for Main Construction Worker's Facilities</v>
          </cell>
        </row>
        <row r="367">
          <cell r="C367" t="str">
            <v>AMAALA DevCo - Staff</v>
          </cell>
          <cell r="F367" t="str">
            <v>1DC99999D57</v>
          </cell>
          <cell r="G367" t="str">
            <v>1.DC.99.999.99</v>
          </cell>
          <cell r="J367" t="str">
            <v>AECOM Arabia Ltd. Co</v>
          </cell>
          <cell r="K367" t="str">
            <v>Support Services &amp; Seconded Staff for Amaala Regional Infrastructure Works</v>
          </cell>
        </row>
        <row r="368">
          <cell r="C368" t="str">
            <v>AMAALA DevCo</v>
          </cell>
          <cell r="F368" t="str">
            <v>1DC99999D23</v>
          </cell>
          <cell r="G368" t="str">
            <v>1.DC.99.999.99</v>
          </cell>
          <cell r="J368" t="str">
            <v>Denniston SDN BHD</v>
          </cell>
          <cell r="K368" t="str">
            <v>Duo Project Vision Master Plan Competition</v>
          </cell>
        </row>
        <row r="369">
          <cell r="C369" t="str">
            <v>AMAALA DevCo</v>
          </cell>
          <cell r="F369" t="str">
            <v>1DC99999D11</v>
          </cell>
          <cell r="G369" t="str">
            <v>1.DC.99.999.99</v>
          </cell>
          <cell r="J369" t="str">
            <v>AECOM</v>
          </cell>
          <cell r="K369" t="str">
            <v>Duo Project Vision Master Plan Competition</v>
          </cell>
        </row>
        <row r="370">
          <cell r="C370" t="str">
            <v>AMAALA DevCo</v>
          </cell>
          <cell r="F370" t="str">
            <v>1DC99999D28</v>
          </cell>
          <cell r="G370" t="str">
            <v>1.DC.99.999.99</v>
          </cell>
          <cell r="J370" t="str">
            <v>HKS Architects Limited</v>
          </cell>
          <cell r="K370" t="str">
            <v>Duo Project Vision Master Plan Competition</v>
          </cell>
        </row>
        <row r="371">
          <cell r="C371" t="str">
            <v>AMAALA DevCo - Staff</v>
          </cell>
          <cell r="F371" t="str">
            <v>1DC99999D02</v>
          </cell>
          <cell r="G371" t="str">
            <v>1.DC.99.999.99</v>
          </cell>
          <cell r="J371" t="str">
            <v>AECOM Arabia Ltd. Co</v>
          </cell>
          <cell r="K371" t="str">
            <v>Appointment of Support Teams and Seconded Staff to Project Duo</v>
          </cell>
        </row>
        <row r="372">
          <cell r="C372" t="str">
            <v>AMAALA DevCo - Staff</v>
          </cell>
          <cell r="F372" t="str">
            <v>1DC99999D03</v>
          </cell>
          <cell r="G372" t="str">
            <v>1.DC.99.999.99</v>
          </cell>
          <cell r="J372" t="str">
            <v>AECOM Arabia Ltd. Co</v>
          </cell>
          <cell r="K372" t="str">
            <v>Appointment of support team and seconded staff to Amaala</v>
          </cell>
        </row>
        <row r="373">
          <cell r="C373" t="str">
            <v>AMAALA DevCo - Staff</v>
          </cell>
          <cell r="F373" t="str">
            <v>1DC99999D04</v>
          </cell>
          <cell r="G373" t="str">
            <v>1.DC.99.999.99</v>
          </cell>
          <cell r="J373" t="str">
            <v>AECOM Arabia Ltd. Co</v>
          </cell>
          <cell r="K373" t="str">
            <v>Appointment of support team and seconded staff to Amaala</v>
          </cell>
        </row>
        <row r="374">
          <cell r="C374" t="str">
            <v>PRE-INCORPORATION EXPENSES</v>
          </cell>
          <cell r="F374" t="str">
            <v>1OC96996D01</v>
          </cell>
          <cell r="G374" t="str">
            <v>1.OC.00.999.99</v>
          </cell>
          <cell r="J374" t="str">
            <v>Foster + Partners Limited</v>
          </cell>
          <cell r="K374" t="str">
            <v>Design Consultancy Services for DUO Resort Project Pillar 3b and Pillar 4</v>
          </cell>
        </row>
        <row r="375">
          <cell r="C375" t="str">
            <v>AMAALA DevCo</v>
          </cell>
          <cell r="F375" t="str">
            <v>1DC99999D25</v>
          </cell>
          <cell r="G375" t="str">
            <v>1.DC.99.999.99</v>
          </cell>
          <cell r="J375" t="str">
            <v>Foster + Partners Limited</v>
          </cell>
          <cell r="K375" t="str">
            <v>Design Consultancy Services for DUO Resort Project Pillar 3b and Pillar 4</v>
          </cell>
        </row>
        <row r="376">
          <cell r="C376" t="str">
            <v>Multiple</v>
          </cell>
          <cell r="F376" t="str">
            <v>Multiple</v>
          </cell>
          <cell r="G376" t="str">
            <v>Multiple</v>
          </cell>
          <cell r="J376" t="str">
            <v>Foster + Partners Limited</v>
          </cell>
          <cell r="K376" t="str">
            <v>Design Consultancy Services for DUO Resort Project Pillar 3b and Pillar 4</v>
          </cell>
        </row>
        <row r="377">
          <cell r="C377" t="str">
            <v>PRE-INCORPORATION EXPENSES</v>
          </cell>
          <cell r="F377" t="str">
            <v>1OC96996D02</v>
          </cell>
          <cell r="G377" t="str">
            <v>1.OC.00.999.99</v>
          </cell>
          <cell r="J377" t="str">
            <v>Original Vision Limited</v>
          </cell>
          <cell r="K377" t="str">
            <v>Architectural services for detailed master planning of the staff villages at Triple Bay and Miraya within Amaala</v>
          </cell>
        </row>
        <row r="378">
          <cell r="C378" t="str">
            <v>AMAALA DevCo</v>
          </cell>
          <cell r="F378" t="str">
            <v>1DC99999D58</v>
          </cell>
          <cell r="G378" t="str">
            <v>1.DC.99.999.99</v>
          </cell>
          <cell r="J378" t="str">
            <v>Original Vision Limited</v>
          </cell>
          <cell r="K378" t="str">
            <v>Architectural services for detailed master planning of the staff villages at Triple Bay and Miraya within Amaala</v>
          </cell>
        </row>
        <row r="379">
          <cell r="C379" t="str">
            <v>Multiple</v>
          </cell>
          <cell r="F379" t="str">
            <v>Multiple</v>
          </cell>
          <cell r="G379" t="str">
            <v>Multiple</v>
          </cell>
          <cell r="J379" t="str">
            <v>Original Vision Limited</v>
          </cell>
          <cell r="K379" t="str">
            <v>Architectural services for detailed master planning of the staff villages at Triple Bay and Miraya within Amaala</v>
          </cell>
        </row>
        <row r="380">
          <cell r="C380" t="str">
            <v>Primary Infrastructure</v>
          </cell>
          <cell r="F380" t="str">
            <v>1TB04029C06</v>
          </cell>
          <cell r="G380" t="str">
            <v>1.TB.04.029.01</v>
          </cell>
          <cell r="J380" t="str">
            <v>Riyadh Geotechnique &amp; Foundations Co.</v>
          </cell>
          <cell r="K380" t="str">
            <v>Oceanographic and Bathymetric Survey</v>
          </cell>
        </row>
        <row r="381">
          <cell r="C381" t="str">
            <v>Marina Hotel 3</v>
          </cell>
          <cell r="F381" t="str">
            <v>1TB01009D07</v>
          </cell>
          <cell r="G381" t="str">
            <v>1.TB.01.009.01</v>
          </cell>
          <cell r="J381" t="str">
            <v>Foster + Partners Limited</v>
          </cell>
          <cell r="K381" t="str">
            <v>Design supervision consultancy services</v>
          </cell>
        </row>
        <row r="382">
          <cell r="C382" t="str">
            <v>AMAALA DevCo - Staff</v>
          </cell>
          <cell r="F382" t="str">
            <v>1DC99999D01</v>
          </cell>
          <cell r="G382" t="str">
            <v>1.DC.99.999.99</v>
          </cell>
          <cell r="J382" t="str">
            <v>AECOM Arabia Ltd. Co</v>
          </cell>
          <cell r="K382" t="str">
            <v>The Enabling Works and Project Management Site Supervision Services</v>
          </cell>
        </row>
        <row r="383">
          <cell r="C383" t="str">
            <v>PRE-INCORPORATION EXPENSES</v>
          </cell>
          <cell r="F383" t="str">
            <v>1OC96996D04</v>
          </cell>
          <cell r="G383" t="str">
            <v>1.OC.00.999.99</v>
          </cell>
          <cell r="J383" t="str">
            <v>Omnium International Limited (DUBAI BRANCH)</v>
          </cell>
          <cell r="K383" t="str">
            <v>Primary Regional Infrastructure Works and Cost Consultancy and Quantity Services for Amaala</v>
          </cell>
        </row>
        <row r="384">
          <cell r="C384" t="str">
            <v>AMAALA DevCo - Staff</v>
          </cell>
          <cell r="F384" t="str">
            <v>1DC99999D06</v>
          </cell>
          <cell r="G384" t="str">
            <v>1.DC.99.999.99</v>
          </cell>
          <cell r="J384" t="str">
            <v>AECOM Arabia Ltd. Co</v>
          </cell>
          <cell r="K384" t="str">
            <v>Appointment of support team and Seconded Staff to AMAALA</v>
          </cell>
        </row>
        <row r="385">
          <cell r="C385" t="str">
            <v>AMAALA DevCo</v>
          </cell>
          <cell r="F385" t="str">
            <v>1DC99999D39</v>
          </cell>
          <cell r="G385" t="str">
            <v>1.DC.99.999.99</v>
          </cell>
          <cell r="J385" t="str">
            <v>Cox Architecture Pty Ltd</v>
          </cell>
          <cell r="K385" t="str">
            <v>Master Planning Consultancy Services for the Marina Village Precinct</v>
          </cell>
        </row>
        <row r="386">
          <cell r="C386" t="str">
            <v>Medical Wellness</v>
          </cell>
          <cell r="F386" t="str">
            <v>1TB03008D05</v>
          </cell>
          <cell r="G386" t="str">
            <v>1.TB.03.008.01</v>
          </cell>
          <cell r="J386" t="str">
            <v>HKS Architects Limited</v>
          </cell>
          <cell r="K386" t="str">
            <v>Design Architect Services for the Wellness Core</v>
          </cell>
        </row>
        <row r="387">
          <cell r="C387" t="str">
            <v>Medical Wellness</v>
          </cell>
          <cell r="F387" t="str">
            <v>1TB03008D20</v>
          </cell>
          <cell r="G387" t="str">
            <v>1.TB.03.008.02</v>
          </cell>
          <cell r="J387" t="str">
            <v>HKS Architects Limited</v>
          </cell>
          <cell r="K387" t="str">
            <v>Design Architect Services for the Wellness Core</v>
          </cell>
        </row>
        <row r="388">
          <cell r="C388" t="str">
            <v>Multiple</v>
          </cell>
          <cell r="F388" t="str">
            <v>Multiple</v>
          </cell>
          <cell r="G388" t="str">
            <v>Multiple</v>
          </cell>
          <cell r="J388" t="str">
            <v>HKS Architects Limited</v>
          </cell>
          <cell r="K388" t="str">
            <v>Design Architect Services for the Wellness Core</v>
          </cell>
        </row>
        <row r="389">
          <cell r="C389" t="str">
            <v>Miraya Wide</v>
          </cell>
          <cell r="F389" t="str">
            <v>1MR17906D09</v>
          </cell>
          <cell r="G389" t="str">
            <v>1.MR.17.906.99</v>
          </cell>
          <cell r="J389" t="str">
            <v>HKS Architects Limited</v>
          </cell>
          <cell r="K389" t="str">
            <v>Delivery of Pre-Concept Design Services, Concept Masterplan and Detailed Masterplan and Design Guidelines</v>
          </cell>
        </row>
        <row r="390">
          <cell r="C390" t="str">
            <v>Primary Infrastructure</v>
          </cell>
          <cell r="F390" t="str">
            <v>1TB04029C05</v>
          </cell>
          <cell r="G390" t="str">
            <v>1.TB.04.029.01</v>
          </cell>
          <cell r="J390" t="str">
            <v>Riyadh Geotechnique &amp; Foundations Co.</v>
          </cell>
          <cell r="K390" t="str">
            <v>Geotechnical Site Investigation for the Duo Project</v>
          </cell>
        </row>
        <row r="391">
          <cell r="C391" t="str">
            <v>AMAALA DevCo</v>
          </cell>
          <cell r="F391" t="str">
            <v>1DC99999D07</v>
          </cell>
          <cell r="G391" t="str">
            <v>1.DC.99.999.99</v>
          </cell>
          <cell r="J391" t="str">
            <v>AECOM Arabia Ltd. Co</v>
          </cell>
          <cell r="K391" t="str">
            <v>ESIA reports for Island, Miraya, Triple bay, Airport and Miraya and Triple Bay Infrastructure</v>
          </cell>
        </row>
        <row r="392">
          <cell r="C392" t="str">
            <v>Island Wide</v>
          </cell>
          <cell r="F392" t="str">
            <v>1IL90902D08</v>
          </cell>
          <cell r="G392" t="str">
            <v>1.IL.90.902.99</v>
          </cell>
          <cell r="J392" t="str">
            <v>Foster + Partners Limited</v>
          </cell>
          <cell r="K392" t="str">
            <v>Expert advice, direction, management and support in the delivery of the Island Master Planning</v>
          </cell>
        </row>
        <row r="393">
          <cell r="C393" t="str">
            <v>AMAALA DevCo</v>
          </cell>
          <cell r="F393" t="str">
            <v>1DC99999D31</v>
          </cell>
          <cell r="G393" t="str">
            <v>1.DC.99.999.99</v>
          </cell>
          <cell r="J393" t="str">
            <v>Pan Arabian Program Management Company (T/A Jasara Program Management Company)</v>
          </cell>
          <cell r="K393" t="str">
            <v>Peer review of Integrated Development Management Programme("IDMP"), Quantitative Risk Assessment ("QRA") and Order of Magnitude of Costs (Revision 2) ("OMC")</v>
          </cell>
        </row>
        <row r="394">
          <cell r="C394" t="str">
            <v>AMAALA Airside - Runways</v>
          </cell>
          <cell r="F394" t="str">
            <v>1AI16080D01</v>
          </cell>
          <cell r="G394" t="str">
            <v>1.AI.16.080.01</v>
          </cell>
          <cell r="J394" t="str">
            <v>EGIS AVIA</v>
          </cell>
          <cell r="K394" t="str">
            <v>Design and Project Management Consultancy Services for Works Package (WP1), Amaala Airfield Project</v>
          </cell>
        </row>
        <row r="395">
          <cell r="C395" t="str">
            <v>AMAALA DevCo</v>
          </cell>
          <cell r="F395" t="str">
            <v>1DC99999D61</v>
          </cell>
          <cell r="G395" t="str">
            <v>1.DC.99.999.99</v>
          </cell>
          <cell r="J395" t="str">
            <v>Beacon Development Company</v>
          </cell>
          <cell r="K395" t="str">
            <v>Survey and Assessment of Sea Turtles for The Island</v>
          </cell>
        </row>
        <row r="396">
          <cell r="C396" t="str">
            <v>Primary Infrastructure</v>
          </cell>
          <cell r="F396" t="str">
            <v>1TB04029D11</v>
          </cell>
          <cell r="G396" t="str">
            <v>1.TB.04.029.01</v>
          </cell>
          <cell r="J396" t="str">
            <v>Buro Happold Limited</v>
          </cell>
          <cell r="K396" t="str">
            <v>Engineering Consultancy Services</v>
          </cell>
        </row>
        <row r="397">
          <cell r="C397" t="str">
            <v>AMAALA DevCo</v>
          </cell>
          <cell r="F397" t="str">
            <v>1DC99999D13</v>
          </cell>
          <cell r="G397" t="str">
            <v>1.DC.99.999.99</v>
          </cell>
          <cell r="J397" t="str">
            <v>Beacon Development Company</v>
          </cell>
          <cell r="K397" t="str">
            <v>Marine Environmental Baseline Survey</v>
          </cell>
        </row>
        <row r="398">
          <cell r="C398" t="str">
            <v>Primary Infrastructure</v>
          </cell>
          <cell r="F398" t="str">
            <v>1TB04029C07</v>
          </cell>
          <cell r="G398" t="str">
            <v>1.TB.04.029.01</v>
          </cell>
          <cell r="J398" t="str">
            <v>Riyadh Geotechnique &amp; Foundations Co.</v>
          </cell>
          <cell r="K398" t="str">
            <v>Geotechnical Site Inspections Services</v>
          </cell>
        </row>
        <row r="399">
          <cell r="C399" t="str">
            <v>AMAALA DevCo</v>
          </cell>
          <cell r="F399" t="str">
            <v>1DC99999D59</v>
          </cell>
          <cell r="G399" t="str">
            <v>1.DC.99.999.99</v>
          </cell>
          <cell r="J399" t="str">
            <v>HKS Architects Limited</v>
          </cell>
          <cell r="K399" t="str">
            <v>Design Consultancy services for concept, master plan, detailed master plan and design guides</v>
          </cell>
        </row>
        <row r="400">
          <cell r="C400" t="str">
            <v>AMAALA DevCo</v>
          </cell>
          <cell r="F400" t="str">
            <v>1DC99999D64</v>
          </cell>
          <cell r="G400" t="str">
            <v>1.DC.99.999.99</v>
          </cell>
          <cell r="J400" t="str">
            <v>Denniston SDN BHD</v>
          </cell>
          <cell r="K400" t="str">
            <v>Master Plan for the Island - Amaala</v>
          </cell>
        </row>
        <row r="401">
          <cell r="C401" t="str">
            <v>Six Senses Resort</v>
          </cell>
          <cell r="F401" t="str">
            <v>1TB02017D15</v>
          </cell>
          <cell r="G401" t="str">
            <v>1.TB.02.017.02</v>
          </cell>
          <cell r="J401" t="str">
            <v>Buro Happold Limited</v>
          </cell>
          <cell r="K401" t="str">
            <v>The planning, environment and engineering services that we will provide at Concept and Detail Masterplan stage</v>
          </cell>
        </row>
        <row r="402">
          <cell r="C402" t="str">
            <v>Integrative Wellness</v>
          </cell>
          <cell r="F402" t="str">
            <v>1TB03007D13</v>
          </cell>
          <cell r="G402" t="str">
            <v>1.TB.03.007.03</v>
          </cell>
          <cell r="J402" t="str">
            <v>SPA Venture Group Limited</v>
          </cell>
          <cell r="K402" t="str">
            <v>Delivery of Wellness consultancy and Advisory Services (Phase Two - Detailed Feasibility Stage) for the Island and Triple Bay at Amaala Project</v>
          </cell>
        </row>
        <row r="403">
          <cell r="C403" t="str">
            <v>AMAALA DevCo</v>
          </cell>
          <cell r="F403" t="str">
            <v>1DC99999D14</v>
          </cell>
          <cell r="G403" t="str">
            <v>1.DC.99.999.99</v>
          </cell>
          <cell r="J403" t="str">
            <v>Beacon Development Company</v>
          </cell>
          <cell r="K403" t="str">
            <v>Bird population survey for the Amaala project</v>
          </cell>
        </row>
        <row r="404">
          <cell r="C404" t="str">
            <v>Six Senses Resort</v>
          </cell>
          <cell r="F404" t="str">
            <v>1TB02017D14</v>
          </cell>
          <cell r="G404" t="str">
            <v>1.TB.02.017.01</v>
          </cell>
          <cell r="J404" t="str">
            <v>Sustainable Luxury Management (Thailand) Limited</v>
          </cell>
          <cell r="K404" t="str">
            <v>Interim Technical Services, Brand Creation Services, Brand Activation Services and Other Services</v>
          </cell>
        </row>
        <row r="405">
          <cell r="C405" t="str">
            <v>Staff Village - Wide</v>
          </cell>
          <cell r="F405" t="str">
            <v>1SV10110D02</v>
          </cell>
          <cell r="G405" t="str">
            <v>1.SV.10.110.00</v>
          </cell>
          <cell r="J405" t="str">
            <v>Original Vision Limited</v>
          </cell>
          <cell r="K405" t="str">
            <v>Architectural services for concept master planning of the staff villages at Triple Bay and Miraya within Amaala</v>
          </cell>
        </row>
        <row r="406">
          <cell r="C406" t="str">
            <v>AMAALA DevCo - Staff</v>
          </cell>
          <cell r="F406" t="str">
            <v>1DC99999D05</v>
          </cell>
          <cell r="G406" t="str">
            <v>1.DC.99.999.99</v>
          </cell>
          <cell r="J406" t="str">
            <v>AECOM Arabia Ltd. Co</v>
          </cell>
          <cell r="K406" t="str">
            <v>Appointment of support team and Seconded Staff to Amaala</v>
          </cell>
        </row>
        <row r="407">
          <cell r="C407" t="str">
            <v>Staff Village - Wide</v>
          </cell>
          <cell r="F407" t="str">
            <v>1SV10110D13</v>
          </cell>
          <cell r="G407" t="str">
            <v>1.SV.10.110.00</v>
          </cell>
          <cell r="J407" t="str">
            <v>Saudi Arabian Parsons LTD</v>
          </cell>
          <cell r="K407" t="str">
            <v>Amaala Staff Village Supervision Consultancy Services</v>
          </cell>
        </row>
        <row r="408">
          <cell r="C408" t="str">
            <v>Marina Lifestyle Hotel &amp; Village</v>
          </cell>
          <cell r="F408" t="str">
            <v>1TB01002C21</v>
          </cell>
          <cell r="G408" t="str">
            <v>1.TB.01.002.03</v>
          </cell>
          <cell r="J408" t="str">
            <v>NSCC International Saudi Contracting</v>
          </cell>
          <cell r="K408" t="str">
            <v>Triple Bay Piling - Beach, RSMLI, Yacht Club and Marina Village Precinct (Hotel 1 and 2)</v>
          </cell>
        </row>
        <row r="409">
          <cell r="C409" t="str">
            <v xml:space="preserve">AMAALA Yacht Club </v>
          </cell>
          <cell r="F409" t="str">
            <v>1TB01003C14</v>
          </cell>
          <cell r="G409" t="str">
            <v>1.TB.01.003.01</v>
          </cell>
          <cell r="J409" t="str">
            <v>NSCC International Saudi Contracting</v>
          </cell>
          <cell r="K409" t="str">
            <v>Triple Bay Piling - Beach, RSMLI, Yacht Club and Marina Village Precinct (Hotel 1 and 2)</v>
          </cell>
        </row>
        <row r="410">
          <cell r="C410" t="str">
            <v>Red Sea Marine Life Institute</v>
          </cell>
          <cell r="F410" t="str">
            <v>1TB01005C23</v>
          </cell>
          <cell r="G410" t="str">
            <v>1.TB.01.005.01</v>
          </cell>
          <cell r="J410" t="str">
            <v>NSCC International Saudi Contracting</v>
          </cell>
          <cell r="K410" t="str">
            <v>Triple Bay Piling - Beach, RSMLI, Yacht Club and Marina Village Precinct (Hotel 1 and 2)</v>
          </cell>
        </row>
        <row r="411">
          <cell r="C411" t="str">
            <v>Rosewood Resort</v>
          </cell>
          <cell r="F411" t="str">
            <v>1TB02011C27</v>
          </cell>
          <cell r="G411" t="str">
            <v>1.TB.02.011.01</v>
          </cell>
          <cell r="J411" t="str">
            <v>NSCC International Saudi Contracting</v>
          </cell>
          <cell r="K411" t="str">
            <v>Triple Bay Piling - Beach, RSMLI, Yacht Club and Marina Village Precinct (Hotel 1 and 2)</v>
          </cell>
        </row>
        <row r="412">
          <cell r="C412" t="str">
            <v>Multiple</v>
          </cell>
          <cell r="F412" t="str">
            <v>Multiple</v>
          </cell>
          <cell r="G412" t="str">
            <v>Multiple</v>
          </cell>
          <cell r="J412" t="str">
            <v>NSCC International Saudi Contracting</v>
          </cell>
          <cell r="K412" t="str">
            <v>Triple Bay Piling - Beach, RSMLI, Yacht Club and Marina Village Precinct (Hotel 1 and 2)</v>
          </cell>
        </row>
        <row r="413">
          <cell r="C413" t="str">
            <v>Medical Wellness</v>
          </cell>
          <cell r="F413" t="str">
            <v>1TB03008D11</v>
          </cell>
          <cell r="G413" t="str">
            <v>1.TB.03.008.01</v>
          </cell>
          <cell r="J413" t="str">
            <v>Heah &amp; Co</v>
          </cell>
          <cell r="K413" t="str">
            <v>Interior Design for the Medical Wellness Resort - Wellness Core - Triple Bay</v>
          </cell>
        </row>
        <row r="414">
          <cell r="C414" t="str">
            <v>AMAALA DevCo</v>
          </cell>
          <cell r="F414" t="str">
            <v>1DC99999D17</v>
          </cell>
          <cell r="G414" t="str">
            <v>1.DC.99.999.99</v>
          </cell>
          <cell r="J414" t="str">
            <v>Beacon Development Company</v>
          </cell>
          <cell r="K414" t="str">
            <v>Support the development of the Environmental Zoning Plans (EZP)</v>
          </cell>
        </row>
        <row r="415">
          <cell r="C415" t="str">
            <v>Staff Village - Wide</v>
          </cell>
          <cell r="F415" t="str">
            <v>1SV10110D20</v>
          </cell>
          <cell r="G415" t="str">
            <v>1.SV.10.110.00</v>
          </cell>
          <cell r="J415" t="str">
            <v>ICME International AG - Abu Dhabi</v>
          </cell>
          <cell r="K415" t="str">
            <v>Amaala Staff Village Medical Centre Advisory Services</v>
          </cell>
        </row>
        <row r="416">
          <cell r="C416" t="str">
            <v>Public Realm</v>
          </cell>
          <cell r="F416" t="str">
            <v>1TB04030D02</v>
          </cell>
          <cell r="G416" t="str">
            <v>1.TB.04.030.02</v>
          </cell>
          <cell r="J416" t="str">
            <v>Martha Schwartz Partners Limited</v>
          </cell>
          <cell r="K416" t="str">
            <v>Triple Bay Linear Park Landscape Architect</v>
          </cell>
        </row>
        <row r="417">
          <cell r="C417" t="str">
            <v>PPP-Wide</v>
          </cell>
          <cell r="F417" t="str">
            <v>1RI11074C01</v>
          </cell>
          <cell r="G417" t="str">
            <v>1.RI.11.074.00</v>
          </cell>
          <cell r="J417" t="str">
            <v>Gulf Advanced Control Systems Est</v>
          </cell>
          <cell r="K417" t="str">
            <v>Wind Mast Studies</v>
          </cell>
        </row>
        <row r="418">
          <cell r="C418" t="str">
            <v>Village Boutique Hotel</v>
          </cell>
          <cell r="F418" t="str">
            <v>1TB01006D04</v>
          </cell>
          <cell r="G418" t="str">
            <v>1.TB.01.006.01</v>
          </cell>
          <cell r="J418" t="str">
            <v>Contemporain Studio, S.L</v>
          </cell>
          <cell r="K418" t="str">
            <v>Triple Bay Marina Boutique Hotel Interior Design Consultancy Services</v>
          </cell>
        </row>
        <row r="419">
          <cell r="C419" t="str">
            <v>Village Boutique Hotel</v>
          </cell>
          <cell r="F419" t="str">
            <v>1TB01006D11</v>
          </cell>
          <cell r="G419" t="str">
            <v>1.TB.01.006.02</v>
          </cell>
          <cell r="J419" t="str">
            <v>Contemporain Studio, S.L</v>
          </cell>
          <cell r="K419" t="str">
            <v>Triple Bay Marina Boutique Hotel Interior Design Consultancy Services</v>
          </cell>
        </row>
        <row r="420">
          <cell r="C420" t="str">
            <v>Village Boutique Hotel</v>
          </cell>
          <cell r="F420" t="str">
            <v>1TB01006D12</v>
          </cell>
          <cell r="G420" t="str">
            <v>1.TB.01.006.03</v>
          </cell>
          <cell r="J420" t="str">
            <v>Contemporain Studio, S.L</v>
          </cell>
          <cell r="K420" t="str">
            <v>Triple Bay Marina Boutique Hotel Interior Design Consultancy Services</v>
          </cell>
        </row>
        <row r="421">
          <cell r="C421" t="str">
            <v>Multiple</v>
          </cell>
          <cell r="F421" t="str">
            <v>Multiple</v>
          </cell>
          <cell r="G421" t="str">
            <v>Multiple</v>
          </cell>
          <cell r="J421" t="str">
            <v>Contemporain Studio, S.L</v>
          </cell>
          <cell r="K421" t="str">
            <v>Triple Bay Marina Boutique Hotel Interior Design Consultancy Services</v>
          </cell>
        </row>
        <row r="422">
          <cell r="C422" t="str">
            <v>Highways and Civils</v>
          </cell>
          <cell r="F422" t="str">
            <v>1RI12078D02</v>
          </cell>
          <cell r="G422" t="str">
            <v>1.RI.12.078.01</v>
          </cell>
          <cell r="J422" t="str">
            <v>WSP Middle East &amp; Partner Saudi Company for Engineering Consultancy</v>
          </cell>
          <cell r="K422" t="str">
            <v>Construction Supervision for Triple Bay North Interchange</v>
          </cell>
        </row>
        <row r="423">
          <cell r="C423" t="str">
            <v>Marina Lifestyle Hotel &amp; Village</v>
          </cell>
          <cell r="F423" t="str">
            <v>1TB01002C19</v>
          </cell>
          <cell r="G423" t="str">
            <v>1.TB.01.002.01</v>
          </cell>
          <cell r="J423" t="str">
            <v>Green Business Certification Inc</v>
          </cell>
          <cell r="K423" t="str">
            <v>Sustainability Accreditation, third party technical reviews and verification of LEED-registered AMAALA Projects</v>
          </cell>
        </row>
        <row r="424">
          <cell r="C424" t="str">
            <v>Marina Lifestyle Hotel &amp; Village</v>
          </cell>
          <cell r="F424" t="str">
            <v>1TB01002C20</v>
          </cell>
          <cell r="G424" t="str">
            <v>1.TB.01.002.01</v>
          </cell>
          <cell r="J424" t="str">
            <v>Green Business Certification Inc</v>
          </cell>
          <cell r="K424" t="str">
            <v>Sustainability Accreditation, third party technical reviews and verification of LEED-registered AMAALA Projects</v>
          </cell>
        </row>
        <row r="425">
          <cell r="C425" t="str">
            <v xml:space="preserve">AMAALA Yacht Club </v>
          </cell>
          <cell r="F425" t="str">
            <v>1TB01003C20</v>
          </cell>
          <cell r="G425" t="str">
            <v>1.TB.01.003.01</v>
          </cell>
          <cell r="J425" t="str">
            <v>Green Business Certification Inc</v>
          </cell>
          <cell r="K425" t="str">
            <v>Sustainability Accreditation, third party technical reviews and verification of LEED-registered AMAALA Projects</v>
          </cell>
        </row>
        <row r="426">
          <cell r="C426" t="str">
            <v>Red Sea Marine Life Institute</v>
          </cell>
          <cell r="F426" t="str">
            <v>1TB01005C21</v>
          </cell>
          <cell r="G426" t="str">
            <v>1.TB.01.005.01</v>
          </cell>
          <cell r="J426" t="str">
            <v>Green Business Certification Inc</v>
          </cell>
          <cell r="K426" t="str">
            <v>Sustainability Accreditation, third party technical reviews and verification of LEED-registered AMAALA Projects</v>
          </cell>
        </row>
        <row r="427">
          <cell r="C427" t="str">
            <v>Village Boutique Hotel</v>
          </cell>
          <cell r="F427" t="str">
            <v>1TB01006C19</v>
          </cell>
          <cell r="G427" t="str">
            <v>1.TB.01.006.03</v>
          </cell>
          <cell r="J427" t="str">
            <v>Green Business Certification Inc</v>
          </cell>
          <cell r="K427" t="str">
            <v>Sustainability Accreditation, third party technical reviews and verification of LEED-registered AMAALA Projects</v>
          </cell>
        </row>
        <row r="428">
          <cell r="C428" t="str">
            <v>Marina Hotel 3</v>
          </cell>
          <cell r="F428" t="str">
            <v>1TB01009C11</v>
          </cell>
          <cell r="G428" t="str">
            <v>1.TB.01.009.01</v>
          </cell>
          <cell r="J428" t="str">
            <v>Green Business Certification Inc</v>
          </cell>
          <cell r="K428" t="str">
            <v>Sustainability Accreditation, third party technical reviews and verification of LEED-registered AMAALA Projects</v>
          </cell>
        </row>
        <row r="429">
          <cell r="C429" t="str">
            <v>Rosewood Resort</v>
          </cell>
          <cell r="F429" t="str">
            <v>1TB02011C26</v>
          </cell>
          <cell r="G429" t="str">
            <v>1.TB.02.011.01</v>
          </cell>
          <cell r="J429" t="str">
            <v>Green Business Certification Inc</v>
          </cell>
          <cell r="K429" t="str">
            <v>Sustainability Accreditation, third party technical reviews and verification of LEED-registered AMAALA Projects</v>
          </cell>
        </row>
        <row r="430">
          <cell r="C430" t="str">
            <v>Four Seasons Resort</v>
          </cell>
          <cell r="F430" t="str">
            <v>1TB02012C24</v>
          </cell>
          <cell r="G430" t="str">
            <v>1.TB.02.012.01</v>
          </cell>
          <cell r="J430" t="str">
            <v>Green Business Certification Inc</v>
          </cell>
          <cell r="K430" t="str">
            <v>Sustainability Accreditation, third party technical reviews and verification of LEED-registered AMAALA Projects</v>
          </cell>
        </row>
        <row r="431">
          <cell r="C431" t="str">
            <v>Six Senses Resort</v>
          </cell>
          <cell r="F431" t="str">
            <v>1TB02017C24</v>
          </cell>
          <cell r="G431" t="str">
            <v>1.TB.02.017.01</v>
          </cell>
          <cell r="J431" t="str">
            <v>Green Business Certification Inc</v>
          </cell>
          <cell r="K431" t="str">
            <v>Sustainability Accreditation, third party technical reviews and verification of LEED-registered AMAALA Projects</v>
          </cell>
        </row>
        <row r="432">
          <cell r="C432" t="str">
            <v>Integrative Wellness</v>
          </cell>
          <cell r="F432" t="str">
            <v>1TB03007C20</v>
          </cell>
          <cell r="G432" t="str">
            <v>1.TB.03.007.01</v>
          </cell>
          <cell r="J432" t="str">
            <v>Green Business Certification Inc</v>
          </cell>
          <cell r="K432" t="str">
            <v>Sustainability Accreditation, third party technical reviews and verification of LEED-registered AMAALA Projects</v>
          </cell>
        </row>
        <row r="433">
          <cell r="C433" t="str">
            <v>Integrative Wellness</v>
          </cell>
          <cell r="F433" t="str">
            <v>1TB03007C19</v>
          </cell>
          <cell r="G433" t="str">
            <v>1.TB.03.007.03</v>
          </cell>
          <cell r="J433" t="str">
            <v>Green Business Certification Inc</v>
          </cell>
          <cell r="K433" t="str">
            <v>Sustainability Accreditation, third party technical reviews and verification of LEED-registered AMAALA Projects</v>
          </cell>
        </row>
        <row r="434">
          <cell r="C434" t="str">
            <v>Medical Wellness</v>
          </cell>
          <cell r="F434" t="str">
            <v>1TB03008C17</v>
          </cell>
          <cell r="G434" t="str">
            <v>1.TB.03.008.01</v>
          </cell>
          <cell r="J434" t="str">
            <v>Green Business Certification Inc</v>
          </cell>
          <cell r="K434" t="str">
            <v>Sustainability Accreditation, third party technical reviews and verification of LEED-registered AMAALA Projects</v>
          </cell>
        </row>
        <row r="435">
          <cell r="C435" t="str">
            <v>Wellness Village Retail</v>
          </cell>
          <cell r="F435" t="str">
            <v>1TB03040C09</v>
          </cell>
          <cell r="G435" t="str">
            <v>1.TB.03.040.01</v>
          </cell>
          <cell r="J435" t="str">
            <v>Green Business Certification Inc</v>
          </cell>
          <cell r="K435" t="str">
            <v>Sustainability Accreditation, third party technical reviews and verification of LEED-registered AMAALA Projects</v>
          </cell>
        </row>
        <row r="436">
          <cell r="C436" t="str">
            <v>Staff Village Hotel</v>
          </cell>
          <cell r="F436" t="str">
            <v>1SV10056C02</v>
          </cell>
          <cell r="G436" t="str">
            <v>1.SV.10.056.01</v>
          </cell>
          <cell r="J436" t="str">
            <v>Green Business Certification Inc</v>
          </cell>
          <cell r="K436" t="str">
            <v>Sustainability Accreditation, third party technical reviews and verification of LEED-registered AMAALA Projects</v>
          </cell>
        </row>
        <row r="437">
          <cell r="C437" t="str">
            <v>Primary Infrastructure</v>
          </cell>
          <cell r="F437" t="str">
            <v>1TB04029D13</v>
          </cell>
          <cell r="G437" t="str">
            <v>1.TB.04.029.01</v>
          </cell>
          <cell r="J437" t="str">
            <v>Green Business Certification Inc</v>
          </cell>
          <cell r="K437" t="str">
            <v>Sustainability Accreditation, third party technical reviews and verification of LEED-registered AMAALA Projects</v>
          </cell>
        </row>
        <row r="438">
          <cell r="C438" t="str">
            <v>Marina Lifestyle Hotel &amp; Village</v>
          </cell>
          <cell r="F438" t="str">
            <v>1TB01002D22</v>
          </cell>
          <cell r="G438" t="str">
            <v>1.TB.01.002.01</v>
          </cell>
          <cell r="J438" t="str">
            <v>Green Business Certification Inc</v>
          </cell>
          <cell r="K438" t="str">
            <v>Sustainability Accreditation, third party technical reviews and verification of LEED-registered AMAALA Projects</v>
          </cell>
        </row>
        <row r="439">
          <cell r="C439" t="str">
            <v>Staff Village - Wide</v>
          </cell>
          <cell r="F439" t="str">
            <v>1SV10057C02</v>
          </cell>
          <cell r="G439" t="str">
            <v>1.SV.10.057.01</v>
          </cell>
          <cell r="J439" t="str">
            <v>Green Business Certification Inc</v>
          </cell>
          <cell r="K439" t="str">
            <v>Sustainability Accreditation, third party technical reviews and verification of LEED-registered AMAALA Projects</v>
          </cell>
        </row>
        <row r="440">
          <cell r="C440" t="str">
            <v>Multiple</v>
          </cell>
          <cell r="F440" t="str">
            <v>Multiple</v>
          </cell>
          <cell r="G440" t="str">
            <v>Multiple</v>
          </cell>
          <cell r="J440" t="str">
            <v>Green Business Certification Inc</v>
          </cell>
          <cell r="K440" t="str">
            <v>Sustainability Accreditation, third party technical reviews and verification of LEED-registered AMAALA Projects</v>
          </cell>
        </row>
        <row r="441">
          <cell r="C441" t="str">
            <v>Early Works</v>
          </cell>
          <cell r="F441" t="str">
            <v>1TB04004C07</v>
          </cell>
          <cell r="G441" t="str">
            <v>1.TB.04.004.01</v>
          </cell>
          <cell r="J441" t="str">
            <v>Ministry of Municipality and Rural Affairs</v>
          </cell>
          <cell r="K441" t="str">
            <v>Permit Fees</v>
          </cell>
        </row>
        <row r="442">
          <cell r="C442" t="str">
            <v>Early Works</v>
          </cell>
          <cell r="F442" t="str">
            <v>1TB04004C08</v>
          </cell>
          <cell r="G442" t="str">
            <v>1.TB.04.004.01</v>
          </cell>
          <cell r="J442" t="str">
            <v>Ministry of Municipality and Rural Affairs</v>
          </cell>
          <cell r="K442" t="str">
            <v>Permit Fees</v>
          </cell>
        </row>
        <row r="443">
          <cell r="C443" t="str">
            <v>Red Sea Marine Life Institute</v>
          </cell>
          <cell r="F443" t="str">
            <v>1TB01005C22</v>
          </cell>
          <cell r="G443" t="str">
            <v>1.TB.01.005.01</v>
          </cell>
          <cell r="J443" t="str">
            <v>Ministry of Municipality and Rural Affairs</v>
          </cell>
          <cell r="K443" t="str">
            <v>Permit Fees</v>
          </cell>
        </row>
        <row r="444">
          <cell r="C444" t="str">
            <v>Red Sea Marine Life Institute</v>
          </cell>
          <cell r="F444" t="str">
            <v>1TB01005D05</v>
          </cell>
          <cell r="G444" t="str">
            <v>1.TB.01.005.01</v>
          </cell>
          <cell r="J444" t="str">
            <v>Ministry of Municipality and Rural Affairs</v>
          </cell>
          <cell r="K444" t="str">
            <v>Permit Fees</v>
          </cell>
        </row>
        <row r="445">
          <cell r="C445" t="str">
            <v>Early Works</v>
          </cell>
          <cell r="F445" t="str">
            <v>1TB04004C03</v>
          </cell>
          <cell r="G445" t="str">
            <v>1.TB.04.004.01</v>
          </cell>
          <cell r="J445" t="str">
            <v>National Center for Environmental Compliance</v>
          </cell>
          <cell r="K445" t="str">
            <v>Obtain Permit for Soil Investigation at Triple Bay Village</v>
          </cell>
        </row>
        <row r="446">
          <cell r="C446" t="str">
            <v>Early Works</v>
          </cell>
          <cell r="F446" t="str">
            <v>1TB04004C04</v>
          </cell>
          <cell r="G446" t="str">
            <v>1.TB.04.004.01</v>
          </cell>
          <cell r="J446" t="str">
            <v>National Center for Environmental Compliance</v>
          </cell>
          <cell r="K446" t="str">
            <v>Early Earthwork ESIA Application Permit - Amaala Wide Program</v>
          </cell>
        </row>
        <row r="447">
          <cell r="C447" t="str">
            <v>Early Works</v>
          </cell>
          <cell r="F447" t="str">
            <v>1TB04004C05</v>
          </cell>
          <cell r="G447" t="str">
            <v>1.TB.04.004.01</v>
          </cell>
          <cell r="J447" t="str">
            <v>National Center for Environmental Compliance</v>
          </cell>
          <cell r="K447" t="str">
            <v>Early Earthwork ESIA Application Permit - Amaala Wide Program</v>
          </cell>
        </row>
        <row r="448">
          <cell r="C448" t="str">
            <v>Early Works</v>
          </cell>
          <cell r="F448" t="str">
            <v>1TB04004C06</v>
          </cell>
          <cell r="G448" t="str">
            <v>1.TB.04.004.01</v>
          </cell>
          <cell r="J448" t="str">
            <v>National Center for Environmental Compliance</v>
          </cell>
          <cell r="K448" t="str">
            <v>ESIA invoice for the Island</v>
          </cell>
        </row>
        <row r="449">
          <cell r="C449" t="str">
            <v>Rosewood Resort</v>
          </cell>
          <cell r="F449" t="str">
            <v>1TB02011C28</v>
          </cell>
          <cell r="G449" t="str">
            <v>1.TB.02.011.01</v>
          </cell>
          <cell r="J449" t="str">
            <v>National Center for Environmental Compliance</v>
          </cell>
          <cell r="K449" t="str">
            <v>Staff Village Early Environmental works permit</v>
          </cell>
        </row>
        <row r="450">
          <cell r="C450" t="str">
            <v>Rosewood Resort</v>
          </cell>
          <cell r="F450" t="str">
            <v>1TB02011C29</v>
          </cell>
          <cell r="G450" t="str">
            <v>1.TB.02.011.01</v>
          </cell>
          <cell r="J450" t="str">
            <v>National Center for Environmental Compliance</v>
          </cell>
          <cell r="K450" t="str">
            <v>Triple Bay Environmental works permit</v>
          </cell>
        </row>
        <row r="451">
          <cell r="C451" t="str">
            <v>Four Seasons Resort</v>
          </cell>
          <cell r="F451" t="str">
            <v>1TB02012C25</v>
          </cell>
          <cell r="G451" t="str">
            <v>1.TB.02.012.01</v>
          </cell>
          <cell r="J451" t="str">
            <v>National Center for Environmental Compliance</v>
          </cell>
          <cell r="K451" t="str">
            <v>Triple Bay Environmental works permit</v>
          </cell>
        </row>
        <row r="452">
          <cell r="C452" t="str">
            <v>Six Senses Resort</v>
          </cell>
          <cell r="F452" t="str">
            <v>1TB02017C25</v>
          </cell>
          <cell r="G452" t="str">
            <v>1.TB.02.017.01</v>
          </cell>
          <cell r="J452" t="str">
            <v>National Center for Environmental Compliance</v>
          </cell>
          <cell r="K452" t="str">
            <v>Triple Bay Environmental works permit</v>
          </cell>
        </row>
        <row r="453">
          <cell r="C453" t="str">
            <v>Medical Wellness</v>
          </cell>
          <cell r="F453" t="str">
            <v>1TB03008C18</v>
          </cell>
          <cell r="G453" t="str">
            <v>1.TB.03.008.01</v>
          </cell>
          <cell r="J453" t="str">
            <v>National Center for Environmental Compliance</v>
          </cell>
          <cell r="K453" t="str">
            <v>Triple Bay Environmental works permit</v>
          </cell>
        </row>
        <row r="454">
          <cell r="C454" t="str">
            <v>Multiple</v>
          </cell>
          <cell r="F454" t="str">
            <v>Multiple</v>
          </cell>
          <cell r="G454" t="str">
            <v>Multiple</v>
          </cell>
          <cell r="J454" t="str">
            <v>National Center for Environmental Compliance</v>
          </cell>
          <cell r="K454" t="str">
            <v>Triple Bay Environmental works permit</v>
          </cell>
        </row>
        <row r="455">
          <cell r="C455" t="str">
            <v>Village Boutique Hotel</v>
          </cell>
          <cell r="F455" t="str">
            <v>1TB01006D08</v>
          </cell>
          <cell r="G455" t="str">
            <v>1.TB.01.006.03</v>
          </cell>
          <cell r="J455" t="str">
            <v>National Center for Environmental Compliance</v>
          </cell>
          <cell r="K455" t="str">
            <v>Issuance for commercial activities license</v>
          </cell>
        </row>
        <row r="456">
          <cell r="C456" t="str">
            <v>Early Works</v>
          </cell>
          <cell r="F456" t="str">
            <v>1TB04004C10</v>
          </cell>
          <cell r="G456" t="str">
            <v>1.TB.04.004.01</v>
          </cell>
          <cell r="J456" t="str">
            <v>National Center for Environmental Compliance</v>
          </cell>
          <cell r="K456" t="str">
            <v>Environmental permit Fees</v>
          </cell>
        </row>
        <row r="457">
          <cell r="C457" t="str">
            <v>Shared Facilities Hub</v>
          </cell>
          <cell r="F457" t="str">
            <v>1RI12073D02</v>
          </cell>
          <cell r="G457" t="str">
            <v>1.RI.12.073.01</v>
          </cell>
          <cell r="J457" t="str">
            <v>Branch of HDR Middle East Company</v>
          </cell>
          <cell r="K457" t="str">
            <v>Central Shared Facilities Design and Build Technical RFP Preparation</v>
          </cell>
        </row>
        <row r="458">
          <cell r="C458" t="str">
            <v>Staff Village - Wide</v>
          </cell>
          <cell r="F458" t="str">
            <v>1SV10110D21</v>
          </cell>
          <cell r="G458" t="str">
            <v>1.SV.10.110.00</v>
          </cell>
          <cell r="J458" t="str">
            <v>Arab Company for Laboratories and Soil Branch (ACES)</v>
          </cell>
          <cell r="K458" t="str">
            <v>Staff Village Phase III - (Geo-Technical Investigation for Land Works)</v>
          </cell>
        </row>
        <row r="459">
          <cell r="C459" t="str">
            <v>Regional Infrastructure  - Wide</v>
          </cell>
          <cell r="F459" t="str">
            <v>1RI12071D24</v>
          </cell>
          <cell r="G459" t="str">
            <v>1.RI.12.071.00</v>
          </cell>
          <cell r="J459" t="str">
            <v>Aram Heritage Consultancy Office</v>
          </cell>
          <cell r="K459" t="str">
            <v>Archaeological Survey for AMAALA Project area</v>
          </cell>
        </row>
        <row r="460">
          <cell r="C460" t="str">
            <v>Marina Hotel 3</v>
          </cell>
          <cell r="F460" t="str">
            <v>1TB01009D10</v>
          </cell>
          <cell r="G460" t="str">
            <v>1.TB.01.009.01</v>
          </cell>
          <cell r="J460" t="str">
            <v>Foster + Partners Limited</v>
          </cell>
          <cell r="K460" t="str">
            <v>Triple Bay Marina Resort 3 Executive Architect Services</v>
          </cell>
        </row>
        <row r="461">
          <cell r="C461" t="str">
            <v>Regional Infrastructure  - Wide</v>
          </cell>
          <cell r="F461" t="str">
            <v>1RI12071F05</v>
          </cell>
          <cell r="G461" t="str">
            <v>1.RI.12.071.00</v>
          </cell>
          <cell r="J461" t="str">
            <v>Arab Company for Laboratories and Soil Branch (ACES)</v>
          </cell>
          <cell r="K461" t="str">
            <v>Regional Infrastructure PPP - Additional Geotechnical Investigation Works - SO 15</v>
          </cell>
        </row>
        <row r="462">
          <cell r="C462" t="str">
            <v>Ocean Golf Resort</v>
          </cell>
          <cell r="F462" t="str">
            <v>1TB05022F01</v>
          </cell>
          <cell r="G462" t="str">
            <v>1.TB.05.022.01</v>
          </cell>
          <cell r="J462" t="str">
            <v>Arab Company for Laboratories and Soil Branch (ACES)</v>
          </cell>
          <cell r="K462" t="str">
            <v>Ocean Golf Course - (Geo-Technical Investigation for Land Works) - SO 17</v>
          </cell>
        </row>
        <row r="463">
          <cell r="C463" t="str">
            <v>Nabatean Rock Hotel</v>
          </cell>
          <cell r="F463" t="str">
            <v>1TB06020F01</v>
          </cell>
          <cell r="G463" t="str">
            <v>1.TB.06.020.01</v>
          </cell>
          <cell r="J463" t="str">
            <v>Arab Company for Laboratories and Soil Branch (ACES)</v>
          </cell>
          <cell r="K463" t="str">
            <v>Nabatean Rock Hotel - Additional Geotechnical Investigation Works - SO 18</v>
          </cell>
        </row>
        <row r="464">
          <cell r="C464" t="str">
            <v>Staff Village - Wide</v>
          </cell>
          <cell r="F464" t="str">
            <v>1SV10110D22</v>
          </cell>
          <cell r="G464" t="str">
            <v>1.SV.10.110.00</v>
          </cell>
          <cell r="J464" t="str">
            <v>Saudi Arabian Parsons LTD</v>
          </cell>
          <cell r="K464" t="str">
            <v>Staff Village - Primary Infrastructure Design</v>
          </cell>
        </row>
        <row r="465">
          <cell r="C465" t="str">
            <v>Highways and Civils</v>
          </cell>
          <cell r="F465" t="str">
            <v>1RI12078C01</v>
          </cell>
          <cell r="G465" t="str">
            <v>1.RI.12.078.01</v>
          </cell>
          <cell r="J465" t="str">
            <v>Saudi Real Estate Infrastructure Company (BINYAH)</v>
          </cell>
          <cell r="K465" t="str">
            <v>Regional Infrastructure Triple Bay North Interchange Highways &amp; Civil Package</v>
          </cell>
        </row>
        <row r="466">
          <cell r="C466" t="str">
            <v>Primary Infrastructure</v>
          </cell>
          <cell r="F466" t="str">
            <v>1TB04029C11</v>
          </cell>
          <cell r="G466" t="str">
            <v>1.TB.04.029.01</v>
          </cell>
          <cell r="J466" t="str">
            <v>Al-Ayuni Investment &amp; Contracting Company</v>
          </cell>
          <cell r="K466" t="str">
            <v>Primary Infrastructure Package 10319 - Roads, Wadi Crossings, Secondary Irrigation, Street Lighting and Stormwater Drainage</v>
          </cell>
        </row>
        <row r="467">
          <cell r="C467" t="str">
            <v>Triple Bay Construction Logistics</v>
          </cell>
          <cell r="F467" t="str">
            <v>1TB04034C05</v>
          </cell>
          <cell r="G467" t="str">
            <v>1.TB.04.034.01</v>
          </cell>
          <cell r="J467" t="str">
            <v>Hamza Muhammad Al-Deri Contracting Co</v>
          </cell>
          <cell r="K467" t="str">
            <v>Triple Bay Logistics - Security Fencing</v>
          </cell>
        </row>
        <row r="468">
          <cell r="C468" t="str">
            <v>Six Senses Resort</v>
          </cell>
          <cell r="F468" t="str">
            <v>1TB02017F01</v>
          </cell>
          <cell r="G468" t="str">
            <v>1.TB.02.017.02</v>
          </cell>
          <cell r="J468" t="str">
            <v>Arab Company for Laboratories and Soil Branch (ACES)</v>
          </cell>
          <cell r="K468" t="str">
            <v>Family Hotel Marine Bore Holes Ground Investigation Works (Near / Offshore) - SO 14</v>
          </cell>
        </row>
        <row r="469">
          <cell r="C469" t="str">
            <v>Public Realm</v>
          </cell>
          <cell r="F469" t="str">
            <v>1TB04030F02</v>
          </cell>
          <cell r="G469" t="str">
            <v>1.TB.04.030.03</v>
          </cell>
          <cell r="J469" t="str">
            <v>Arab Company for Laboratories and Soil Branch (ACES)</v>
          </cell>
          <cell r="K469" t="str">
            <v>Beach and Sample Tests - SO 28</v>
          </cell>
        </row>
        <row r="470">
          <cell r="C470" t="str">
            <v>Ocean Golf - Wide</v>
          </cell>
          <cell r="F470" t="str">
            <v>1TB05500D03</v>
          </cell>
          <cell r="G470" t="str">
            <v>1.TB.05.500.00</v>
          </cell>
          <cell r="J470" t="str">
            <v>Tabanlioglu USA LLC</v>
          </cell>
          <cell r="K470" t="str">
            <v>Triple Bay Phase 2 Design Competition - Package 02 Alternative</v>
          </cell>
        </row>
        <row r="471">
          <cell r="C471" t="str">
            <v>Ocean Golf - Wide</v>
          </cell>
          <cell r="F471" t="str">
            <v>1TB05500D04</v>
          </cell>
          <cell r="G471" t="str">
            <v>1.TB.05.500.00</v>
          </cell>
          <cell r="J471" t="str">
            <v>Unscripted PTE. LTD</v>
          </cell>
          <cell r="K471" t="str">
            <v>Triple Bay Phase 2 Design Competition - Package 02 Additional Design</v>
          </cell>
        </row>
        <row r="472">
          <cell r="C472" t="str">
            <v>Regional Infrastructure  - Wide</v>
          </cell>
          <cell r="F472" t="str">
            <v>1RI12071D25</v>
          </cell>
          <cell r="G472" t="str">
            <v>1.RI.12.071.00</v>
          </cell>
          <cell r="J472" t="str">
            <v>WSP Middle East &amp; Partner Saudi Company for Engineering Consultancy</v>
          </cell>
          <cell r="K472" t="str">
            <v>Engineering &amp; Advisory Consultant to carry out Advisory Services for Amaala Mobility Concept of Operations and Fleet Charging Infrastructure Requirements</v>
          </cell>
        </row>
        <row r="473">
          <cell r="C473" t="str">
            <v>Marina Lifestyle Hotel &amp; Village</v>
          </cell>
          <cell r="F473" t="str">
            <v>1TB01002D16</v>
          </cell>
          <cell r="G473" t="str">
            <v>1.TB.01.002.03</v>
          </cell>
          <cell r="J473" t="str">
            <v>EQX Hotel Management LLC</v>
          </cell>
          <cell r="K473" t="str">
            <v>Interim Technical Services Agreement Relating to The Hotel to be developed on Marina Hotel 1, Triple Bay</v>
          </cell>
        </row>
        <row r="474">
          <cell r="C474" t="str">
            <v>Ocean Golf - Wide</v>
          </cell>
          <cell r="F474" t="str">
            <v>1TB05500D02</v>
          </cell>
          <cell r="G474" t="str">
            <v>1.TB.05.500.00</v>
          </cell>
          <cell r="J474" t="str">
            <v>OAOA LTD</v>
          </cell>
          <cell r="K474" t="str">
            <v>Triple Bay Phase 2 Design Competition - Package 02 Alternative</v>
          </cell>
        </row>
        <row r="475">
          <cell r="C475" t="str">
            <v>Staff Village - Wide</v>
          </cell>
          <cell r="F475" t="str">
            <v>1SV10110C02</v>
          </cell>
          <cell r="G475" t="str">
            <v>1.SV.10.110.00</v>
          </cell>
          <cell r="J475" t="str">
            <v>Unipods LLC</v>
          </cell>
          <cell r="K475" t="str">
            <v>AMAALA Staff Village - Supply and Supervision of Bathroom Pods</v>
          </cell>
        </row>
        <row r="476">
          <cell r="C476" t="str">
            <v>Staff Village - Wide</v>
          </cell>
          <cell r="F476" t="str">
            <v>1SV10110C07</v>
          </cell>
          <cell r="G476" t="str">
            <v>1.SV.10.110.00</v>
          </cell>
          <cell r="J476" t="str">
            <v>DuPod Industries LLC</v>
          </cell>
          <cell r="K476" t="str">
            <v>AMAALA Staff Village - Supply and Supervision of Bathroom Pods</v>
          </cell>
        </row>
        <row r="477">
          <cell r="C477" t="str">
            <v>Red Sea Marine Life Institute</v>
          </cell>
          <cell r="F477" t="str">
            <v>1TB01005C04</v>
          </cell>
          <cell r="G477" t="str">
            <v>N/A</v>
          </cell>
          <cell r="J477" t="str">
            <v>Saudi Aircon Company</v>
          </cell>
          <cell r="K477" t="str">
            <v>MEP including Teritary Infrastructure, Grand Reveal Basin Fit-out, MEP systems, LSS, Acclimation Areas and ICT/ELV for the RSMLI.</v>
          </cell>
        </row>
        <row r="478">
          <cell r="C478" t="str">
            <v>Staff Village - Wide</v>
          </cell>
          <cell r="F478" t="str">
            <v>1SV10110D23</v>
          </cell>
          <cell r="G478" t="str">
            <v>1.SV.10.110.00</v>
          </cell>
          <cell r="J478" t="str">
            <v>Graphite International FZ-LLC</v>
          </cell>
          <cell r="K478" t="str">
            <v>Lead Design Consultant Services for a Staff Village School</v>
          </cell>
        </row>
        <row r="479">
          <cell r="C479" t="str">
            <v>Public Realm</v>
          </cell>
          <cell r="F479" t="str">
            <v>1TB04030F01</v>
          </cell>
          <cell r="G479" t="str">
            <v>1.TB.04.030.03</v>
          </cell>
          <cell r="J479" t="str">
            <v>CH2M Saudi Limited Company</v>
          </cell>
          <cell r="K479" t="str">
            <v>Triple Bay Beach Nourishment</v>
          </cell>
        </row>
        <row r="480">
          <cell r="C480" t="str">
            <v>Management Village</v>
          </cell>
          <cell r="F480" t="str">
            <v>1SV10051C04</v>
          </cell>
          <cell r="G480" t="str">
            <v>1.SV.10.051.01</v>
          </cell>
          <cell r="J480" t="str">
            <v>National Housing Company</v>
          </cell>
          <cell r="K480" t="str">
            <v>Sustainability Accreditation, third party technical reviews and Mostadam Certification</v>
          </cell>
        </row>
        <row r="481">
          <cell r="C481" t="str">
            <v>Management Village</v>
          </cell>
          <cell r="F481" t="str">
            <v>1SV10051C05</v>
          </cell>
          <cell r="G481" t="str">
            <v>1.SV.10.051.02</v>
          </cell>
          <cell r="J481" t="str">
            <v>National Housing Company</v>
          </cell>
          <cell r="K481" t="str">
            <v>Sustainability Accreditation, third party technical reviews and Mostadam Certification</v>
          </cell>
        </row>
        <row r="482">
          <cell r="C482" t="str">
            <v>Management Village</v>
          </cell>
          <cell r="F482" t="str">
            <v>1SV10051C06</v>
          </cell>
          <cell r="G482" t="str">
            <v>1.SV.10.051.03</v>
          </cell>
          <cell r="J482" t="str">
            <v>National Housing Company</v>
          </cell>
          <cell r="K482" t="str">
            <v>Sustainability Accreditation, third party technical reviews and Mostadam Certification</v>
          </cell>
        </row>
        <row r="483">
          <cell r="C483" t="str">
            <v>Professional Accommodation</v>
          </cell>
          <cell r="F483" t="str">
            <v>1SV10052C03</v>
          </cell>
          <cell r="G483" t="str">
            <v>1.SV.10.052.01</v>
          </cell>
          <cell r="J483" t="str">
            <v>National Housing Company</v>
          </cell>
          <cell r="K483" t="str">
            <v>Sustainability Accreditation, third party technical reviews and Mostadam Certification</v>
          </cell>
        </row>
        <row r="484">
          <cell r="C484" t="str">
            <v>Professional Accommodation</v>
          </cell>
          <cell r="F484" t="str">
            <v>1SV10052C04</v>
          </cell>
          <cell r="G484" t="str">
            <v>1.SV.10.052.02</v>
          </cell>
          <cell r="J484" t="str">
            <v>National Housing Company</v>
          </cell>
          <cell r="K484" t="str">
            <v>Sustainability Accreditation, third party technical reviews and Mostadam Certification</v>
          </cell>
        </row>
        <row r="485">
          <cell r="C485" t="str">
            <v>Professional Accommodation</v>
          </cell>
          <cell r="F485" t="str">
            <v>1SV10052C05</v>
          </cell>
          <cell r="G485" t="str">
            <v>1.SV.10.052.03</v>
          </cell>
          <cell r="J485" t="str">
            <v>National Housing Company</v>
          </cell>
          <cell r="K485" t="str">
            <v>Sustainability Accreditation, third party technical reviews and Mostadam Certification</v>
          </cell>
        </row>
        <row r="486">
          <cell r="C486" t="str">
            <v>Professional Accommodation</v>
          </cell>
          <cell r="F486" t="str">
            <v>1SV10052C06</v>
          </cell>
          <cell r="G486" t="str">
            <v>1.SV.10.052.04</v>
          </cell>
          <cell r="J486" t="str">
            <v>National Housing Company</v>
          </cell>
          <cell r="K486" t="str">
            <v>Sustainability Accreditation, third party technical reviews and Mostadam Certification</v>
          </cell>
        </row>
        <row r="487">
          <cell r="C487" t="str">
            <v>Non-Professional Accommodation</v>
          </cell>
          <cell r="F487" t="str">
            <v>1SV10053C05</v>
          </cell>
          <cell r="G487" t="str">
            <v>1.SV.10.053.01</v>
          </cell>
          <cell r="J487" t="str">
            <v>National Housing Company</v>
          </cell>
          <cell r="K487" t="str">
            <v>Sustainability Accreditation, third party technical reviews and Mostadam Certification</v>
          </cell>
        </row>
        <row r="488">
          <cell r="C488" t="str">
            <v>Multiple</v>
          </cell>
          <cell r="F488" t="str">
            <v>Multiple</v>
          </cell>
          <cell r="G488" t="str">
            <v>Multiple</v>
          </cell>
          <cell r="J488" t="str">
            <v>National Housing Company</v>
          </cell>
          <cell r="K488" t="str">
            <v>Sustainability Accreditation, third party technical reviews and Mostadam Certification</v>
          </cell>
        </row>
        <row r="489">
          <cell r="C489" t="str">
            <v>Ridge Residences</v>
          </cell>
          <cell r="F489" t="str">
            <v>1TB06024D21</v>
          </cell>
          <cell r="G489" t="str">
            <v>1.TB.06.024.99</v>
          </cell>
          <cell r="J489" t="str">
            <v>Citterio Viel &amp; Partners</v>
          </cell>
          <cell r="K489" t="str">
            <v>Triple Bay Phase 2 - Ridge Residences - Design Competition Additional Services</v>
          </cell>
        </row>
        <row r="490">
          <cell r="C490" t="str">
            <v>Ridge Residences</v>
          </cell>
          <cell r="F490" t="str">
            <v>1TB06024D17</v>
          </cell>
          <cell r="G490" t="str">
            <v>1.TB.06.024.99</v>
          </cell>
          <cell r="J490" t="str">
            <v>Elastic Design</v>
          </cell>
          <cell r="K490" t="str">
            <v>Triple Bay Phase 2 - Ridge Residences - Design Competition Additional Services</v>
          </cell>
        </row>
        <row r="491">
          <cell r="C491" t="str">
            <v>AMAALA DevCo</v>
          </cell>
          <cell r="F491" t="str">
            <v>1DC99999D86</v>
          </cell>
          <cell r="G491" t="str">
            <v>1.DC.99.999.99</v>
          </cell>
          <cell r="J491" t="str">
            <v>H Power International Limited</v>
          </cell>
          <cell r="K491" t="str">
            <v>Services related to Red Sea Seasons</v>
          </cell>
        </row>
        <row r="492">
          <cell r="C492" t="str">
            <v>Ridge Residences</v>
          </cell>
          <cell r="F492" t="str">
            <v>1TB06024D19</v>
          </cell>
          <cell r="G492" t="str">
            <v>1.TB.06.024.99</v>
          </cell>
          <cell r="J492" t="str">
            <v>Office of Architecture in Barcelona S.L.P</v>
          </cell>
          <cell r="K492" t="str">
            <v>Triple Bay Phase 2 - Ridge Residences Design Competition Additional Services</v>
          </cell>
        </row>
        <row r="493">
          <cell r="C493" t="str">
            <v>Highways and Civils</v>
          </cell>
          <cell r="F493" t="str">
            <v>1RI12078C02</v>
          </cell>
          <cell r="G493" t="str">
            <v>1.RI.12.078.01</v>
          </cell>
          <cell r="J493" t="str">
            <v>Saudi Electricity Company</v>
          </cell>
          <cell r="K493" t="str">
            <v>Relocation of Existing Overhead Power lines to Underground Cables at Triple Bay North Interchange and Street Lighting Connection</v>
          </cell>
        </row>
        <row r="494">
          <cell r="C494" t="str">
            <v>Primary Infrastructure</v>
          </cell>
          <cell r="F494" t="str">
            <v>1TB04029D12</v>
          </cell>
          <cell r="G494" t="str">
            <v>1.TB.04.029.01</v>
          </cell>
          <cell r="J494" t="str">
            <v>KEO International Consultants and Partner for Engineering Consultancy Co</v>
          </cell>
          <cell r="K494" t="str">
            <v>Construction Supervision Services at AMAALA - Triple Bay Primary Infrastructure, Public Realm, Linear Park, Bulk Earthworks and Beach Nourishments</v>
          </cell>
        </row>
        <row r="495">
          <cell r="C495" t="str">
            <v>Wellness Resort 3</v>
          </cell>
          <cell r="F495" t="str">
            <v>1TB07013D19</v>
          </cell>
          <cell r="G495" t="str">
            <v>1.TB.07.013.01</v>
          </cell>
          <cell r="J495" t="str">
            <v>Heah &amp; Co</v>
          </cell>
          <cell r="K495" t="str">
            <v>Triple Bay, Phase 2 - Wellness Resort 3 &amp; Branded Residences - Pre-Concept Scope of Services</v>
          </cell>
        </row>
        <row r="496">
          <cell r="C496" t="str">
            <v>Island Wide</v>
          </cell>
          <cell r="F496" t="str">
            <v>1IL90902D35</v>
          </cell>
          <cell r="G496" t="str">
            <v>1.IL.90.902.99</v>
          </cell>
          <cell r="J496" t="str">
            <v>National Center for Environmental Compliance</v>
          </cell>
          <cell r="K496" t="str">
            <v>Environmental permit Fees</v>
          </cell>
        </row>
        <row r="497">
          <cell r="C497" t="str">
            <v>Island Wide</v>
          </cell>
          <cell r="F497" t="str">
            <v>1IL90902D35</v>
          </cell>
          <cell r="G497" t="str">
            <v>1.IL.90.902.99</v>
          </cell>
          <cell r="J497" t="str">
            <v>National Center for Environmental Compliance</v>
          </cell>
          <cell r="K497" t="str">
            <v>Environmental permit Fees</v>
          </cell>
        </row>
        <row r="498">
          <cell r="C498" t="str">
            <v>Island Wide</v>
          </cell>
          <cell r="F498" t="str">
            <v>1IL90902D35</v>
          </cell>
          <cell r="G498" t="str">
            <v>1.IL.90.902.99</v>
          </cell>
          <cell r="J498" t="str">
            <v>National Center for Environmental Compliance</v>
          </cell>
          <cell r="K498" t="str">
            <v>Environmental permit Fees</v>
          </cell>
        </row>
        <row r="499">
          <cell r="C499" t="str">
            <v>Multiple</v>
          </cell>
          <cell r="F499" t="str">
            <v>Multiple</v>
          </cell>
          <cell r="G499" t="str">
            <v>Multiple</v>
          </cell>
          <cell r="J499" t="str">
            <v>National Center for Environmental Compliance</v>
          </cell>
          <cell r="K499" t="str">
            <v>Environmental permit Fees</v>
          </cell>
        </row>
        <row r="500">
          <cell r="C500" t="str">
            <v>Staff Village - Wide</v>
          </cell>
          <cell r="F500" t="str">
            <v>1SV10110D24</v>
          </cell>
          <cell r="G500" t="str">
            <v>1.SV.10.110.00</v>
          </cell>
          <cell r="J500" t="str">
            <v>Ministry of Municipality and Rural Affairs</v>
          </cell>
          <cell r="K500" t="str">
            <v>Permit Fees</v>
          </cell>
        </row>
        <row r="501">
          <cell r="C501" t="str">
            <v>Staff Village - Wide</v>
          </cell>
          <cell r="F501" t="str">
            <v>1SV10110D24</v>
          </cell>
          <cell r="G501" t="str">
            <v>1.SV.10.110.00</v>
          </cell>
          <cell r="J501" t="str">
            <v>Ministry of Municipality and Rural Affairs</v>
          </cell>
          <cell r="K501" t="str">
            <v>Permit Fees</v>
          </cell>
        </row>
        <row r="502">
          <cell r="C502" t="str">
            <v>Staff Village - Wide</v>
          </cell>
          <cell r="F502" t="str">
            <v>1SV10110D24</v>
          </cell>
          <cell r="G502" t="str">
            <v>1.SV.10.110.00</v>
          </cell>
          <cell r="J502" t="str">
            <v>Ministry of Municipality and Rural Affairs</v>
          </cell>
          <cell r="K502" t="str">
            <v>Permit Fees</v>
          </cell>
        </row>
        <row r="503">
          <cell r="C503" t="str">
            <v>Staff Village - Wide</v>
          </cell>
          <cell r="F503" t="str">
            <v>1SV10110D24</v>
          </cell>
          <cell r="G503" t="str">
            <v>1.SV.10.110.00</v>
          </cell>
          <cell r="J503" t="str">
            <v>Ministry of Municipality and Rural Affairs</v>
          </cell>
          <cell r="K503" t="str">
            <v>Permit Fees</v>
          </cell>
        </row>
        <row r="504">
          <cell r="C504" t="str">
            <v>Staff Village - Wide</v>
          </cell>
          <cell r="F504" t="str">
            <v>1SV10110D24</v>
          </cell>
          <cell r="G504" t="str">
            <v>1.SV.10.110.00</v>
          </cell>
          <cell r="J504" t="str">
            <v>Ministry of Municipality and Rural Affairs</v>
          </cell>
          <cell r="K504" t="str">
            <v>Permit Fees</v>
          </cell>
        </row>
        <row r="505">
          <cell r="C505" t="str">
            <v>Staff Village - Wide</v>
          </cell>
          <cell r="F505" t="str">
            <v>1SV10110D24</v>
          </cell>
          <cell r="G505" t="str">
            <v>1.SV.10.110.00</v>
          </cell>
          <cell r="J505" t="str">
            <v>Ministry of Municipality and Rural Affairs</v>
          </cell>
          <cell r="K505" t="str">
            <v>Permit Fees</v>
          </cell>
        </row>
        <row r="506">
          <cell r="C506" t="str">
            <v>Staff Village - Wide</v>
          </cell>
          <cell r="F506" t="str">
            <v>1SV10110D24</v>
          </cell>
          <cell r="G506" t="str">
            <v>1.SV.10.110.00</v>
          </cell>
          <cell r="J506" t="str">
            <v>Ministry of Municipality and Rural Affairs</v>
          </cell>
          <cell r="K506" t="str">
            <v>Permit Fees</v>
          </cell>
        </row>
        <row r="507">
          <cell r="C507" t="str">
            <v>Staff Village - Wide</v>
          </cell>
          <cell r="F507" t="str">
            <v>1SV10110D24</v>
          </cell>
          <cell r="G507" t="str">
            <v>1.SV.10.110.00</v>
          </cell>
          <cell r="J507" t="str">
            <v>Ministry of Municipality and Rural Affairs</v>
          </cell>
          <cell r="K507" t="str">
            <v>Permit Fees</v>
          </cell>
        </row>
        <row r="508">
          <cell r="C508" t="str">
            <v>Staff Village - Wide</v>
          </cell>
          <cell r="F508" t="str">
            <v>1SV10110D24</v>
          </cell>
          <cell r="G508" t="str">
            <v>1.SV.10.110.00</v>
          </cell>
          <cell r="J508" t="str">
            <v>Ministry of Municipality and Rural Affairs</v>
          </cell>
          <cell r="K508" t="str">
            <v>Permit Fees</v>
          </cell>
        </row>
        <row r="509">
          <cell r="C509" t="str">
            <v>Staff Village - Wide</v>
          </cell>
          <cell r="F509" t="str">
            <v>1SV10110D24</v>
          </cell>
          <cell r="G509" t="str">
            <v>1.SV.10.110.00</v>
          </cell>
          <cell r="J509" t="str">
            <v>Ministry of Municipality and Rural Affairs</v>
          </cell>
          <cell r="K509" t="str">
            <v>Permit Fees</v>
          </cell>
        </row>
        <row r="510">
          <cell r="C510" t="str">
            <v>Staff Village - Wide</v>
          </cell>
          <cell r="F510" t="str">
            <v>1SV10110D24</v>
          </cell>
          <cell r="G510" t="str">
            <v>1.SV.10.110.00</v>
          </cell>
          <cell r="J510" t="str">
            <v>Ministry of Municipality and Rural Affairs</v>
          </cell>
          <cell r="K510" t="str">
            <v>Permit Fees</v>
          </cell>
        </row>
        <row r="511">
          <cell r="C511" t="str">
            <v>Multiple</v>
          </cell>
          <cell r="F511" t="str">
            <v>Multiple</v>
          </cell>
          <cell r="G511" t="str">
            <v>Multiple</v>
          </cell>
          <cell r="J511" t="str">
            <v>Ministry of Municipality and Rural Affairs</v>
          </cell>
          <cell r="K511" t="str">
            <v>Permit Fees</v>
          </cell>
        </row>
        <row r="512">
          <cell r="C512" t="str">
            <v>Wellness Resort 2</v>
          </cell>
          <cell r="F512" t="str">
            <v>1TB05014D16</v>
          </cell>
          <cell r="G512" t="str">
            <v>1.TB.05.014.99</v>
          </cell>
          <cell r="J512" t="str">
            <v>EAA Emre Arolat Architectural Studio Limited</v>
          </cell>
          <cell r="K512" t="str">
            <v>Triple Bay Phase 2 Design Competition - Package 03</v>
          </cell>
        </row>
        <row r="513">
          <cell r="C513" t="str">
            <v>Wellness Resort 2</v>
          </cell>
          <cell r="F513" t="str">
            <v>1TB05014D15</v>
          </cell>
          <cell r="G513" t="str">
            <v>1.TB.05.014.99</v>
          </cell>
          <cell r="J513" t="str">
            <v>Architecture Workshop 2</v>
          </cell>
          <cell r="K513" t="str">
            <v>Triple Bay Phase 2 Design Competition - Wellness Resort 2 Additional Services</v>
          </cell>
        </row>
        <row r="514">
          <cell r="C514" t="str">
            <v>Ocean Golf Course &amp; Club House</v>
          </cell>
          <cell r="F514" t="str">
            <v>1TB05021F02</v>
          </cell>
          <cell r="G514" t="str">
            <v>1.TB.05.021.03</v>
          </cell>
          <cell r="J514" t="str">
            <v>Arab Company for Laboratories and Soil Branch (ACES)</v>
          </cell>
          <cell r="K514" t="str">
            <v>Golf Course (SP 13) Multichannel Analysis of Surface Waves (MASW) ONSHORE Ground Investigation Works - SO 27</v>
          </cell>
        </row>
        <row r="515">
          <cell r="C515" t="str">
            <v>Ocean Golf Course &amp; Club House</v>
          </cell>
          <cell r="F515" t="str">
            <v>1TB05021F01</v>
          </cell>
          <cell r="G515" t="str">
            <v>1.TB.05.021.03</v>
          </cell>
          <cell r="J515" t="str">
            <v>Arab Company for Laboratories and Soil Branch (ACES)</v>
          </cell>
          <cell r="K515" t="str">
            <v>Ocean Golf Course - Additional Ground Investigation Works - SO 25</v>
          </cell>
        </row>
        <row r="516">
          <cell r="C516" t="str">
            <v>Integrative Wellness</v>
          </cell>
          <cell r="F516" t="str">
            <v>1TB03007D15</v>
          </cell>
          <cell r="G516" t="str">
            <v>1.TB.03.007.01</v>
          </cell>
          <cell r="J516" t="str">
            <v>Jayasom Pte Ltd</v>
          </cell>
          <cell r="K516" t="str">
            <v>Jayasom Wellness Resort Technical and Preopening Services Agreement</v>
          </cell>
        </row>
        <row r="517">
          <cell r="C517" t="str">
            <v>Rosewood Resort</v>
          </cell>
          <cell r="F517" t="str">
            <v>1TB02011D17</v>
          </cell>
          <cell r="G517" t="str">
            <v>1.TB.02.011.01</v>
          </cell>
          <cell r="J517" t="str">
            <v>Ministry of Municipality and Rural Affairs</v>
          </cell>
          <cell r="K517" t="str">
            <v>Permit Fees</v>
          </cell>
        </row>
        <row r="518">
          <cell r="C518" t="str">
            <v>Six Senses Resort</v>
          </cell>
          <cell r="F518" t="str">
            <v>1TB02017C58</v>
          </cell>
          <cell r="G518" t="str">
            <v>1.TB.02.017.01</v>
          </cell>
          <cell r="J518" t="str">
            <v>Ministry of Municipality and Rural Affairs</v>
          </cell>
          <cell r="K518" t="str">
            <v>Permit Fees</v>
          </cell>
        </row>
        <row r="519">
          <cell r="C519" t="str">
            <v>Ridge Residences</v>
          </cell>
          <cell r="F519" t="str">
            <v>1TB06024D18</v>
          </cell>
          <cell r="G519" t="str">
            <v>1.TB.06.024.99</v>
          </cell>
          <cell r="J519" t="str">
            <v>Studio MK 27 Arquitetos LTDA</v>
          </cell>
          <cell r="K519" t="str">
            <v>Triple Bay Phase 2 - Ridge Residences - Design Competition Additional Services</v>
          </cell>
        </row>
        <row r="520">
          <cell r="C520" t="str">
            <v>Staff Village - Wide</v>
          </cell>
          <cell r="F520" t="str">
            <v>1SV10110D25</v>
          </cell>
          <cell r="G520" t="str">
            <v>1.SV.10.110.00</v>
          </cell>
          <cell r="J520" t="str">
            <v>Joint Venture DAR / ARC- Amaala Staff Village</v>
          </cell>
          <cell r="K520" t="str">
            <v>Amaala Staff Village - Medical Centre Design Consultancy Services</v>
          </cell>
        </row>
        <row r="521">
          <cell r="C521" t="str">
            <v>Construction Village Section 2 &amp; 3</v>
          </cell>
          <cell r="F521" t="str">
            <v>1CV08033C02</v>
          </cell>
          <cell r="G521" t="str">
            <v>1.CV.08.033.01</v>
          </cell>
          <cell r="J521" t="str">
            <v>Al Baddad International</v>
          </cell>
          <cell r="K521" t="str">
            <v>Prefabricated Structure Work for Guest Room Mock-Ups</v>
          </cell>
        </row>
        <row r="522">
          <cell r="C522" t="str">
            <v>Construction Village Section 2 &amp; 3</v>
          </cell>
          <cell r="F522" t="str">
            <v>1CV08033F01</v>
          </cell>
          <cell r="G522" t="str">
            <v>1.CV.08.033.01</v>
          </cell>
          <cell r="J522" t="str">
            <v>Dar Al-Handasah Consultants (Shair &amp; Partners)</v>
          </cell>
          <cell r="K522" t="str">
            <v>Construction Supervision Services - Triple Bay Construction Village for Sections 1, 2, 3 &amp; 4 -(Call-off Order No: AGL COR-001)</v>
          </cell>
        </row>
        <row r="523">
          <cell r="C523" t="str">
            <v>Triple Bay Construction Logistics</v>
          </cell>
          <cell r="F523" t="str">
            <v>1TB04034C07</v>
          </cell>
          <cell r="G523" t="str">
            <v>1.TB.04.034.01</v>
          </cell>
          <cell r="J523" t="str">
            <v>Nesma Security Services Company</v>
          </cell>
          <cell r="K523" t="str">
            <v>Triple Bay Logistics - Site Controls - Security Services</v>
          </cell>
        </row>
        <row r="524">
          <cell r="C524" t="str">
            <v>Triple Bay Construction Logistics</v>
          </cell>
          <cell r="F524" t="str">
            <v>1TB04034C03</v>
          </cell>
          <cell r="G524" t="str">
            <v>1.TB.04.034.01</v>
          </cell>
          <cell r="J524" t="str">
            <v>Nesma Security Services Company</v>
          </cell>
          <cell r="K524" t="str">
            <v>Triple Bay Logistics - Site Controls - CCTV Security Works</v>
          </cell>
        </row>
        <row r="525">
          <cell r="C525" t="str">
            <v>Triple Bay Construction Logistics</v>
          </cell>
          <cell r="F525" t="str">
            <v>1TB04034C06</v>
          </cell>
          <cell r="G525" t="str">
            <v>1.TB.04.034.01</v>
          </cell>
          <cell r="J525" t="str">
            <v>Burj Al Shifa Medical Complex</v>
          </cell>
          <cell r="K525" t="str">
            <v>Triple Bay Logistics - Medical and First Aid</v>
          </cell>
        </row>
        <row r="526">
          <cell r="C526" t="str">
            <v>Triple Bay Construction Logistics</v>
          </cell>
          <cell r="F526" t="str">
            <v>1TB04034C02</v>
          </cell>
          <cell r="G526" t="str">
            <v>1.TB.04.034.01</v>
          </cell>
          <cell r="J526" t="str">
            <v>Timelapse Middle East DMCC</v>
          </cell>
          <cell r="K526" t="str">
            <v>Time Lapse Camera Photography</v>
          </cell>
        </row>
        <row r="527">
          <cell r="C527" t="str">
            <v>Triple Bay Construction Logistics</v>
          </cell>
          <cell r="F527" t="str">
            <v>1TB04034B02</v>
          </cell>
          <cell r="G527" t="str">
            <v>1.TB.04.034.01</v>
          </cell>
          <cell r="J527" t="str">
            <v>International for Modern Industries Co. (Al-Alameya Group)</v>
          </cell>
          <cell r="K527" t="str">
            <v>Design &amp; Build Temporary IT Infrastructure for AMAALA (Prefabricated Modular Data Centre, Fibre Optic Cable, Network and LAN) at Triple Bay</v>
          </cell>
        </row>
        <row r="528">
          <cell r="C528" t="str">
            <v>Rosewood Resort</v>
          </cell>
          <cell r="F528" t="str">
            <v>1TB02011C40</v>
          </cell>
          <cell r="G528" t="str">
            <v>1.TB.02.011.99</v>
          </cell>
          <cell r="J528" t="str">
            <v>Mounes Mohamed Al Shayeb and Partners for Civil Construction - MOBCO</v>
          </cell>
          <cell r="K528" t="str">
            <v>Secondary Infrastructure Construction for Rosewood</v>
          </cell>
        </row>
        <row r="529">
          <cell r="C529" t="str">
            <v>Shared Facilities Hub</v>
          </cell>
          <cell r="F529" t="str">
            <v>1RI12073D04</v>
          </cell>
          <cell r="G529" t="str">
            <v>1.RI.12.073.01</v>
          </cell>
          <cell r="J529" t="str">
            <v>National Center for Environmental Compliance</v>
          </cell>
          <cell r="K529" t="str">
            <v>Shared Facilities Hub and PPP Infrastructure Early Works - Environmental Permit Fees</v>
          </cell>
        </row>
        <row r="530">
          <cell r="C530" t="str">
            <v>Regional Infrastructure  - Wide</v>
          </cell>
          <cell r="F530" t="str">
            <v>1RI12071D27</v>
          </cell>
          <cell r="G530" t="str">
            <v>1.RI.12.071.00</v>
          </cell>
          <cell r="J530" t="str">
            <v>National Center for Environmental Compliance</v>
          </cell>
          <cell r="K530" t="str">
            <v>Solar Farm Early Works - Environmental Permt Fees</v>
          </cell>
        </row>
        <row r="531">
          <cell r="C531" t="str">
            <v>Staff Village - Wide</v>
          </cell>
          <cell r="F531" t="str">
            <v>1SV10110D26</v>
          </cell>
          <cell r="G531" t="str">
            <v>1.SV.10.110.00</v>
          </cell>
          <cell r="J531" t="str">
            <v>National Center for Environmental Compliance</v>
          </cell>
          <cell r="K531" t="str">
            <v>ESIA Main Approval - Environmental Permt Fees</v>
          </cell>
        </row>
        <row r="532">
          <cell r="C532" t="str">
            <v>MP4 Wide</v>
          </cell>
          <cell r="F532" t="str">
            <v>1M418907D16</v>
          </cell>
          <cell r="G532" t="str">
            <v>1.M4.18.907.99</v>
          </cell>
          <cell r="J532" t="str">
            <v>DPZ CoDesign</v>
          </cell>
          <cell r="K532" t="str">
            <v>Masterplanning and Design Guidelines for Masterplan 4</v>
          </cell>
        </row>
        <row r="533">
          <cell r="C533" t="str">
            <v xml:space="preserve">AMAALA Yacht Club </v>
          </cell>
          <cell r="F533" t="str">
            <v>1TB01003C03</v>
          </cell>
          <cell r="G533" t="str">
            <v>1.TB.01.003.01</v>
          </cell>
          <cell r="J533" t="str">
            <v>Saudi Arabian Baytur Construction Company</v>
          </cell>
          <cell r="K533" t="str">
            <v>Construction Contract - Site Enabling, Civil Works, Structural Concrete, Structural Steel, BOH Finishes, Building Envelope, MEP Including Tertiary Infrastructure &amp; ICT/ELV</v>
          </cell>
        </row>
        <row r="534">
          <cell r="C534" t="str">
            <v>Six Senses Resort</v>
          </cell>
          <cell r="F534" t="str">
            <v>1TB02017C40</v>
          </cell>
          <cell r="G534" t="str">
            <v>1.TB.02.017.99</v>
          </cell>
          <cell r="J534" t="str">
            <v>Saudi Company for Development of Construction and Trading Limited (SACODECO)</v>
          </cell>
          <cell r="K534" t="str">
            <v>Mockup Room Construction for Six Senses Hotel</v>
          </cell>
        </row>
        <row r="535">
          <cell r="C535" t="str">
            <v>Red Sea Marine Life Institute</v>
          </cell>
          <cell r="F535" t="str">
            <v>1TB01005C17</v>
          </cell>
          <cell r="G535" t="str">
            <v>1.TB.01.005.01</v>
          </cell>
          <cell r="J535" t="str">
            <v>Hassan Hamdi Al Harbi Contracting Est. (HASCO)</v>
          </cell>
          <cell r="K535" t="str">
            <v>Marine Life Operation Facility for Marina Village</v>
          </cell>
        </row>
        <row r="536">
          <cell r="C536" t="str">
            <v xml:space="preserve">AMAALA Yacht Club </v>
          </cell>
          <cell r="F536" t="str">
            <v>1TB01003D05</v>
          </cell>
          <cell r="G536" t="str">
            <v>1.TB.01.003.01</v>
          </cell>
          <cell r="J536" t="str">
            <v>LANGAN International UK, LTD</v>
          </cell>
          <cell r="K536" t="str">
            <v>Geotechnical Consultancy Services (Yacht Club) - Peer Review</v>
          </cell>
        </row>
        <row r="537">
          <cell r="C537" t="str">
            <v>Red Sea Marine Life Institute</v>
          </cell>
          <cell r="F537" t="str">
            <v>1TB01005D06</v>
          </cell>
          <cell r="G537" t="str">
            <v>1.TB.01.005.01</v>
          </cell>
          <cell r="J537" t="str">
            <v>LANGAN International UK, LTD</v>
          </cell>
          <cell r="K537" t="str">
            <v>Geotechnical Consultancy Services (RSMLI) - Peer Review</v>
          </cell>
        </row>
        <row r="538">
          <cell r="C538" t="str">
            <v>Marina Village - Wide</v>
          </cell>
          <cell r="F538" t="str">
            <v>1TB01100D02</v>
          </cell>
          <cell r="G538" t="str">
            <v>1.TB.01.100.00</v>
          </cell>
          <cell r="J538" t="str">
            <v>LANGAN International UK, LTD</v>
          </cell>
          <cell r="K538" t="str">
            <v>Geotechnical Consultancy Services (Marina Village) - Peer Review</v>
          </cell>
        </row>
        <row r="539">
          <cell r="C539" t="str">
            <v>Rosewood Resort</v>
          </cell>
          <cell r="F539" t="str">
            <v>1TB02011D18</v>
          </cell>
          <cell r="G539" t="str">
            <v>1.TB.02.011.01</v>
          </cell>
          <cell r="J539" t="str">
            <v>LANGAN International UK, LTD</v>
          </cell>
          <cell r="K539" t="str">
            <v>Geotechnical Consultancy Services (Rose Rosewood Beach Resort) - Peer Review</v>
          </cell>
        </row>
        <row r="540">
          <cell r="C540" t="str">
            <v>Staff Village - Wide</v>
          </cell>
          <cell r="F540" t="str">
            <v>1SV10110D27</v>
          </cell>
          <cell r="G540" t="str">
            <v>1.SV.10.110.00</v>
          </cell>
          <cell r="J540" t="str">
            <v>LANGAN International UK, LTD</v>
          </cell>
          <cell r="K540" t="str">
            <v>Geotechnical Consultancy Services - Peer Review (Staff Village)</v>
          </cell>
        </row>
        <row r="541">
          <cell r="C541" t="str">
            <v>Rosewood Resort</v>
          </cell>
          <cell r="F541" t="str">
            <v>1TB02011F02</v>
          </cell>
          <cell r="G541" t="str">
            <v>1.TB.02..011.01</v>
          </cell>
          <cell r="J541" t="str">
            <v>Zuhair Fayez Partnership Consultants</v>
          </cell>
          <cell r="K541" t="str">
            <v>Third Party Authority for Multidisciplinary Review &amp; Certification Endorsement (Call off Order No: 002)</v>
          </cell>
        </row>
        <row r="542">
          <cell r="C542" t="str">
            <v>Red Sea Marine Life Institute</v>
          </cell>
          <cell r="F542" t="str">
            <v>1TB01005F01</v>
          </cell>
          <cell r="G542" t="str">
            <v>1.TB.01.005.01</v>
          </cell>
          <cell r="J542" t="str">
            <v>WS Atkins &amp; Partners Overseas Engineering Consultants</v>
          </cell>
          <cell r="K542" t="str">
            <v>Construction Supervision Services (Call off Order No: AGL-COR-002)</v>
          </cell>
        </row>
        <row r="543">
          <cell r="C543" t="str">
            <v>Four Seasons Resort</v>
          </cell>
          <cell r="F543" t="str">
            <v>1TB02012D11</v>
          </cell>
          <cell r="G543" t="str">
            <v>1.TB.02.012.01</v>
          </cell>
          <cell r="J543" t="str">
            <v>LANGAN International UK, LTD</v>
          </cell>
          <cell r="K543" t="str">
            <v>Geotechnical Consultancy Services (Culinary Destination Hotel - Four Seasons) - Peer Review</v>
          </cell>
        </row>
        <row r="544">
          <cell r="C544" t="str">
            <v>Six Senses Resort</v>
          </cell>
          <cell r="F544" t="str">
            <v>1TB02017D17</v>
          </cell>
          <cell r="G544" t="str">
            <v>1.TB.02.017.01</v>
          </cell>
          <cell r="J544" t="str">
            <v>LANGAN International UK, LTD</v>
          </cell>
          <cell r="K544" t="str">
            <v>Geotechnical Consultancy Services (Six Senses) - Peer Review</v>
          </cell>
        </row>
        <row r="545">
          <cell r="C545" t="str">
            <v>Integrative Wellness</v>
          </cell>
          <cell r="F545" t="str">
            <v>1TB03007D17</v>
          </cell>
          <cell r="G545" t="str">
            <v>1.TB.03.007.02</v>
          </cell>
          <cell r="J545" t="str">
            <v>LANGAN International UK, LTD</v>
          </cell>
          <cell r="K545" t="str">
            <v>Geotechnical Consultancy Services - Peer Review (Wellness Core)</v>
          </cell>
        </row>
        <row r="546">
          <cell r="C546" t="str">
            <v>Red Sea Marine Life Institute</v>
          </cell>
          <cell r="F546" t="str">
            <v>1TB01005C09</v>
          </cell>
          <cell r="G546" t="str">
            <v>1.TB.01.005.01</v>
          </cell>
          <cell r="J546" t="str">
            <v>OTIS Elevator Co. SA Ltd</v>
          </cell>
          <cell r="K546" t="str">
            <v>Supply and Installation of the Vertical Transportation System Works</v>
          </cell>
        </row>
        <row r="547">
          <cell r="C547" t="str">
            <v>Six Senses Resort</v>
          </cell>
          <cell r="F547" t="str">
            <v>1TB02017F02</v>
          </cell>
          <cell r="G547" t="str">
            <v>1.TB.02.017.01</v>
          </cell>
          <cell r="J547" t="str">
            <v>Zuhair Fayez Partnership Consultants</v>
          </cell>
          <cell r="K547" t="str">
            <v>Third Party Authority for Multidisciplinary Review &amp; Certification Endorsement (Call off Order No: 001)</v>
          </cell>
        </row>
        <row r="548">
          <cell r="C548" t="str">
            <v>Mountain Golf Resort</v>
          </cell>
          <cell r="F548" t="str">
            <v>1TB06023D01</v>
          </cell>
          <cell r="G548" t="str">
            <v>1.TB.06.023..01</v>
          </cell>
          <cell r="J548" t="str">
            <v>Dye Designs Group LLC</v>
          </cell>
          <cell r="K548" t="str">
            <v>Golf Course Design Consultancy (Extension to include additional 9 Hole and 9 Hole Par 3 Course)</v>
          </cell>
        </row>
        <row r="549">
          <cell r="C549" t="str">
            <v>AMAALA Airside - Runways</v>
          </cell>
          <cell r="F549" t="str">
            <v>1AI16080F01</v>
          </cell>
          <cell r="G549" t="str">
            <v>1.AI.16.080.01</v>
          </cell>
          <cell r="J549" t="str">
            <v>Zuhair Fayez Partnership Consultants</v>
          </cell>
          <cell r="K549" t="str">
            <v>Third Party Authority for Multidisciplinary Review &amp; Certification Endorsement (Call off Order No: 003)</v>
          </cell>
        </row>
        <row r="550">
          <cell r="C550" t="str">
            <v>Medical Wellness</v>
          </cell>
          <cell r="F550" t="str">
            <v>1TB03008D21</v>
          </cell>
          <cell r="G550" t="str">
            <v>1.TB.03.008.01</v>
          </cell>
          <cell r="J550" t="str">
            <v>ICME International AG - Abu Dhabi</v>
          </cell>
          <cell r="K550" t="str">
            <v>Healthcare Advisory Services to Support the Appointment of Clinic Operator</v>
          </cell>
        </row>
        <row r="551">
          <cell r="C551" t="str">
            <v>Rosewood Resort</v>
          </cell>
          <cell r="F551" t="str">
            <v>1TB02011D12</v>
          </cell>
          <cell r="G551" t="str">
            <v>1.TB.02..011.01</v>
          </cell>
          <cell r="J551" t="str">
            <v>Artelier Arts Limited</v>
          </cell>
          <cell r="K551" t="str">
            <v>Art Consultancy Services for Rosewood Beach Resort</v>
          </cell>
        </row>
        <row r="552">
          <cell r="C552" t="str">
            <v>AMAALA DevCo</v>
          </cell>
          <cell r="F552" t="str">
            <v>1DC99999D85</v>
          </cell>
          <cell r="G552" t="str">
            <v>1.DC.99.999.99</v>
          </cell>
          <cell r="J552" t="str">
            <v>King Abdulaziz City for Science and Technology (KACST)</v>
          </cell>
          <cell r="K552" t="str">
            <v>Satellite Imagery with 0.5m Resoulution for Amaala Development</v>
          </cell>
        </row>
        <row r="553">
          <cell r="C553" t="str">
            <v>Red Sea Marine Life Institute</v>
          </cell>
          <cell r="F553" t="str">
            <v>1TB01005C02</v>
          </cell>
          <cell r="G553" t="str">
            <v>1.TB.01.005.01</v>
          </cell>
          <cell r="J553" t="str">
            <v>Saudi Arabian Baytur Construction Company</v>
          </cell>
          <cell r="K553" t="str">
            <v>Construction Contract - Structural Concrete, Wet Trades, Dewatering, Earthworks &amp; BOH Finishes</v>
          </cell>
        </row>
        <row r="554">
          <cell r="C554" t="str">
            <v>AMAALA Airside - Runways</v>
          </cell>
          <cell r="F554" t="str">
            <v>1AI16080D09</v>
          </cell>
          <cell r="G554" t="str">
            <v>1.AI.16.080.01</v>
          </cell>
          <cell r="J554" t="str">
            <v>Ministry of Municipality and Rural Affairs</v>
          </cell>
          <cell r="K554" t="str">
            <v>Permit Fees</v>
          </cell>
        </row>
        <row r="555">
          <cell r="C555" t="str">
            <v>Highways and Civils</v>
          </cell>
          <cell r="F555" t="str">
            <v>1RI12078D05</v>
          </cell>
          <cell r="G555" t="str">
            <v>1.RI.12.078.01</v>
          </cell>
          <cell r="J555" t="str">
            <v>National Center for Environmental Compliance</v>
          </cell>
          <cell r="K555" t="str">
            <v>Environmental permit Fees</v>
          </cell>
        </row>
        <row r="556">
          <cell r="C556" t="str">
            <v>Integrative Wellness</v>
          </cell>
          <cell r="F556" t="str">
            <v>1TB03007D16</v>
          </cell>
          <cell r="G556" t="str">
            <v>1.TB.03.007.03</v>
          </cell>
          <cell r="J556" t="str">
            <v>Studio Carter INC</v>
          </cell>
          <cell r="K556" t="str">
            <v>Interior Design Consultancy Services for Integrative Wellness Resort (Family &amp; Adult), Spa, and Wellness Village</v>
          </cell>
        </row>
        <row r="557">
          <cell r="C557" t="str">
            <v>Staff Village - Wide</v>
          </cell>
          <cell r="F557" t="str">
            <v>1SV10110C08</v>
          </cell>
          <cell r="G557" t="str">
            <v>1.SV.10.110.00</v>
          </cell>
          <cell r="J557" t="str">
            <v>BEC Arabia Ltd Co</v>
          </cell>
          <cell r="K557" t="str">
            <v>Construction of AMAALA Staff Village - Zones 6a and 6b</v>
          </cell>
        </row>
        <row r="558">
          <cell r="C558" t="str">
            <v xml:space="preserve">AMAALA Yacht Club </v>
          </cell>
          <cell r="F558" t="str">
            <v>1TB01003C21</v>
          </cell>
          <cell r="G558" t="str">
            <v>1.TB.01.003.01</v>
          </cell>
          <cell r="J558" t="str">
            <v>Medtel - W.N. WLL</v>
          </cell>
          <cell r="K558" t="str">
            <v>Sto Façade Mock-Up</v>
          </cell>
        </row>
        <row r="559">
          <cell r="C559" t="str">
            <v>Four Seasons Resort</v>
          </cell>
          <cell r="F559" t="str">
            <v>1TB02012F02</v>
          </cell>
          <cell r="G559" t="str">
            <v>1.TB.02.012.99</v>
          </cell>
          <cell r="J559" t="str">
            <v>Al Baddad International</v>
          </cell>
          <cell r="K559" t="str">
            <v>Site Offices and Welfare Facilities Design, Supply and Installation Package for AMAALA Triple Bay (Call off Order No: 002)</v>
          </cell>
        </row>
        <row r="560">
          <cell r="C560" t="str">
            <v>Rosewood Resort</v>
          </cell>
          <cell r="F560" t="str">
            <v>1TB02011F03</v>
          </cell>
          <cell r="G560" t="str">
            <v>1.TB..02.011.99</v>
          </cell>
          <cell r="J560" t="str">
            <v>Al Baddad International</v>
          </cell>
          <cell r="K560" t="str">
            <v>Site Offices and Welfare Facilities Design, Supply and Installation Package for AMAALA Triple Bay (Call off Order No: 004)</v>
          </cell>
        </row>
        <row r="561">
          <cell r="C561" t="str">
            <v>Six Senses Resort</v>
          </cell>
          <cell r="F561" t="str">
            <v>1TB02017F04</v>
          </cell>
          <cell r="G561" t="str">
            <v>1.TB.02.017.99</v>
          </cell>
          <cell r="J561" t="str">
            <v>Al Baddad International</v>
          </cell>
          <cell r="K561" t="str">
            <v>Site Offices and Welfare Facilities Design, Supply and Installation Package for AMAALA Triple Bay (Call off Order No: 003)</v>
          </cell>
        </row>
        <row r="562">
          <cell r="C562" t="str">
            <v>Red Sea Marine Life Institute</v>
          </cell>
          <cell r="F562" t="str">
            <v>1TB01005C18</v>
          </cell>
          <cell r="G562" t="str">
            <v>1.TB.01.005.01</v>
          </cell>
          <cell r="J562" t="str">
            <v>Zamil Structural Steel Company (LTD)</v>
          </cell>
          <cell r="K562" t="str">
            <v>Primary Steel Structure Contract</v>
          </cell>
        </row>
        <row r="563">
          <cell r="C563" t="str">
            <v>Red Sea Marine Life Institute</v>
          </cell>
          <cell r="F563" t="str">
            <v>1TB01005C19</v>
          </cell>
          <cell r="G563" t="str">
            <v>1.TB.01.005.01</v>
          </cell>
          <cell r="J563" t="str">
            <v>Fibrex LLC</v>
          </cell>
          <cell r="K563" t="str">
            <v>Façade and Cladding Works</v>
          </cell>
        </row>
        <row r="564">
          <cell r="C564" t="str">
            <v>Red Sea Marine Life Institute</v>
          </cell>
          <cell r="F564" t="str">
            <v>1TB01005C06</v>
          </cell>
          <cell r="G564" t="str">
            <v>1.TB.01.005.01</v>
          </cell>
          <cell r="J564" t="str">
            <v>Saudi Salco Contracting Company Co.</v>
          </cell>
          <cell r="K564" t="str">
            <v>Hard and Soft Landscaping Works</v>
          </cell>
        </row>
        <row r="565">
          <cell r="C565" t="str">
            <v xml:space="preserve">AMAALA Yacht Club </v>
          </cell>
          <cell r="F565" t="str">
            <v>1TB01003F02</v>
          </cell>
          <cell r="G565" t="str">
            <v>1.TB.01.003.01</v>
          </cell>
          <cell r="J565" t="str">
            <v>Saudi Consolidated Engineering Company (Khatib &amp; Alami)</v>
          </cell>
          <cell r="K565" t="str">
            <v>Construction Supervision Services - AMAALA Yacht Club (Call off Order No: 003)</v>
          </cell>
        </row>
        <row r="566">
          <cell r="C566" t="str">
            <v xml:space="preserve">AMAALA Yacht Club </v>
          </cell>
          <cell r="F566" t="str">
            <v>1TB01003D06</v>
          </cell>
          <cell r="G566" t="str">
            <v>1.TB.01.003.01</v>
          </cell>
          <cell r="J566" t="str">
            <v>Ministry of Municipality and Rural Affairs</v>
          </cell>
          <cell r="K566" t="str">
            <v>Permit Fees</v>
          </cell>
        </row>
        <row r="567">
          <cell r="C567" t="str">
            <v>Highways and Civils</v>
          </cell>
          <cell r="F567" t="str">
            <v>1RI12078C05</v>
          </cell>
          <cell r="G567" t="str">
            <v>1.RI.12.078.01</v>
          </cell>
          <cell r="J567" t="str">
            <v>Saudi Electricity Company</v>
          </cell>
          <cell r="K567" t="str">
            <v>Relocation of Existing Overhead Power lines to Underground Cables at Triple Bay North Interchange and Street Lighting Connection</v>
          </cell>
        </row>
        <row r="568">
          <cell r="C568" t="str">
            <v>Marina Village - Wide</v>
          </cell>
          <cell r="F568" t="str">
            <v>1TB01100C04</v>
          </cell>
          <cell r="G568" t="str">
            <v>1.TB.01.100.00</v>
          </cell>
          <cell r="J568" t="str">
            <v>Al Khonaini International Company</v>
          </cell>
          <cell r="K568" t="str">
            <v>2 Stage Convertible Construction Contract - Secondary Infrastructure Works</v>
          </cell>
        </row>
        <row r="569">
          <cell r="C569" t="str">
            <v>Public Realm</v>
          </cell>
          <cell r="F569" t="str">
            <v>1TB04030F03</v>
          </cell>
          <cell r="G569" t="str">
            <v>1.TB.04.030.03</v>
          </cell>
          <cell r="J569" t="str">
            <v>CH2M Saudi Limited Company</v>
          </cell>
          <cell r="K569" t="str">
            <v>4nr Additional Beaches for Triple Bay Beach Nourishment (Service Order No: 008)</v>
          </cell>
        </row>
        <row r="570">
          <cell r="C570" t="str">
            <v>Four Seasons Resort</v>
          </cell>
          <cell r="F570" t="str">
            <v>1TB02012C16</v>
          </cell>
          <cell r="G570" t="str">
            <v>1.TB.02.012.01</v>
          </cell>
          <cell r="J570" t="str">
            <v>Al Samman Contracting Company</v>
          </cell>
          <cell r="K570" t="str">
            <v>Mockup Room Construction Works for Four Seasons Hotel</v>
          </cell>
        </row>
        <row r="571">
          <cell r="C571" t="str">
            <v>MP4 Wide</v>
          </cell>
          <cell r="F571" t="str">
            <v>1M418907D19</v>
          </cell>
          <cell r="G571" t="str">
            <v>1.M4.18.907.99</v>
          </cell>
          <cell r="J571" t="str">
            <v>Arab Company for Laboratories and Soil Branch (ACES)</v>
          </cell>
          <cell r="K571" t="str">
            <v>Geotechnical and Geophysical Data Investigations to Support Engineering Masterplanning Exercise for Masterplan 4</v>
          </cell>
        </row>
        <row r="572">
          <cell r="C572" t="str">
            <v>MP4 Wide</v>
          </cell>
          <cell r="F572" t="str">
            <v>1M418907D17</v>
          </cell>
          <cell r="G572" t="str">
            <v>1.M4.18.907.99</v>
          </cell>
          <cell r="J572" t="str">
            <v>Buro Happold Limited</v>
          </cell>
          <cell r="K572" t="str">
            <v>Engineering Concept Master Planning Services for Masterplan 4</v>
          </cell>
        </row>
        <row r="573">
          <cell r="C573" t="str">
            <v xml:space="preserve">AMAALA Yacht Club </v>
          </cell>
          <cell r="F573" t="str">
            <v>1TB01003F01</v>
          </cell>
          <cell r="G573" t="str">
            <v>1.TB.01.003.01</v>
          </cell>
          <cell r="J573" t="str">
            <v>Zuhair Fayez Partnership Consultants</v>
          </cell>
          <cell r="K573" t="str">
            <v>Third Party Authority for Multidisciplinary Review &amp; Certification Endorsement (Call off Order No: 004)</v>
          </cell>
        </row>
        <row r="574">
          <cell r="C574" t="str">
            <v>Wellness Core - Wide</v>
          </cell>
          <cell r="F574" t="str">
            <v>1TB03300C04</v>
          </cell>
          <cell r="G574" t="str">
            <v>1.TB.03.300.00</v>
          </cell>
          <cell r="J574" t="str">
            <v>Saudi Technical Contracting Company Limited</v>
          </cell>
          <cell r="K574" t="str">
            <v>Secondary Infrastructure Works for Wellness Core Precinct</v>
          </cell>
        </row>
        <row r="575">
          <cell r="C575" t="str">
            <v>Village Boutique Hotel</v>
          </cell>
          <cell r="F575" t="str">
            <v>1TB01006C03</v>
          </cell>
          <cell r="G575" t="str">
            <v>1.TB.01.006.99</v>
          </cell>
          <cell r="J575" t="str">
            <v>Mounes Mohamed Al Shayeb and Partners for Civil Construction - MOBCO</v>
          </cell>
          <cell r="K575" t="str">
            <v>Concrete Structure and Civil Works for Village Boutique Hotel</v>
          </cell>
        </row>
        <row r="576">
          <cell r="C576" t="str">
            <v>Multiple</v>
          </cell>
          <cell r="F576" t="str">
            <v>1TB01100D01</v>
          </cell>
          <cell r="G576" t="str">
            <v>1.TB.01.100.00</v>
          </cell>
          <cell r="J576" t="str">
            <v>Barr + Wray FZE</v>
          </cell>
          <cell r="K576" t="str">
            <v>Spa &amp; Wellness Consultant</v>
          </cell>
        </row>
        <row r="577">
          <cell r="C577" t="str">
            <v>Marina Lifestyle Hotel &amp; Village</v>
          </cell>
          <cell r="F577" t="str">
            <v>1TB01002C30</v>
          </cell>
          <cell r="G577" t="str">
            <v>1.TB.01.002.03</v>
          </cell>
          <cell r="J577" t="str">
            <v>Ministry of Municipality and Rural Affairs</v>
          </cell>
          <cell r="K577" t="str">
            <v>Permit Fees</v>
          </cell>
        </row>
        <row r="578">
          <cell r="C578" t="str">
            <v>Airport - Al Wajh Upgrade</v>
          </cell>
          <cell r="F578" t="str">
            <v>1AI16081D04</v>
          </cell>
          <cell r="G578" t="str">
            <v>1.AI.16.081.01</v>
          </cell>
          <cell r="J578" t="str">
            <v>ADPI Dubai Br.</v>
          </cell>
          <cell r="K578" t="str">
            <v>Design Consultant - Options and Feasibility Study for Al Wajh Airport</v>
          </cell>
        </row>
        <row r="579">
          <cell r="C579" t="str">
            <v>Airport - Al Wajh Upgrade</v>
          </cell>
          <cell r="F579" t="str">
            <v>1AI16081D05</v>
          </cell>
          <cell r="G579" t="str">
            <v>1.AI.16.081.01</v>
          </cell>
          <cell r="J579" t="str">
            <v>WS Atkins &amp; Partners Overseas Engineering Consultants</v>
          </cell>
          <cell r="K579" t="str">
            <v>Design Consultant - Options and Feasibility Study for Al Wajh Airport</v>
          </cell>
        </row>
        <row r="580">
          <cell r="C580" t="str">
            <v>Airport - Al Wajh Upgrade</v>
          </cell>
          <cell r="F580" t="str">
            <v>1AI16081D06</v>
          </cell>
          <cell r="G580" t="str">
            <v>1.AI.16.081.01</v>
          </cell>
          <cell r="J580" t="str">
            <v>Pascall + Watson Limited</v>
          </cell>
          <cell r="K580" t="str">
            <v>Design Consultant - Options and Feasibility Study for Al Wajh Airport</v>
          </cell>
        </row>
        <row r="581">
          <cell r="C581" t="str">
            <v>Six Senses Resort</v>
          </cell>
          <cell r="F581" t="str">
            <v>1TB02017C28</v>
          </cell>
          <cell r="G581" t="str">
            <v>1.TB.02.017.99</v>
          </cell>
          <cell r="J581" t="str">
            <v>Rawabi Specialized Contracting Company &amp; Hassan Allam Construction Saudi Limited Co.</v>
          </cell>
          <cell r="K581" t="str">
            <v>Concrete and Structural Steel Construction Package</v>
          </cell>
        </row>
        <row r="582">
          <cell r="C582" t="str">
            <v>Rosewood Resort</v>
          </cell>
          <cell r="F582" t="str">
            <v>1TB02011C43</v>
          </cell>
          <cell r="G582" t="str">
            <v>1.TB.02.011.99</v>
          </cell>
          <cell r="J582" t="str">
            <v>Rawabi Specialized Contracting Company &amp; Hassan Allam Construction Saudi Limited Co.</v>
          </cell>
          <cell r="K582" t="str">
            <v>Concrete and Structural Steel Construction Package</v>
          </cell>
        </row>
        <row r="583">
          <cell r="C583" t="str">
            <v>AMAALA Airside - Runways</v>
          </cell>
          <cell r="F583" t="str">
            <v>1AI16080C06</v>
          </cell>
          <cell r="G583" t="str">
            <v>1.AI.16.080.01</v>
          </cell>
          <cell r="J583" t="str">
            <v>Nudhum Al Oula LLC</v>
          </cell>
          <cell r="K583" t="str">
            <v>Design, Supply, Installation, Integration, Testing and Commissioning on Turn-Key basis for an ATC Mobile Tower at the Red Sea Airport</v>
          </cell>
        </row>
        <row r="584">
          <cell r="C584" t="str">
            <v>Four Seasons Resort</v>
          </cell>
          <cell r="F584" t="str">
            <v>1TB02012F03</v>
          </cell>
          <cell r="G584" t="str">
            <v>1.TB.02.012.99</v>
          </cell>
          <cell r="J584" t="str">
            <v>Al Masaood Bergum L.L.C - Dubai Branch</v>
          </cell>
          <cell r="K584" t="str">
            <v>Site Offices and Welfare Facilities Design, Supply and Installation Package for AMAALA Triple Bay (Call off Order No: 006)</v>
          </cell>
        </row>
        <row r="585">
          <cell r="C585" t="str">
            <v>Six Senses Resort</v>
          </cell>
          <cell r="F585" t="str">
            <v>1TB02017F06</v>
          </cell>
          <cell r="G585" t="str">
            <v>1.TB.02.017.99</v>
          </cell>
          <cell r="J585" t="str">
            <v>Al Masaood Bergum L.L.C - Dubai Branch</v>
          </cell>
          <cell r="K585" t="str">
            <v>Site Offices and Welfare Facilities Design, Supply and Installation Package for AMAALA Triple Bay (Call off Order No: 007)</v>
          </cell>
        </row>
        <row r="586">
          <cell r="C586" t="str">
            <v>Rosewood Resort</v>
          </cell>
          <cell r="F586" t="str">
            <v>1TB02011F04</v>
          </cell>
          <cell r="G586" t="str">
            <v>1.TB.02.011.99</v>
          </cell>
          <cell r="J586" t="str">
            <v>Al Masaood Bergum L.L.C - Dubai Branch</v>
          </cell>
          <cell r="K586" t="str">
            <v>Site Offices and Welfare Facilities Design, Supply and Installation Package for AMAALA Triple Bay (Call off Order No: 008)</v>
          </cell>
        </row>
        <row r="587">
          <cell r="C587" t="str">
            <v>Wellness Core - Wide</v>
          </cell>
          <cell r="F587" t="str">
            <v>1TB03300F02</v>
          </cell>
          <cell r="G587" t="str">
            <v>1.TB.03.300.00</v>
          </cell>
          <cell r="J587" t="str">
            <v>Al Masaood Bergum L.L.C - Dubai Branch</v>
          </cell>
          <cell r="K587" t="str">
            <v>Site Offices and Welfare Facilities Design, Supply and Installation Package for AMAALA Triple Bay (Call off Order No: 009)</v>
          </cell>
        </row>
        <row r="588">
          <cell r="C588" t="str">
            <v>Marina Village - Wide</v>
          </cell>
          <cell r="F588" t="str">
            <v>1TB01100F02</v>
          </cell>
          <cell r="G588" t="str">
            <v>1.TB.01.100.00</v>
          </cell>
          <cell r="J588" t="str">
            <v>Al Masaood Bergum L.L.C - Dubai Branch</v>
          </cell>
          <cell r="K588" t="str">
            <v>Site Offices and Welfare Facilities Design, Supply and Installation Package for AMAALA Triple Bay (Call off Order No: 010)</v>
          </cell>
        </row>
        <row r="589">
          <cell r="C589" t="str">
            <v>Marina Village - Wide</v>
          </cell>
          <cell r="F589" t="str">
            <v>1TB01100F01</v>
          </cell>
          <cell r="G589" t="str">
            <v>1.TB.01.100.00</v>
          </cell>
          <cell r="J589" t="str">
            <v>Al Baddad International</v>
          </cell>
          <cell r="K589" t="str">
            <v>Site Offices and Welfare Facilities Design, Supply and Installation Package for AMAALA Triple Bay (Call off Order No: 001)</v>
          </cell>
        </row>
        <row r="590">
          <cell r="C590" t="str">
            <v>Wellness Core - Wide</v>
          </cell>
          <cell r="F590" t="str">
            <v>1TB03300F01</v>
          </cell>
          <cell r="G590" t="str">
            <v>1.TB.03.300.00</v>
          </cell>
          <cell r="J590" t="str">
            <v>Al Baddad International</v>
          </cell>
          <cell r="K590" t="str">
            <v>Site Offices and Welfare Facilities Design, Supply and Installation Package for AMAALA Triple Bay (Call off Order No: 005)</v>
          </cell>
        </row>
        <row r="591">
          <cell r="C591" t="str">
            <v>Marina Village - Wide</v>
          </cell>
          <cell r="F591" t="str">
            <v>1TB01100F04</v>
          </cell>
          <cell r="G591" t="str">
            <v>1.TB.01.100.00</v>
          </cell>
          <cell r="J591" t="str">
            <v>Fajr Construction Company</v>
          </cell>
          <cell r="K591" t="str">
            <v>Supply, Installation and Maintenance of AMAALA Triple Bay Site-Wide Logistics Works (Call off Order No: 001)</v>
          </cell>
        </row>
        <row r="592">
          <cell r="C592" t="str">
            <v>Four Seasons Resort</v>
          </cell>
          <cell r="F592" t="str">
            <v>1TB02012F04</v>
          </cell>
          <cell r="G592" t="str">
            <v>1.TB.02.012.99</v>
          </cell>
          <cell r="J592" t="str">
            <v>Fajr Construction Company</v>
          </cell>
          <cell r="K592" t="str">
            <v>Supply, Installation and Maintenance of AMAALA Triple Bay Site-Wide Logistics Works (Call off Order No: 002)</v>
          </cell>
        </row>
        <row r="593">
          <cell r="C593" t="str">
            <v>Six Senses Resort</v>
          </cell>
          <cell r="F593" t="str">
            <v>1TB02017F07</v>
          </cell>
          <cell r="G593" t="str">
            <v>1.TB.02.017.99</v>
          </cell>
          <cell r="J593" t="str">
            <v>Fajr Construction Company</v>
          </cell>
          <cell r="K593" t="str">
            <v>Supply, Installation and Maintenance of AMAALA Triple Bay Site-Wide Logistics Works (Call off Order No: 003)</v>
          </cell>
        </row>
        <row r="594">
          <cell r="C594" t="str">
            <v>Rosewood Resort</v>
          </cell>
          <cell r="F594" t="str">
            <v>1TB02011F05</v>
          </cell>
          <cell r="G594" t="str">
            <v>1.TB.02.011.99</v>
          </cell>
          <cell r="J594" t="str">
            <v>Fajr Construction Company</v>
          </cell>
          <cell r="K594" t="str">
            <v>Supply, Installation and Maintenance of AMAALA Triple Bay Site-Wide Logistics Works (Call off Order No: 004)</v>
          </cell>
        </row>
        <row r="595">
          <cell r="C595" t="str">
            <v>Wellness Core - Wide</v>
          </cell>
          <cell r="F595" t="str">
            <v>1TB03300F03</v>
          </cell>
          <cell r="G595" t="str">
            <v>1.TB.03.300.00</v>
          </cell>
          <cell r="J595" t="str">
            <v>Fajr Construction Company</v>
          </cell>
          <cell r="K595" t="str">
            <v>Supply, Installation and Maintenance of AMAALA Triple Bay Site-Wide Logistics Works (Call off Order No: 005)</v>
          </cell>
        </row>
        <row r="596">
          <cell r="C596" t="str">
            <v>Civic Assets</v>
          </cell>
          <cell r="F596" t="str">
            <v>1TB09035D13</v>
          </cell>
          <cell r="G596" t="str">
            <v>1.TB.09.035.01</v>
          </cell>
          <cell r="J596" t="str">
            <v>Light Arc London Limited</v>
          </cell>
          <cell r="K596" t="str">
            <v>Design Architect - Design Study Submission (Stage 1) for the Proposed Welcome Centre - (Design Competition Stage 1)</v>
          </cell>
        </row>
        <row r="597">
          <cell r="C597" t="str">
            <v>Civic Assets</v>
          </cell>
          <cell r="F597" t="str">
            <v>1TB09035D12</v>
          </cell>
          <cell r="G597" t="str">
            <v>1.TB.09.035.01</v>
          </cell>
          <cell r="J597" t="str">
            <v>Jacobsen Arquitetura</v>
          </cell>
          <cell r="K597" t="str">
            <v>Design Architect - Design Study Submission (Stage 1) for the Proposed Welcome Centre - (Design Competition Stage 1)</v>
          </cell>
        </row>
        <row r="598">
          <cell r="C598" t="str">
            <v>Civic Assets</v>
          </cell>
          <cell r="F598" t="str">
            <v>1TB09035D09</v>
          </cell>
          <cell r="G598" t="str">
            <v>1.TB.09.035.01</v>
          </cell>
          <cell r="J598" t="str">
            <v>Cook Haffner Architecture Platform AS</v>
          </cell>
          <cell r="K598" t="str">
            <v>Design Architect - Design Study Submission (Stage 1) for the Proposed Welcome Centre - (Design Competition Stage 1)</v>
          </cell>
        </row>
        <row r="599">
          <cell r="C599" t="str">
            <v>Civic Assets</v>
          </cell>
          <cell r="F599" t="str">
            <v>1TB09035D04</v>
          </cell>
          <cell r="G599" t="str">
            <v>1.TB.09.035.01</v>
          </cell>
          <cell r="J599" t="str">
            <v>Aidia Studio</v>
          </cell>
          <cell r="K599" t="str">
            <v>Design Architect - Design Study Submission (Stage 1) for the Proposed Welcome Centre - (Design Competition Stage 1)</v>
          </cell>
        </row>
        <row r="600">
          <cell r="C600" t="str">
            <v>Civic Assets</v>
          </cell>
          <cell r="F600" t="str">
            <v>1TB09035D16</v>
          </cell>
          <cell r="G600" t="str">
            <v>1.TB.09.035.01</v>
          </cell>
          <cell r="J600" t="str">
            <v>Sou Fujimoto Architects</v>
          </cell>
          <cell r="K600" t="str">
            <v>Design Architect - Design Study Submission (Stage 1) for the Proposed Welcome Centre - (Design Competition Stage 1)</v>
          </cell>
        </row>
        <row r="601">
          <cell r="C601" t="str">
            <v>Civic Assets</v>
          </cell>
          <cell r="F601" t="str">
            <v>1TB09035D15</v>
          </cell>
          <cell r="G601" t="str">
            <v>1.TB.09.035.01</v>
          </cell>
          <cell r="J601" t="str">
            <v>Overtreders W</v>
          </cell>
          <cell r="K601" t="str">
            <v>Design Architect - Design Study Submission (Stage 1) for the Proposed Welcome Centre - (Design Competition Stage 1)</v>
          </cell>
        </row>
        <row r="602">
          <cell r="C602" t="str">
            <v>Civic Assets</v>
          </cell>
          <cell r="F602" t="str">
            <v>1TB09035D08</v>
          </cell>
          <cell r="G602" t="str">
            <v>1.TB.09.035.01</v>
          </cell>
          <cell r="J602" t="str">
            <v>Azaz Architects</v>
          </cell>
          <cell r="K602" t="str">
            <v>Design Architect - Design Study Submission (Stage 1) for the Proposed Welcome Centre - (Design Competition Stage 1)</v>
          </cell>
        </row>
        <row r="603">
          <cell r="C603" t="str">
            <v>Civic Assets</v>
          </cell>
          <cell r="F603" t="str">
            <v>1TB09035D03</v>
          </cell>
          <cell r="G603" t="str">
            <v>1.TB.09.035.01</v>
          </cell>
          <cell r="J603" t="str">
            <v>Arabian Horizon Consulting Engineering</v>
          </cell>
          <cell r="K603" t="str">
            <v>Design Architect - Design Study Submission (Stage 1) for the Proposed Welcome Centre - (Design Competition Stage 1)</v>
          </cell>
        </row>
        <row r="604">
          <cell r="C604" t="str">
            <v>Civic Assets</v>
          </cell>
          <cell r="F604" t="str">
            <v>1TB09035D14</v>
          </cell>
          <cell r="G604" t="str">
            <v>1.TB.09.035.01</v>
          </cell>
          <cell r="J604" t="str">
            <v>Natrufled Architecture</v>
          </cell>
          <cell r="K604" t="str">
            <v>Design Architect - Design Study Submission (Stage 1) for the Proposed Welcome Centre - (Design Competition Stage 1)</v>
          </cell>
        </row>
        <row r="605">
          <cell r="C605" t="str">
            <v>Civic Assets</v>
          </cell>
          <cell r="F605" t="str">
            <v>1TB09035D07</v>
          </cell>
          <cell r="G605" t="str">
            <v>1.TB.09.035.01</v>
          </cell>
          <cell r="J605" t="str">
            <v>Nomadic Resorts Ltd</v>
          </cell>
          <cell r="K605" t="str">
            <v>Design Architect - Design Study Submission (Stage 1) for the Proposed Welcome Centre - (Design Competition Stage 1)</v>
          </cell>
        </row>
        <row r="606">
          <cell r="C606" t="str">
            <v>Civic Assets</v>
          </cell>
          <cell r="F606" t="str">
            <v>1TB09035D11</v>
          </cell>
          <cell r="G606" t="str">
            <v>1.TB.09.035.01</v>
          </cell>
          <cell r="J606" t="str">
            <v>Decibel Architecture Pty Ltd</v>
          </cell>
          <cell r="K606" t="str">
            <v>Design Architect - Design Study Submission (Stage 1) for the Proposed Welcome Centre - (Design Competition Stage 1)</v>
          </cell>
        </row>
        <row r="607">
          <cell r="C607" t="str">
            <v>Civic Assets</v>
          </cell>
          <cell r="F607" t="str">
            <v>1TB09035D17</v>
          </cell>
          <cell r="G607" t="str">
            <v>1.TB.09.035.01</v>
          </cell>
          <cell r="J607" t="str">
            <v>Strom Architects Ltd</v>
          </cell>
          <cell r="K607" t="str">
            <v>Design Architect - Design Study Submission (Stage 1) for the Proposed Welcome Centre - (Design Competition Stage 1)</v>
          </cell>
        </row>
        <row r="608">
          <cell r="C608" t="str">
            <v>Civic Assets</v>
          </cell>
          <cell r="F608" t="str">
            <v>1TB09035D06</v>
          </cell>
          <cell r="G608" t="str">
            <v>1.TB.09.035.01</v>
          </cell>
          <cell r="J608" t="str">
            <v>Marco Casamonti &amp; Partners S.r.I.</v>
          </cell>
          <cell r="K608" t="str">
            <v>Design Architect - Design Study Submission (Stage 1) for the Proposed Welcome Centre - (Design Competition Stage 1)</v>
          </cell>
        </row>
        <row r="609">
          <cell r="C609" t="str">
            <v>Regional Infrastructure  - Wide</v>
          </cell>
          <cell r="F609" t="str">
            <v>1RI12071F06</v>
          </cell>
          <cell r="G609" t="str">
            <v>1.RI.12.071.00</v>
          </cell>
          <cell r="J609" t="str">
            <v>Arab Company for Laboratories and Soil Branch (ACES)</v>
          </cell>
          <cell r="K609" t="str">
            <v>Geotechnical Investigation Works for AMAALA Staff Village Primary Infrastructure - SO 30</v>
          </cell>
        </row>
        <row r="610">
          <cell r="C610" t="str">
            <v>Six Senses Resort</v>
          </cell>
          <cell r="F610" t="str">
            <v>1TB02017F05</v>
          </cell>
          <cell r="G610" t="str">
            <v>1.TB.02.017.01</v>
          </cell>
          <cell r="J610" t="str">
            <v>Jensen Hughes Saudi Arabia, LLC</v>
          </cell>
          <cell r="K610" t="str">
            <v>Third-Party Authority for Fire and Life Safety Review &amp; Certification Endorsement (Call off Order No: 002)</v>
          </cell>
        </row>
        <row r="611">
          <cell r="C611" t="str">
            <v>Primary Infrastructure</v>
          </cell>
          <cell r="F611" t="str">
            <v>1TB04029C01</v>
          </cell>
          <cell r="G611" t="str">
            <v>1.TB.04.029.01</v>
          </cell>
          <cell r="J611" t="str">
            <v>Twozan Surveys</v>
          </cell>
          <cell r="K611" t="str">
            <v>Topographical Control Survey Services</v>
          </cell>
        </row>
        <row r="612">
          <cell r="C612" t="str">
            <v>Shared Facilities Hub</v>
          </cell>
          <cell r="F612" t="str">
            <v>1RI12073F01</v>
          </cell>
          <cell r="G612" t="str">
            <v>1.RI.12.073.01</v>
          </cell>
          <cell r="J612" t="str">
            <v>Arab Company for Laboratories and Soil Branch (ACES)</v>
          </cell>
          <cell r="K612" t="str">
            <v>Ground Investigation Works for Shared Facility Hub &amp; Permanent Solid Waste Facility Plot - SO 31</v>
          </cell>
        </row>
        <row r="613">
          <cell r="C613" t="str">
            <v>Triple Bay Construction Logistics</v>
          </cell>
          <cell r="F613" t="str">
            <v>1TB04034C08</v>
          </cell>
          <cell r="G613" t="str">
            <v>1.TB.04.034.01</v>
          </cell>
          <cell r="J613" t="str">
            <v>The Helicopter &amp; Jet Company (THC)</v>
          </cell>
          <cell r="K613" t="str">
            <v>Helicopter Services Agreement - THC-LCD-2022-079</v>
          </cell>
        </row>
        <row r="614">
          <cell r="C614" t="str">
            <v>Integrative Wellness</v>
          </cell>
          <cell r="F614" t="str">
            <v>1TB03007D14</v>
          </cell>
          <cell r="G614" t="str">
            <v>1.TB.03.007.01</v>
          </cell>
          <cell r="J614" t="str">
            <v>Arab Company for Laboratories and Soil Branch (ACES)</v>
          </cell>
          <cell r="K614" t="str">
            <v>Wellness Hotel Marine Bore Holes Ground Investigation Works (Near / Offshore) - SO 22</v>
          </cell>
        </row>
        <row r="615">
          <cell r="C615" t="str">
            <v>Ocean Golf - Wide</v>
          </cell>
          <cell r="F615" t="str">
            <v>1TB05500D06</v>
          </cell>
          <cell r="G615" t="str">
            <v>1.TB.05.500.00</v>
          </cell>
          <cell r="J615" t="str">
            <v>AE Seven Morse Architecture &amp; Engineering Consultancies Co. (AE7)</v>
          </cell>
          <cell r="K615" t="str">
            <v>Lead Design Consultancy Services</v>
          </cell>
        </row>
        <row r="616">
          <cell r="C616" t="str">
            <v>AMAALA Airside - Runways</v>
          </cell>
          <cell r="F616" t="str">
            <v>1AI16080D08</v>
          </cell>
          <cell r="G616" t="str">
            <v>1.AI.16.080.01</v>
          </cell>
          <cell r="J616" t="str">
            <v>United for Aviation Technology Services</v>
          </cell>
          <cell r="K616" t="str">
            <v>Aeronautical Study of Obstacles and Design of Flight Procedures for Amaala Executive Airport</v>
          </cell>
        </row>
        <row r="617">
          <cell r="C617" t="str">
            <v>Marina Village - Wide</v>
          </cell>
          <cell r="F617" t="str">
            <v>1TB01100F05</v>
          </cell>
          <cell r="G617" t="str">
            <v>1.TB.01.100.00</v>
          </cell>
          <cell r="J617" t="str">
            <v>Zuhair Fayez Partnership Consultants</v>
          </cell>
          <cell r="K617" t="str">
            <v>Third Party Authority for Multidisciplinary Review &amp; Certification Endorsement (Call off Order No: 005)</v>
          </cell>
        </row>
        <row r="618">
          <cell r="C618" t="str">
            <v>AMAALA Devco</v>
          </cell>
          <cell r="F618" t="str">
            <v>1DC99999D87</v>
          </cell>
          <cell r="G618" t="str">
            <v>1.DC.99.999.99</v>
          </cell>
          <cell r="J618" t="str">
            <v>Hydrock Consultants Limited</v>
          </cell>
          <cell r="K618" t="str">
            <v>Site-Wide Fire &amp; Life Strategy Consultancy Services</v>
          </cell>
        </row>
        <row r="619">
          <cell r="C619" t="str">
            <v>Ridge Residences</v>
          </cell>
          <cell r="F619" t="str">
            <v>1TB06024D14</v>
          </cell>
          <cell r="G619" t="str">
            <v>1.TB.06.024.01</v>
          </cell>
          <cell r="J619" t="str">
            <v>AE Seven Morse Architecture &amp; Engineering Consultancies Co. (AE7)</v>
          </cell>
          <cell r="K619" t="str">
            <v>Lead Design Consultancy Services</v>
          </cell>
        </row>
        <row r="620">
          <cell r="C620" t="str">
            <v>Staff Village - Wide</v>
          </cell>
          <cell r="F620" t="str">
            <v>1SV10110C12</v>
          </cell>
          <cell r="G620" t="str">
            <v>1.SV.10.110.00</v>
          </cell>
          <cell r="J620" t="str">
            <v>Saudi Archirodon Company Limited - Arabian Construction Company Egypt</v>
          </cell>
          <cell r="K620" t="str">
            <v>Main Contractor - Staff Village Zone 4</v>
          </cell>
        </row>
        <row r="621">
          <cell r="C621" t="str">
            <v>Island Wide</v>
          </cell>
          <cell r="F621" t="str">
            <v>1IL90902D40</v>
          </cell>
          <cell r="G621" t="str">
            <v>1.IL.90.902.99</v>
          </cell>
          <cell r="J621" t="str">
            <v>K-Studio Dimitris Ano Konstantinos Karampatakis I.K.E.</v>
          </cell>
          <cell r="K621" t="str">
            <v>Pre-Concept Design Consultant for Al Numan Island (Design Competition)</v>
          </cell>
        </row>
        <row r="622">
          <cell r="C622" t="str">
            <v>Island Wide</v>
          </cell>
          <cell r="F622" t="str">
            <v>1IL90902D39</v>
          </cell>
          <cell r="G622" t="str">
            <v>1.IL.90.902.99</v>
          </cell>
          <cell r="J622" t="str">
            <v>Studio Seilern Architects Ltd</v>
          </cell>
          <cell r="K622" t="str">
            <v>Pre-Concept Design Consultant for Al Numan Island (Design Competition)</v>
          </cell>
        </row>
        <row r="623">
          <cell r="C623" t="str">
            <v>Island Wide</v>
          </cell>
          <cell r="F623" t="str">
            <v>1IL90902D41</v>
          </cell>
          <cell r="G623" t="str">
            <v>1.IL.90.902.99</v>
          </cell>
          <cell r="J623" t="str">
            <v>Bjarke Ingels Group NYC LLC</v>
          </cell>
          <cell r="K623" t="str">
            <v>Pre-Concept Design Consultant for Al Numan Island (Design Competition)</v>
          </cell>
        </row>
        <row r="624">
          <cell r="C624" t="str">
            <v>Island Wide</v>
          </cell>
          <cell r="F624" t="str">
            <v>1IL90902D42</v>
          </cell>
          <cell r="G624" t="str">
            <v>1.IL.90.902.99</v>
          </cell>
          <cell r="J624" t="str">
            <v>For Museum Alliance</v>
          </cell>
          <cell r="K624" t="str">
            <v>Art Consultancy Services</v>
          </cell>
        </row>
        <row r="625">
          <cell r="C625" t="str">
            <v>Island Wide</v>
          </cell>
          <cell r="F625" t="str">
            <v>1IL90902D38</v>
          </cell>
          <cell r="G625" t="str">
            <v>1.IL.90.902.99</v>
          </cell>
          <cell r="J625" t="str">
            <v>Rockwell Architecture, Planning and Design, P.C.</v>
          </cell>
          <cell r="K625" t="str">
            <v>Pre-Concept Design Consultant for Al Numan Island (Design Competition)</v>
          </cell>
        </row>
        <row r="626">
          <cell r="C626" t="str">
            <v>Island Wide</v>
          </cell>
          <cell r="F626" t="str">
            <v>1IL90902D36</v>
          </cell>
          <cell r="G626" t="str">
            <v>1.IL.90.902.99</v>
          </cell>
          <cell r="J626" t="str">
            <v>Luca Dini Associati s.r.l.</v>
          </cell>
          <cell r="K626" t="str">
            <v>Pre-Concept Design Consultant for Al Numan Island (Design Competition)</v>
          </cell>
        </row>
        <row r="627">
          <cell r="C627" t="str">
            <v>Triple Bay Central - Wide</v>
          </cell>
          <cell r="F627" t="str">
            <v>1TB02200D01</v>
          </cell>
          <cell r="G627" t="str">
            <v>1TB.02.200.00</v>
          </cell>
          <cell r="J627" t="str">
            <v>Coffey Geotechnics Limited</v>
          </cell>
          <cell r="K627" t="str">
            <v>Third-Party Geotechnical Consultancy Services for the Rosewood and Six Senses Hotels</v>
          </cell>
        </row>
        <row r="628">
          <cell r="C628" t="str">
            <v>Staff Village - Wide</v>
          </cell>
          <cell r="F628" t="str">
            <v>1SV10110F04</v>
          </cell>
          <cell r="G628" t="str">
            <v>1.SV.10.110.00</v>
          </cell>
          <cell r="J628" t="str">
            <v>Jensen Hughes Saudi Arabia, LLC</v>
          </cell>
          <cell r="K628" t="str">
            <v>Third-Party Authority for Fire and Life Safety Review &amp; Certification Endorsement (Call off Order No: 005)</v>
          </cell>
        </row>
        <row r="629">
          <cell r="C629" t="str">
            <v>Red Sea Marine Life Institute</v>
          </cell>
          <cell r="F629" t="str">
            <v>1TB01005C20</v>
          </cell>
          <cell r="G629" t="str">
            <v>1.TB.01.005.01</v>
          </cell>
          <cell r="J629" t="str">
            <v>Reynolds Polymer Technology Inc</v>
          </cell>
          <cell r="K629" t="str">
            <v>Specialist Acrylic Glazing</v>
          </cell>
        </row>
        <row r="630">
          <cell r="C630" t="str">
            <v>Island Wide</v>
          </cell>
          <cell r="F630" t="str">
            <v>1IL90902D37</v>
          </cell>
          <cell r="G630" t="str">
            <v>1.IL.90.902.99</v>
          </cell>
          <cell r="J630" t="str">
            <v>Bofill Arquitectura, S.L.</v>
          </cell>
          <cell r="K630" t="str">
            <v>Pre-Concept Design Consultant for Al Numan Island (Design Competition)</v>
          </cell>
        </row>
        <row r="631">
          <cell r="C631" t="str">
            <v>Civic Assets</v>
          </cell>
          <cell r="F631" t="str">
            <v>1TB09035D10</v>
          </cell>
          <cell r="G631" t="str">
            <v>1.TB.09.035.01</v>
          </cell>
          <cell r="J631" t="str">
            <v>CHYBIK+KRISTOF Associated Architects s.r.o.,</v>
          </cell>
          <cell r="K631" t="str">
            <v>Design Architect - Design Study Submission (Stage 1) for the Proposed Welcome Centre - (Design Competition Stage 1)</v>
          </cell>
        </row>
        <row r="632">
          <cell r="C632" t="str">
            <v>Civic Assets</v>
          </cell>
          <cell r="F632" t="str">
            <v>1TB09035D05</v>
          </cell>
          <cell r="G632" t="str">
            <v>1.TB.09.035.01</v>
          </cell>
          <cell r="J632" t="str">
            <v>ANARCHITECT FZE</v>
          </cell>
          <cell r="K632" t="str">
            <v>Design Architect - Design Study Submission (Stage 1) for the Proposed Welcome Centre - (Design Competition Stage 1)</v>
          </cell>
        </row>
        <row r="633">
          <cell r="C633" t="str">
            <v>Marina Hotel 3</v>
          </cell>
          <cell r="F633" t="str">
            <v>1TB01009F01</v>
          </cell>
          <cell r="G633" t="str">
            <v>1.TB.01.009.01</v>
          </cell>
          <cell r="J633" t="str">
            <v>Jensen Hughes Saudi Arabia, LLC</v>
          </cell>
          <cell r="K633" t="str">
            <v>Third-Party Authority for Fire and Life Safety Review &amp; Certification Endorsement (Call off Order No: 004)</v>
          </cell>
        </row>
        <row r="634">
          <cell r="C634" t="str">
            <v>Six Senses Resort</v>
          </cell>
          <cell r="F634" t="str">
            <v>1TB02017C29</v>
          </cell>
          <cell r="G634" t="str">
            <v>1.TB.02.017.99</v>
          </cell>
          <cell r="J634" t="str">
            <v>Abdul Mohsen Abdullah Al-Horaish Al-Tamimi &amp; Partners</v>
          </cell>
          <cell r="K634" t="str">
            <v>Builder Works Package for Six Senses</v>
          </cell>
        </row>
        <row r="635">
          <cell r="C635" t="str">
            <v>Rosewood Resort</v>
          </cell>
          <cell r="F635" t="str">
            <v>1TB02011C44</v>
          </cell>
          <cell r="G635" t="str">
            <v>1.TB.02.011.99</v>
          </cell>
          <cell r="J635" t="str">
            <v>Abdul Mohsen Abdullah Al-Horaish Al-Tamimi &amp; Partners</v>
          </cell>
          <cell r="K635" t="str">
            <v>Builder Works Package for Rosewood</v>
          </cell>
        </row>
        <row r="636">
          <cell r="C636" t="str">
            <v>Construction Village Section 2 &amp; 3</v>
          </cell>
          <cell r="F636" t="str">
            <v>1CV08033F02</v>
          </cell>
          <cell r="G636" t="str">
            <v>1.CV.08.033.01</v>
          </cell>
          <cell r="J636" t="str">
            <v>Zuhair Fayez Partnership Consultants</v>
          </cell>
          <cell r="K636" t="str">
            <v>Third Party Authority for Multidisciplinary Review &amp; Certification Endorsement (Call off Order No: 008)</v>
          </cell>
        </row>
        <row r="637">
          <cell r="C637" t="str">
            <v>Wellness Core - Wide</v>
          </cell>
          <cell r="F637" t="str">
            <v>1TB03300F04</v>
          </cell>
          <cell r="G637" t="str">
            <v>1.TB.03.300.00</v>
          </cell>
          <cell r="J637" t="str">
            <v>Zuhair Fayez Partnership Consultants</v>
          </cell>
          <cell r="K637" t="str">
            <v>Third Party Authority for Multidisciplinary Review &amp; Certification Endorsement (Call off Order No: 010)</v>
          </cell>
        </row>
        <row r="638">
          <cell r="C638" t="str">
            <v>Staff Village - Wide</v>
          </cell>
          <cell r="F638" t="str">
            <v>1SV10110F02</v>
          </cell>
          <cell r="G638" t="str">
            <v>1.SV.10.110.00</v>
          </cell>
          <cell r="J638" t="str">
            <v>Zuhair Fayez Partnership Consultants</v>
          </cell>
          <cell r="K638" t="str">
            <v>Third Party Authority for Multidisciplinary Review &amp; Certification Endorsement (Call off Order No: 009)</v>
          </cell>
        </row>
        <row r="639">
          <cell r="C639" t="str">
            <v>Primary Infrastructure</v>
          </cell>
          <cell r="F639" t="str">
            <v>1TB04029F01</v>
          </cell>
          <cell r="G639" t="str">
            <v>1.TB.04.029.01</v>
          </cell>
          <cell r="J639" t="str">
            <v>Zuhair Fayez Partnership Consultants</v>
          </cell>
          <cell r="K639" t="str">
            <v>Third Party Authority for Multidisciplinary Review &amp; Certification Endorsement (Call off Order No: 006)</v>
          </cell>
        </row>
        <row r="640">
          <cell r="C640" t="str">
            <v>Marina Village - Wide</v>
          </cell>
          <cell r="F640" t="str">
            <v>1TB01100F03</v>
          </cell>
          <cell r="G640" t="str">
            <v>1.TB.01.100.00</v>
          </cell>
          <cell r="J640" t="str">
            <v>Saudi Consulting Services Co. (Saud Consult)</v>
          </cell>
          <cell r="K640" t="str">
            <v>Construction Supervision Services for the AMAALA Marina Village Precinct - Secondary Infrastructure &amp; Landscaping (Call off Order No: 004)</v>
          </cell>
        </row>
        <row r="641">
          <cell r="C641" t="str">
            <v>Primary Infrastructure</v>
          </cell>
          <cell r="F641" t="str">
            <v>1TB04029D15</v>
          </cell>
          <cell r="G641" t="str">
            <v>1.TB.04.029.01</v>
          </cell>
          <cell r="J641" t="str">
            <v>Ministry of Municipality and Rural Affairs</v>
          </cell>
          <cell r="K641" t="str">
            <v>Permit Fees</v>
          </cell>
        </row>
        <row r="642">
          <cell r="C642" t="str">
            <v xml:space="preserve">AMAALA Yacht Club </v>
          </cell>
          <cell r="F642" t="str">
            <v>1TB01003F03</v>
          </cell>
          <cell r="G642" t="str">
            <v>1.TB.01.003.01</v>
          </cell>
          <cell r="J642" t="str">
            <v>Elevator Systems Contracting Company (ESCCO)</v>
          </cell>
          <cell r="K642" t="str">
            <v>Vertical Transportation Works</v>
          </cell>
        </row>
        <row r="643">
          <cell r="C643" t="str">
            <v>Red Sea Marine Life Institute</v>
          </cell>
          <cell r="F643" t="str">
            <v>1TB01005C05</v>
          </cell>
          <cell r="G643" t="str">
            <v>1.TB.01.005.01</v>
          </cell>
          <cell r="J643" t="str">
            <v>Nesma United Industries Company Ltd.</v>
          </cell>
          <cell r="K643" t="str">
            <v>ICT / ELV Works</v>
          </cell>
        </row>
        <row r="644">
          <cell r="C644" t="str">
            <v xml:space="preserve">AMAALA Yacht Club </v>
          </cell>
          <cell r="F644" t="str">
            <v>1TB01003F04</v>
          </cell>
          <cell r="G644" t="str">
            <v>1.TB.01.003.01</v>
          </cell>
          <cell r="J644" t="str">
            <v>Jensen Hughes Saudi Arabia, LLC</v>
          </cell>
          <cell r="K644" t="str">
            <v>Third-Party Authority for Fire and Life Safety Review &amp; Certification Endorsement (Call off Order No: 007)</v>
          </cell>
        </row>
        <row r="645">
          <cell r="C645" t="str">
            <v>Marina Lifestyle Hotel &amp; Village</v>
          </cell>
          <cell r="F645" t="str">
            <v>1TB01002F02</v>
          </cell>
          <cell r="G645" t="str">
            <v>1.TB.01.002.03</v>
          </cell>
          <cell r="J645" t="str">
            <v>Arab Company for Laboratories and Soil Branch (ACES)</v>
          </cell>
          <cell r="K645" t="str">
            <v>Marina Precincts (SP 04) Ground Investigation Works - SO 24</v>
          </cell>
        </row>
        <row r="646">
          <cell r="C646" t="str">
            <v>Integrative Wellness</v>
          </cell>
          <cell r="F646" t="str">
            <v>1TB03007F01</v>
          </cell>
          <cell r="G646" t="str">
            <v>1.TB.03.007.01</v>
          </cell>
          <cell r="J646" t="str">
            <v>Turner and Townsend Arabia Limited</v>
          </cell>
          <cell r="K646" t="str">
            <v>Cost Consultancy Services for Integrative Wellness Resort - SO 01</v>
          </cell>
        </row>
        <row r="647">
          <cell r="C647" t="str">
            <v>Rosewood Resort</v>
          </cell>
          <cell r="F647" t="str">
            <v>1TB02011C53</v>
          </cell>
          <cell r="G647" t="str">
            <v>1.TB.02.011.99</v>
          </cell>
          <cell r="J647" t="str">
            <v>Al Samman Contracting Company</v>
          </cell>
          <cell r="K647" t="str">
            <v>Mock-Up Room Construction Works for Rosewood Hotel</v>
          </cell>
        </row>
        <row r="648">
          <cell r="C648" t="str">
            <v>Rosewood Resort</v>
          </cell>
          <cell r="F648" t="str">
            <v>1TB02011C49</v>
          </cell>
          <cell r="G648" t="str">
            <v>1.TB.02.011.99</v>
          </cell>
          <cell r="J648" t="str">
            <v>The Fundamental Installation For Electric Work Ltd (First Fix)</v>
          </cell>
          <cell r="K648" t="str">
            <v>MEP Works for Rosewood Resort and Branded Residences</v>
          </cell>
        </row>
        <row r="649">
          <cell r="C649" t="str">
            <v>Marina Lifestyle Hotel &amp; Village</v>
          </cell>
          <cell r="F649" t="str">
            <v>1TB01002C03</v>
          </cell>
          <cell r="G649" t="str">
            <v>1.TB.01.002.03</v>
          </cell>
          <cell r="J649" t="str">
            <v>MAS Engineering &amp; Construction Company LTD</v>
          </cell>
          <cell r="K649" t="str">
            <v>Concrete Structure and Civil Works for Marina Lifestyle Hotel</v>
          </cell>
        </row>
        <row r="650">
          <cell r="C650" t="str">
            <v>Four Seasons Resort</v>
          </cell>
          <cell r="F650" t="str">
            <v>1TB02012C30</v>
          </cell>
          <cell r="G650" t="str">
            <v>1.TB..02.012.01</v>
          </cell>
          <cell r="J650" t="str">
            <v>Rawabi Specialized Contracting Company &amp; Hassan Allam Construction Saudi Limited Co.</v>
          </cell>
          <cell r="K650" t="str">
            <v>Concrete and Structural Steel Construction Package for Four Seasons</v>
          </cell>
        </row>
        <row r="651">
          <cell r="C651" t="str">
            <v>Rosewood Resort</v>
          </cell>
          <cell r="F651" t="str">
            <v>1TB02011C50</v>
          </cell>
          <cell r="G651" t="str">
            <v>1.TB.02.011.99</v>
          </cell>
          <cell r="J651" t="str">
            <v>Nesma United Industries Company Ltd.</v>
          </cell>
          <cell r="K651" t="str">
            <v>ELV Works for Rosewood</v>
          </cell>
        </row>
        <row r="652">
          <cell r="C652" t="str">
            <v>Four Seasons Resort</v>
          </cell>
          <cell r="F652" t="str">
            <v>1TB02012C06</v>
          </cell>
          <cell r="G652" t="str">
            <v>1.TB.02.012.99</v>
          </cell>
          <cell r="J652" t="str">
            <v>Arab Supply &amp; Trading Co. (ASTRA Construction)</v>
          </cell>
          <cell r="K652" t="str">
            <v>Secondary Infrastructure Package for Four Seasons</v>
          </cell>
        </row>
        <row r="653">
          <cell r="C653" t="str">
            <v>Ridge Residences</v>
          </cell>
          <cell r="F653" t="str">
            <v>1TB06024D22</v>
          </cell>
          <cell r="G653" t="str">
            <v>1.TB.06.024.02</v>
          </cell>
          <cell r="J653" t="str">
            <v>Naga Architects</v>
          </cell>
          <cell r="K653" t="str">
            <v>Pre-Concept Design for Nabatean Residences - Design Competition</v>
          </cell>
        </row>
        <row r="654">
          <cell r="C654" t="str">
            <v>Ridge Residences</v>
          </cell>
          <cell r="F654" t="str">
            <v>1TB06024D23</v>
          </cell>
          <cell r="G654" t="str">
            <v>1.TB.06.024.02</v>
          </cell>
          <cell r="J654" t="str">
            <v>HBA International Limited</v>
          </cell>
          <cell r="K654" t="str">
            <v>Pre-Concept Design for Nabatean Residences - Design Competition</v>
          </cell>
        </row>
        <row r="655">
          <cell r="C655" t="str">
            <v>Ridge Residences</v>
          </cell>
          <cell r="F655" t="str">
            <v>1TB06024D24</v>
          </cell>
          <cell r="G655" t="str">
            <v>1.TB.06.024.02</v>
          </cell>
          <cell r="J655" t="str">
            <v>Studio International Engineering Consultants</v>
          </cell>
          <cell r="K655" t="str">
            <v>Pre-Concept Design for Nabatean Residences - Design Competition</v>
          </cell>
        </row>
        <row r="656">
          <cell r="C656" t="str">
            <v>Ridge Residences</v>
          </cell>
          <cell r="F656" t="str">
            <v>1TB06024D26</v>
          </cell>
          <cell r="G656" t="str">
            <v>1.TB.06.024.02</v>
          </cell>
          <cell r="J656" t="str">
            <v>Strom Architects Ltd</v>
          </cell>
          <cell r="K656" t="str">
            <v>Pre-Concept Design for Nabatean Residences - Design Competition</v>
          </cell>
        </row>
        <row r="657">
          <cell r="C657" t="str">
            <v>Ridge Residences</v>
          </cell>
          <cell r="F657" t="str">
            <v>1TB06024D25</v>
          </cell>
          <cell r="G657" t="str">
            <v>1.TB.06.024.02</v>
          </cell>
          <cell r="J657" t="str">
            <v>Yuji Yamazaki Architecture PLLC</v>
          </cell>
          <cell r="K657" t="str">
            <v>Pre-Concept Design for Nabatean Residences - Design Competition</v>
          </cell>
        </row>
        <row r="658">
          <cell r="C658" t="str">
            <v>Farm Hotel</v>
          </cell>
          <cell r="F658" t="str">
            <v>1TB02018D15</v>
          </cell>
          <cell r="G658" t="str">
            <v>1.TB.02.018.99</v>
          </cell>
          <cell r="J658" t="str">
            <v>ACPV Architects S.R.L.</v>
          </cell>
          <cell r="K658" t="str">
            <v>Design Competition for the Organic Farm and Farm Residences, Equestrian Centre and Multipurpose Events Space</v>
          </cell>
        </row>
        <row r="659">
          <cell r="C659" t="str">
            <v>Farm Hotel</v>
          </cell>
          <cell r="F659" t="str">
            <v>1TB02018D18</v>
          </cell>
          <cell r="G659" t="str">
            <v>1.TB.02.018.99</v>
          </cell>
          <cell r="J659" t="str">
            <v>Office of Architecture in Barcelona S.L.P</v>
          </cell>
          <cell r="K659" t="str">
            <v>Design Competition for the Organic Farm and Farm Residences, Equestrian Centre and Multipurpose Events Space</v>
          </cell>
        </row>
        <row r="660">
          <cell r="C660" t="str">
            <v>Farm Hotel</v>
          </cell>
          <cell r="F660" t="str">
            <v>1TB02018D17</v>
          </cell>
          <cell r="G660" t="str">
            <v>1.TB.02.018.99</v>
          </cell>
          <cell r="J660" t="str">
            <v>Light Arc London Limited</v>
          </cell>
          <cell r="K660" t="str">
            <v>Design Competition for the Organic Farm and Farm Residences, Equestrian Centre and Multipurpose Events Space</v>
          </cell>
        </row>
        <row r="661">
          <cell r="C661" t="str">
            <v>Farm Hotel</v>
          </cell>
          <cell r="F661" t="str">
            <v>1TB02018D19</v>
          </cell>
          <cell r="G661" t="str">
            <v>1.TB.02.018.99</v>
          </cell>
          <cell r="J661" t="str">
            <v>NOA - Network of Architecture</v>
          </cell>
          <cell r="K661" t="str">
            <v>Design Competition for the Organic Farm and Farm Residences, Equestrian Centre and Multipurpose Events Space</v>
          </cell>
        </row>
        <row r="662">
          <cell r="C662" t="str">
            <v>Wellness Resort 2</v>
          </cell>
          <cell r="F662" t="str">
            <v>1TB05014D20</v>
          </cell>
          <cell r="G662" t="str">
            <v>1.TB.05.014.99</v>
          </cell>
          <cell r="J662" t="str">
            <v>Autoban Mimarlik Insaat Taahhut Ticaret A.S.</v>
          </cell>
          <cell r="K662" t="str">
            <v>Design Competition for the Wellness Resort 2 &amp; Wellness Resort 2 Branded Residences</v>
          </cell>
        </row>
        <row r="663">
          <cell r="C663" t="str">
            <v>Wellness Resort 2</v>
          </cell>
          <cell r="F663" t="str">
            <v>1TB05014D17</v>
          </cell>
          <cell r="G663" t="str">
            <v>1.TB.05.014.99</v>
          </cell>
          <cell r="J663" t="str">
            <v>Mangera Yvars Architects Limited</v>
          </cell>
          <cell r="K663" t="str">
            <v>Design Competition for the Wellness Resort 2 &amp; Wellness Resort 2 Branded Residences</v>
          </cell>
        </row>
        <row r="664">
          <cell r="C664" t="str">
            <v>Wellness Resort 2</v>
          </cell>
          <cell r="F664" t="str">
            <v>1TB05014D19</v>
          </cell>
          <cell r="G664" t="str">
            <v>1.TB.05.014.99</v>
          </cell>
          <cell r="J664" t="str">
            <v>Unscripted PTE. LTD</v>
          </cell>
          <cell r="K664" t="str">
            <v>Design Competition for the Wellness Resort 2 &amp; Wellness Resort 2 Branded Residences</v>
          </cell>
        </row>
        <row r="665">
          <cell r="C665" t="str">
            <v>Wellness Resort 2</v>
          </cell>
          <cell r="F665" t="str">
            <v>1TB05014D18</v>
          </cell>
          <cell r="G665" t="str">
            <v>1.TB.05.014.99</v>
          </cell>
          <cell r="J665" t="str">
            <v>ACPV Architects S.R.L.</v>
          </cell>
          <cell r="K665" t="str">
            <v>Design Competition for the Wellness Resort 2 &amp; Wellness Resort 2 Branded Residences</v>
          </cell>
        </row>
        <row r="666">
          <cell r="C666" t="str">
            <v>Six Senses Resort</v>
          </cell>
          <cell r="F666" t="str">
            <v>1TB02017F09</v>
          </cell>
          <cell r="G666" t="str">
            <v>1.TB.02.017.99</v>
          </cell>
          <cell r="J666" t="str">
            <v>Twozan Surveys</v>
          </cell>
          <cell r="K666" t="str">
            <v>Site Survey Supervision Personal Services - Six Senses Resort (Call off Order No: 001)</v>
          </cell>
        </row>
        <row r="667">
          <cell r="C667" t="str">
            <v>Mountain Golf Resort</v>
          </cell>
          <cell r="F667" t="str">
            <v>1TB06023D02</v>
          </cell>
          <cell r="G667" t="str">
            <v>1.TB.06.023.01</v>
          </cell>
          <cell r="J667" t="str">
            <v>HKS Architects Limited</v>
          </cell>
          <cell r="K667" t="str">
            <v>Master Planning Consultancy Services for the Ocean Golf Course Precinct</v>
          </cell>
        </row>
        <row r="668">
          <cell r="C668" t="str">
            <v>Ridge Residences</v>
          </cell>
          <cell r="F668" t="str">
            <v>1TB06024D15</v>
          </cell>
          <cell r="G668" t="str">
            <v>1.TB.06.024.01</v>
          </cell>
          <cell r="J668" t="str">
            <v>ACPV Architects S.R.L.</v>
          </cell>
          <cell r="K668" t="str">
            <v>Design Architect Consultancy Package</v>
          </cell>
        </row>
        <row r="669">
          <cell r="C669" t="str">
            <v>Ocean Golf Resort</v>
          </cell>
          <cell r="F669" t="str">
            <v>1TB05022D01</v>
          </cell>
          <cell r="G669" t="str">
            <v>1.TB.05.022.01</v>
          </cell>
          <cell r="J669" t="str">
            <v>Unscripted PTE. LTD</v>
          </cell>
          <cell r="K669" t="str">
            <v>Design Architect Consultancy Package</v>
          </cell>
        </row>
        <row r="670">
          <cell r="C670" t="str">
            <v>Marina Hotel 3</v>
          </cell>
          <cell r="F670" t="str">
            <v>1TB01009C03</v>
          </cell>
          <cell r="G670" t="str">
            <v>1.TB.01.009.01</v>
          </cell>
          <cell r="J670" t="str">
            <v>Hassan Allam Construction Saudi Limited</v>
          </cell>
          <cell r="K670" t="str">
            <v>Concrete, Civil, Structural Steel and Builders Works - Phase 2</v>
          </cell>
        </row>
        <row r="671">
          <cell r="C671" t="str">
            <v>Six Senses Resort</v>
          </cell>
          <cell r="F671" t="str">
            <v>1TB02017C62</v>
          </cell>
          <cell r="G671" t="str">
            <v>1.TB.02.017.02</v>
          </cell>
          <cell r="J671" t="str">
            <v>Arab Supply &amp; Trading Co. (ASTRA Construction)</v>
          </cell>
          <cell r="K671" t="str">
            <v>Secondary Infrastructure Package for Six Senses</v>
          </cell>
        </row>
        <row r="672">
          <cell r="C672" t="str">
            <v>Medical Wellness</v>
          </cell>
          <cell r="F672" t="str">
            <v>1TB03008C28</v>
          </cell>
          <cell r="G672" t="str">
            <v>1.TB.03.008.01</v>
          </cell>
          <cell r="J672" t="str">
            <v>Rawabi Specialized Contracting Company &amp; GAMA Construction Company</v>
          </cell>
          <cell r="K672" t="str">
            <v>Concrete Works for Medical Wellness</v>
          </cell>
        </row>
        <row r="673">
          <cell r="C673" t="str">
            <v>Marina Lifestyle Hotel &amp; Village</v>
          </cell>
          <cell r="F673" t="str">
            <v>1TB01002C23</v>
          </cell>
          <cell r="G673" t="str">
            <v>1.TB.01.002.99</v>
          </cell>
          <cell r="J673" t="str">
            <v>Shandong Tiejun Electric Power Engineering Co. LTD. Branch</v>
          </cell>
          <cell r="K673" t="str">
            <v>Builders Works Package for Marina Lifestyle Hotel</v>
          </cell>
        </row>
        <row r="674">
          <cell r="C674" t="str">
            <v>Staff Village - Wide</v>
          </cell>
          <cell r="F674" t="str">
            <v>ISV10110C18</v>
          </cell>
          <cell r="G674" t="str">
            <v>1.SV.10.110.00</v>
          </cell>
          <cell r="J674" t="str">
            <v>ROAK AL-MWAQA Ltd.</v>
          </cell>
          <cell r="K674" t="str">
            <v>Landscape &amp; Public Realm Works for Amaala Staff Village Zones 6A &amp; 6B</v>
          </cell>
        </row>
        <row r="675">
          <cell r="C675" t="str">
            <v>Wellness Core - Wide</v>
          </cell>
          <cell r="F675" t="str">
            <v>1TB03300F08</v>
          </cell>
          <cell r="G675" t="str">
            <v>1.TB.03.300.00</v>
          </cell>
          <cell r="J675" t="str">
            <v>Al Masaood Bergum L.L.C - Dubai Branch</v>
          </cell>
          <cell r="K675" t="str">
            <v>Site Offices and Welfare Facilities Design, Supply and Installation Package for AMAALA Triple Bay (Call off Order No: 015)</v>
          </cell>
        </row>
        <row r="676">
          <cell r="C676" t="str">
            <v>Integrative Wellness</v>
          </cell>
          <cell r="F676" t="str">
            <v>1TB03007C07</v>
          </cell>
          <cell r="G676" t="str">
            <v>1.TB.03.007.01</v>
          </cell>
          <cell r="J676" t="str">
            <v>The Fundamental Installation For Electric Work Ltd (First Fix)</v>
          </cell>
          <cell r="K676" t="str">
            <v>MEP Works Package for AMAALA Integrative and Medical Wellness</v>
          </cell>
        </row>
        <row r="677">
          <cell r="C677" t="str">
            <v>Integrative Wellness</v>
          </cell>
          <cell r="F677" t="str">
            <v>1TB03007C21</v>
          </cell>
          <cell r="G677" t="str">
            <v>1.TB.03.007.03</v>
          </cell>
          <cell r="J677" t="str">
            <v>Masah Construction Company</v>
          </cell>
          <cell r="K677" t="str">
            <v>Concrete, Waterproofing and Builders Work - Integrative Wellness and Medical Wellness (Branded Residences)</v>
          </cell>
        </row>
        <row r="678">
          <cell r="C678" t="str">
            <v>Marina Village - Wide</v>
          </cell>
          <cell r="F678" t="str">
            <v>1TB01100F10</v>
          </cell>
          <cell r="G678" t="str">
            <v>1.TB.01.100.00</v>
          </cell>
          <cell r="J678" t="str">
            <v>Al Masaood Bergum L.L.C - Dubai Branch</v>
          </cell>
          <cell r="K678" t="str">
            <v>Site Offices and Welfare Facilities Design, Supply and Installation Package for AMAALA Triple Bay (Call off Order No: 013)</v>
          </cell>
        </row>
        <row r="679">
          <cell r="C679" t="str">
            <v>Village Boutique Hotel</v>
          </cell>
          <cell r="F679" t="str">
            <v>1TB01006C22</v>
          </cell>
          <cell r="G679" t="str">
            <v>1.TB.01.006.99</v>
          </cell>
          <cell r="J679" t="str">
            <v>Shandong Tiejun Electric Power Engineering Co. LTD. Branch</v>
          </cell>
          <cell r="K679" t="str">
            <v>Builders Works Package for Marina Lifestyle Hotel</v>
          </cell>
        </row>
        <row r="680">
          <cell r="C680" t="str">
            <v>Four Seasons Resort</v>
          </cell>
          <cell r="F680" t="str">
            <v>1TB02012C18</v>
          </cell>
          <cell r="G680" t="str">
            <v>1.TB.02.012.01</v>
          </cell>
          <cell r="J680" t="str">
            <v>Abdullah Saed Alsayed &amp; Partners Contracting Company LTD</v>
          </cell>
          <cell r="K680" t="str">
            <v>Builders Work (Wet Trade) Package for Four Seasons</v>
          </cell>
        </row>
        <row r="681">
          <cell r="C681" t="str">
            <v>Rosewood Resort</v>
          </cell>
          <cell r="F681" t="str">
            <v>1TB02011F07</v>
          </cell>
          <cell r="G681" t="str">
            <v>1.TB.02.011.99</v>
          </cell>
          <cell r="J681" t="str">
            <v>Elevator Systems Contracting Company (ESCCO)</v>
          </cell>
          <cell r="K681" t="str">
            <v>Supply and Installation of the Vertical Transportation System Works</v>
          </cell>
        </row>
        <row r="682">
          <cell r="C682" t="str">
            <v>Highways and Civils</v>
          </cell>
          <cell r="F682" t="str">
            <v>1RI12078C04</v>
          </cell>
          <cell r="G682" t="str">
            <v>1.RI.12.078.01</v>
          </cell>
          <cell r="J682" t="str">
            <v>Mofarreh Marzouq Al-Harbi &amp; Partners Co., Ltd.</v>
          </cell>
          <cell r="K682" t="str">
            <v>Primary Infrastructure Works for Staff Village</v>
          </cell>
        </row>
        <row r="683">
          <cell r="C683" t="str">
            <v xml:space="preserve">AMAALA Yacht Club </v>
          </cell>
          <cell r="F683" t="str">
            <v>1TB01003C08</v>
          </cell>
          <cell r="G683" t="str">
            <v>1.TB.01.003.01</v>
          </cell>
          <cell r="J683" t="str">
            <v>Abdulaziz Al Raqtan and Partners Company for Trading and Industry Company</v>
          </cell>
          <cell r="K683" t="str">
            <v>Kitchen &amp; Laundry Works</v>
          </cell>
        </row>
        <row r="684">
          <cell r="C684" t="str">
            <v>Rosewood Resort</v>
          </cell>
          <cell r="F684" t="str">
            <v>1TB02011C39</v>
          </cell>
          <cell r="G684" t="str">
            <v>1.TB.02.011.02</v>
          </cell>
          <cell r="J684" t="str">
            <v>Isam Kabbani and Partners for Construction and Maintenance Co.</v>
          </cell>
          <cell r="K684" t="str">
            <v>Roof Package for Rosewood</v>
          </cell>
        </row>
        <row r="685">
          <cell r="C685" t="str">
            <v>Medical Wellness</v>
          </cell>
          <cell r="F685" t="str">
            <v>1TB03008C21</v>
          </cell>
          <cell r="G685" t="str">
            <v>1.TB.03.008.01</v>
          </cell>
          <cell r="J685" t="str">
            <v>Hassan Allam Construction Saudi Limited</v>
          </cell>
          <cell r="K685" t="str">
            <v>MEP Works for Medical Wellness Resort &amp; Branded Residences</v>
          </cell>
        </row>
        <row r="686">
          <cell r="C686" t="str">
            <v>Marina Hotel 3</v>
          </cell>
          <cell r="F686" t="str">
            <v>1TB01009C12</v>
          </cell>
          <cell r="G686" t="str">
            <v>1.TB.01.009.01</v>
          </cell>
          <cell r="J686" t="str">
            <v>MAS Engineering &amp; Construction Company LTD</v>
          </cell>
          <cell r="K686" t="str">
            <v>Civil &amp; Concrete Works for Marina Hotel 3 - Phase 1</v>
          </cell>
        </row>
        <row r="687">
          <cell r="C687" t="str">
            <v>Marina Hotel 3</v>
          </cell>
          <cell r="F687" t="str">
            <v>1TB01009C17</v>
          </cell>
          <cell r="G687" t="str">
            <v>1.TB.01.009.01</v>
          </cell>
          <cell r="J687" t="str">
            <v>Hassan Allam Construction Saudi Limited</v>
          </cell>
          <cell r="K687" t="str">
            <v>Secondary Infrastructure Works for Marina Hotel 3</v>
          </cell>
        </row>
        <row r="688">
          <cell r="C688" t="str">
            <v>Six Senses Resort</v>
          </cell>
          <cell r="F688" t="str">
            <v>1TB02017C32</v>
          </cell>
          <cell r="G688" t="str">
            <v>1.TB.02.017.02</v>
          </cell>
          <cell r="J688" t="str">
            <v>Built Aluminum Factory (BAFCO)</v>
          </cell>
          <cell r="K688" t="str">
            <v>Aluminum &amp; Glazing Works for Six Senses Resort and Branded Residences</v>
          </cell>
        </row>
        <row r="689">
          <cell r="C689" t="str">
            <v>Six Senses Resort</v>
          </cell>
          <cell r="F689" t="str">
            <v>1TB02017C30</v>
          </cell>
          <cell r="G689" t="str">
            <v>1.TB.02.017.01</v>
          </cell>
          <cell r="J689" t="str">
            <v>Alec Saudi Engineering and Contracting Company</v>
          </cell>
          <cell r="K689" t="str">
            <v>Fit-out Works for Six Senses Resort</v>
          </cell>
        </row>
        <row r="690">
          <cell r="C690" t="str">
            <v>Six Senses Resort</v>
          </cell>
          <cell r="F690" t="str">
            <v>1TB02017C27</v>
          </cell>
          <cell r="G690" t="str">
            <v>1.TB.02.017.99</v>
          </cell>
          <cell r="J690" t="str">
            <v>Mounes Mohamed Al Shayeb and Partners for Civil Construction - MOBCO</v>
          </cell>
          <cell r="K690" t="str">
            <v>Secondary Infrastructure Construction for Six Senses</v>
          </cell>
        </row>
        <row r="691">
          <cell r="C691" t="str">
            <v>Six Senses Resort</v>
          </cell>
          <cell r="F691" t="str">
            <v>1TB02017C52</v>
          </cell>
          <cell r="G691" t="str">
            <v>1.TB.02.017.01</v>
          </cell>
          <cell r="J691" t="str">
            <v>Deemahstone Arabia</v>
          </cell>
          <cell r="K691" t="str">
            <v>Stone Package for Six Senses</v>
          </cell>
        </row>
        <row r="692">
          <cell r="C692" t="str">
            <v>Staff Village - Wide</v>
          </cell>
          <cell r="F692" t="str">
            <v>1SV10110C26</v>
          </cell>
          <cell r="G692" t="str">
            <v>1.SV.10.110.00</v>
          </cell>
          <cell r="J692" t="str">
            <v>Arab Supply &amp; Trading Co. (ASTRA Construction)</v>
          </cell>
          <cell r="K692" t="str">
            <v>Villas &amp; Townhouses Construction Works for AMAALA Staff Village - Zone 1 and Police and Fire Stations Construction Works for Zone 7</v>
          </cell>
        </row>
        <row r="693">
          <cell r="C693" t="str">
            <v>Four Seasons Resort</v>
          </cell>
          <cell r="F693" t="str">
            <v>1TB02012F08</v>
          </cell>
          <cell r="G693" t="str">
            <v>1.TB.02.012.99</v>
          </cell>
          <cell r="J693" t="str">
            <v>Elevator Systems Contracting Company (ESCCO)</v>
          </cell>
          <cell r="K693" t="str">
            <v>Supply and Installation of the Vertical Transportation System Works</v>
          </cell>
        </row>
        <row r="694">
          <cell r="C694" t="str">
            <v>Marina Lifestyle Hotel &amp; Village</v>
          </cell>
          <cell r="F694" t="str">
            <v>1TB01002C07</v>
          </cell>
          <cell r="G694" t="str">
            <v>1.TB.01.002.99</v>
          </cell>
          <cell r="J694" t="str">
            <v>Abdulaziz Al Raqtan and Partners Company for Trading and Industry Company</v>
          </cell>
          <cell r="K694" t="str">
            <v>Kitchen &amp; Laundry Works for Marina Lifestyle Hotel</v>
          </cell>
        </row>
        <row r="695">
          <cell r="C695" t="str">
            <v>Marina Lifestyle Hotel &amp; Village</v>
          </cell>
          <cell r="F695" t="str">
            <v>1TB01002C22</v>
          </cell>
          <cell r="G695" t="str">
            <v>1.TB.01.002.99</v>
          </cell>
          <cell r="J695" t="str">
            <v>Cleveland Bridge Steel Co. LTD</v>
          </cell>
          <cell r="K695" t="str">
            <v>Structural Steel Works</v>
          </cell>
        </row>
        <row r="696">
          <cell r="C696" t="str">
            <v>Integrative Wellness</v>
          </cell>
          <cell r="F696" t="str">
            <v>1TB03007C17</v>
          </cell>
          <cell r="G696" t="str">
            <v>1.TB.03.007.02</v>
          </cell>
          <cell r="J696" t="str">
            <v>Innovative Contractors for Advanced Dimensions (ICAD)</v>
          </cell>
          <cell r="K696" t="str">
            <v>ELV / ICT Works Package for Integrative and Medical Wellness</v>
          </cell>
        </row>
        <row r="697">
          <cell r="C697" t="str">
            <v>Village Boutique Hotel</v>
          </cell>
          <cell r="F697" t="str">
            <v>1TB01006C20</v>
          </cell>
          <cell r="G697" t="str">
            <v>1.TB.01.006.99</v>
          </cell>
          <cell r="J697" t="str">
            <v>Cleveland Bridge Steel Co. LTD</v>
          </cell>
          <cell r="K697" t="str">
            <v>Structural Steel Works for Village Boutique Hotel</v>
          </cell>
        </row>
        <row r="698">
          <cell r="C698" t="str">
            <v>Four Seasons Resort</v>
          </cell>
          <cell r="F698" t="str">
            <v>1TB02012C11</v>
          </cell>
          <cell r="G698" t="str">
            <v>1.TB.02.012.01</v>
          </cell>
          <cell r="J698" t="str">
            <v>Arabian Building Support and Rehabilitation Co. Ltd (ABSAR)</v>
          </cell>
          <cell r="K698" t="str">
            <v>Roof Package for Four Seasons</v>
          </cell>
        </row>
        <row r="699">
          <cell r="C699" t="str">
            <v>Medical Wellness</v>
          </cell>
          <cell r="F699" t="str">
            <v>1TB03008C20</v>
          </cell>
          <cell r="G699" t="str">
            <v>1.TB.03.008.01</v>
          </cell>
          <cell r="J699" t="str">
            <v>Fatayerji Contracting Company Ltd</v>
          </cell>
          <cell r="K699" t="str">
            <v>Substructure Concrete Works for Medical Wellness</v>
          </cell>
        </row>
        <row r="700">
          <cell r="C700" t="str">
            <v>Four Seasons Resort</v>
          </cell>
          <cell r="F700" t="str">
            <v>1TB02012C20</v>
          </cell>
          <cell r="G700" t="str">
            <v>1.TB.02.012.01</v>
          </cell>
          <cell r="J700" t="str">
            <v>Proscape International Contracting Company</v>
          </cell>
          <cell r="K700" t="str">
            <v>Hardscape Works Package for Four Seasons</v>
          </cell>
        </row>
        <row r="701">
          <cell r="C701" t="str">
            <v>AMAALA PPP Utilities</v>
          </cell>
          <cell r="F701" t="str">
            <v>1RI11074</v>
          </cell>
          <cell r="J701" t="str">
            <v>ERF/ASCE</v>
          </cell>
          <cell r="K701" t="str">
            <v>Utilities Concession Agreement (UCA)</v>
          </cell>
        </row>
        <row r="702">
          <cell r="C702" t="str">
            <v>Six Senses Resort</v>
          </cell>
          <cell r="F702" t="str">
            <v>1TB02017C43</v>
          </cell>
          <cell r="G702" t="str">
            <v>1.TB.02.017.01</v>
          </cell>
          <cell r="J702" t="str">
            <v>Isam Kabbani and Partners for Construction and Maintenance Co.</v>
          </cell>
          <cell r="K702" t="str">
            <v>Roof Package for Six Senses</v>
          </cell>
        </row>
        <row r="703">
          <cell r="C703" t="str">
            <v>Six Senses Resort</v>
          </cell>
          <cell r="F703" t="str">
            <v>1TB02017C50</v>
          </cell>
          <cell r="G703" t="str">
            <v>1.TB.02.017.01</v>
          </cell>
          <cell r="J703" t="str">
            <v>Elmar Marinas L.L.C</v>
          </cell>
          <cell r="K703" t="str">
            <v>Marine Structures Works for Six Senses</v>
          </cell>
        </row>
        <row r="704">
          <cell r="C704" t="str">
            <v>Six Senses Resort</v>
          </cell>
          <cell r="F704" t="str">
            <v>1TB02017C34</v>
          </cell>
          <cell r="G704" t="str">
            <v>1.TB.02.017.99</v>
          </cell>
          <cell r="J704" t="str">
            <v>Nesma United Industries Co. Ltd.</v>
          </cell>
          <cell r="K704" t="str">
            <v>Softscape Works for Six Senses Resort and Branded Residences</v>
          </cell>
        </row>
        <row r="705">
          <cell r="C705" t="str">
            <v>Six Senses Resort</v>
          </cell>
          <cell r="F705" t="str">
            <v>1TB02017C42</v>
          </cell>
          <cell r="G705" t="str">
            <v>1.TB.02.017.99</v>
          </cell>
          <cell r="J705" t="str">
            <v>Nesma United Industries Co. Ltd.</v>
          </cell>
          <cell r="K705" t="str">
            <v>Hardscape Works for Six Senses Resort and Branded Residences</v>
          </cell>
        </row>
        <row r="706">
          <cell r="C706" t="str">
            <v>Integrative Wellness</v>
          </cell>
          <cell r="F706" t="str">
            <v>1TB03007F02</v>
          </cell>
          <cell r="G706" t="str">
            <v>1.TB.03.007.01</v>
          </cell>
          <cell r="J706" t="str">
            <v>Elevator Systems Contracting Company (ESCCO)</v>
          </cell>
          <cell r="K706" t="str">
            <v>Supply and Installation of the Vertical Transportation System Works</v>
          </cell>
        </row>
        <row r="707">
          <cell r="C707" t="str">
            <v>Six Senses Resort</v>
          </cell>
          <cell r="F707" t="str">
            <v>1TB02017F17</v>
          </cell>
          <cell r="G707" t="str">
            <v>1.TB.02.017.01</v>
          </cell>
          <cell r="J707" t="str">
            <v>Al Masaood Bergum L.L.C - Dubai Branch</v>
          </cell>
          <cell r="K707" t="str">
            <v>Site Offices and Welfare Facilities Design, Supply and Installation Package for AMAALA Triple Bay (Call off Order No: 012)</v>
          </cell>
        </row>
        <row r="708">
          <cell r="C708" t="str">
            <v>Public Realm</v>
          </cell>
          <cell r="F708" t="str">
            <v>1TB04030C01</v>
          </cell>
          <cell r="G708" t="str">
            <v>1.TB.04.030.01</v>
          </cell>
          <cell r="J708" t="str">
            <v>Nabatat Contracting Company</v>
          </cell>
          <cell r="K708" t="str">
            <v>Public Realm Landscaping Works</v>
          </cell>
        </row>
        <row r="709">
          <cell r="C709" t="str">
            <v>Staff Village - Wide</v>
          </cell>
          <cell r="F709" t="str">
            <v>1SV10110C19</v>
          </cell>
          <cell r="G709" t="str">
            <v>1.SV.10.110.00</v>
          </cell>
          <cell r="J709" t="str">
            <v>Red Sea Landscape Nursery Company</v>
          </cell>
          <cell r="K709" t="str">
            <v>Landscape and Public Realm Works for the Zones 4, 5 and Right of Way at AMAALA Staff Village</v>
          </cell>
        </row>
        <row r="710">
          <cell r="C710" t="str">
            <v>Marina Lifestyle Hotel &amp; Village</v>
          </cell>
          <cell r="F710" t="str">
            <v>1TB01002C04</v>
          </cell>
          <cell r="G710" t="str">
            <v>1.TB.01.002.99</v>
          </cell>
          <cell r="J710" t="str">
            <v>Shapoorji Pallonji Mideast LLC</v>
          </cell>
          <cell r="K710" t="str">
            <v>MEP &amp; ICT / ELV Works for Marina Lifestyle Hotel</v>
          </cell>
        </row>
        <row r="711">
          <cell r="C711" t="str">
            <v>Village Boutique Hotel</v>
          </cell>
          <cell r="F711" t="str">
            <v>1TB01006C15</v>
          </cell>
          <cell r="G711" t="str">
            <v>1.TB.01.006.99</v>
          </cell>
          <cell r="J711" t="str">
            <v>Shapoorji Pallonji Mideast LLC</v>
          </cell>
          <cell r="K711" t="str">
            <v>MEP &amp; ICT / ELV Works for Village Boutique Hotel</v>
          </cell>
        </row>
        <row r="712">
          <cell r="C712" t="str">
            <v>Village Boutique Hotel</v>
          </cell>
          <cell r="F712" t="str">
            <v>1TB01006C06</v>
          </cell>
          <cell r="G712" t="str">
            <v>1.TB.01.006.99</v>
          </cell>
          <cell r="J712" t="str">
            <v>Abdulaziz Al Raqtan and Partners Company for Trading and Industry Company</v>
          </cell>
          <cell r="K712" t="str">
            <v>Kitchen and Laundry Works for Village Boutique Hotel</v>
          </cell>
        </row>
        <row r="713">
          <cell r="C713" t="str">
            <v>Ocean Golf Private Residences - Phase 1</v>
          </cell>
          <cell r="F713" t="str">
            <v>1TB05039C01</v>
          </cell>
          <cell r="G713" t="str">
            <v>1.TB.05.039.01</v>
          </cell>
          <cell r="J713" t="str">
            <v>Fatayerji Contracting Company Ltd</v>
          </cell>
          <cell r="K713" t="str">
            <v>Precast Concrete Works Package for the Ocean Golf Private Residence 1</v>
          </cell>
        </row>
        <row r="714">
          <cell r="C714" t="str">
            <v>Ridge Residences</v>
          </cell>
          <cell r="F714" t="str">
            <v>1TB06024C03</v>
          </cell>
          <cell r="G714" t="str">
            <v>1.TB.06.024.01</v>
          </cell>
          <cell r="J714" t="str">
            <v>Al-Ayuni Investment &amp; Contracting Company</v>
          </cell>
          <cell r="K714" t="str">
            <v>Bulk Earthworks Package for a Ridge Residences 1 - Wellness</v>
          </cell>
        </row>
        <row r="715">
          <cell r="C715" t="str">
            <v xml:space="preserve">AMAALA Yacht Club </v>
          </cell>
          <cell r="F715" t="str">
            <v>1TB01003C09</v>
          </cell>
          <cell r="G715" t="str">
            <v>1.TB.01.003.01</v>
          </cell>
          <cell r="J715" t="str">
            <v>DEPA Saudi Arabia for Contracting and Interior Decoration Co. Ltd</v>
          </cell>
          <cell r="K715" t="str">
            <v>Fit-out works for Amaala Yacht Club</v>
          </cell>
        </row>
        <row r="716">
          <cell r="C716" t="str">
            <v>The Marina</v>
          </cell>
          <cell r="F716" t="str">
            <v>1TB01031C12</v>
          </cell>
          <cell r="G716" t="str">
            <v>1.TB.01.031.01</v>
          </cell>
          <cell r="J716" t="str">
            <v>Alsaad General Contracting Co. Ltd</v>
          </cell>
          <cell r="K716" t="str">
            <v xml:space="preserve"> Construction of a Fixed Jetty</v>
          </cell>
        </row>
        <row r="717">
          <cell r="C717" t="str">
            <v>Integrative Wellness</v>
          </cell>
          <cell r="F717" t="str">
            <v>1TB03007C12</v>
          </cell>
          <cell r="G717" t="str">
            <v>1.TB.03.007.99</v>
          </cell>
          <cell r="J717" t="str">
            <v>Proscape International Contracting Company</v>
          </cell>
          <cell r="K717" t="str">
            <v>Pools, Spa and Water Features Works for Integrative and Medical Wellness</v>
          </cell>
        </row>
        <row r="718">
          <cell r="C718" t="str">
            <v>Rosewood Resort</v>
          </cell>
          <cell r="F718" t="str">
            <v>1TB02011C48</v>
          </cell>
          <cell r="G718" t="str">
            <v>1.TB.02.011.99</v>
          </cell>
          <cell r="J718" t="str">
            <v>Abdullah Bin Taleb Swimming Pools Company</v>
          </cell>
          <cell r="K718" t="str">
            <v>Pools and Water Features Works for Rosewood</v>
          </cell>
        </row>
        <row r="719">
          <cell r="C719" t="str">
            <v>Rosewood Resort</v>
          </cell>
          <cell r="F719" t="str">
            <v>1TB02011C41</v>
          </cell>
          <cell r="G719" t="str">
            <v>1.TB.02.011.01</v>
          </cell>
          <cell r="J719" t="str">
            <v>Saudi SALCO Contracting Co</v>
          </cell>
          <cell r="K719" t="str">
            <v>Softscape Works for Rosewood Resort and Branded Residences</v>
          </cell>
        </row>
        <row r="720">
          <cell r="C720" t="str">
            <v>Rosewood Resort</v>
          </cell>
          <cell r="F720" t="str">
            <v>1TB02011C45</v>
          </cell>
          <cell r="G720" t="str">
            <v>1.TB.02.011.99</v>
          </cell>
          <cell r="J720" t="str">
            <v>Saudi SALCO Contracting Co</v>
          </cell>
          <cell r="K720" t="str">
            <v>Hardscape Works for Rosewood Resort and Branded Residences</v>
          </cell>
        </row>
        <row r="721">
          <cell r="C721" t="str">
            <v>Four Seasons Resort</v>
          </cell>
          <cell r="F721" t="str">
            <v>1TB02012C05</v>
          </cell>
          <cell r="G721" t="str">
            <v>1.TB.02.012.05</v>
          </cell>
          <cell r="J721" t="str">
            <v>Saudi Icon</v>
          </cell>
          <cell r="K721" t="str">
            <v>Fitout Works Package for Four Seasons - Hotel &amp; Hotel Villas</v>
          </cell>
        </row>
        <row r="722">
          <cell r="C722" t="str">
            <v>Four Seasons Resort</v>
          </cell>
          <cell r="F722" t="str">
            <v>1TB02012C04</v>
          </cell>
          <cell r="G722" t="str">
            <v>1.TB.02.012.04</v>
          </cell>
          <cell r="J722" t="str">
            <v>Saudi Icon</v>
          </cell>
          <cell r="K722" t="str">
            <v xml:space="preserve">F&amp;B and Public Buildings Fit-out Works </v>
          </cell>
        </row>
        <row r="723">
          <cell r="C723" t="str">
            <v>Integrative Wellness</v>
          </cell>
          <cell r="F723" t="str">
            <v>1TB03007C34</v>
          </cell>
          <cell r="G723" t="str">
            <v>1.TB.03.007.99</v>
          </cell>
          <cell r="J723" t="str">
            <v>REDCON International Limited Company</v>
          </cell>
          <cell r="K723" t="str">
            <v>Hardscape Works for Wellness Core (Sitewide)</v>
          </cell>
        </row>
        <row r="724">
          <cell r="C724" t="str">
            <v>Four Seasons Resort</v>
          </cell>
          <cell r="F724" t="str">
            <v>1TB02012C31</v>
          </cell>
          <cell r="G724" t="str">
            <v>1.TB.02.012.01</v>
          </cell>
          <cell r="J724" t="str">
            <v>Built Aluminum Factory (BAFCO)</v>
          </cell>
          <cell r="K724" t="str">
            <v>Aluminum &amp; Glazing Works for Four Seasons Resort and Branded Residences</v>
          </cell>
        </row>
        <row r="725">
          <cell r="C725" t="str">
            <v>Four Seasons Resort</v>
          </cell>
          <cell r="F725" t="str">
            <v>1TB02012C12</v>
          </cell>
          <cell r="G725" t="str">
            <v>1.TB.02.012.01</v>
          </cell>
          <cell r="J725" t="str">
            <v>Elegancia Arabia Trading Company W.L.L</v>
          </cell>
          <cell r="K725" t="str">
            <v>Swimming Pools, Spa &amp; Water Features Works for Four Seasons Hotel and Branded Residences</v>
          </cell>
        </row>
        <row r="726">
          <cell r="C726" t="str">
            <v>The Marina</v>
          </cell>
          <cell r="F726" t="str">
            <v>1TB01031C10</v>
          </cell>
          <cell r="G726" t="str">
            <v>1.TB.01.031.10</v>
          </cell>
          <cell r="J726" t="str">
            <v xml:space="preserve">MME Marine Engineering LLC </v>
          </cell>
          <cell r="K726" t="str">
            <v>Design, Engineering, Procurement and Construction of Floating Pontoons for a The Marina at AMAALA Triple Bay</v>
          </cell>
        </row>
        <row r="727">
          <cell r="C727" t="str">
            <v>Marina Hotel 3</v>
          </cell>
          <cell r="F727" t="str">
            <v>1TB01009C19</v>
          </cell>
          <cell r="G727" t="str">
            <v>1.TB.01.009.01</v>
          </cell>
          <cell r="J727" t="str">
            <v>Hassan Allam Construction Saudi Limited</v>
          </cell>
          <cell r="K727" t="str">
            <v>Lime Rendering Works for Marina Hotel 3</v>
          </cell>
        </row>
        <row r="728">
          <cell r="C728" t="str">
            <v>Red Sea Marine Life Institute</v>
          </cell>
          <cell r="F728" t="str">
            <v>1TB01005C24</v>
          </cell>
          <cell r="G728" t="str">
            <v>1.TB.01.005.01</v>
          </cell>
          <cell r="J728" t="str">
            <v>Pangea Rocks A/S</v>
          </cell>
          <cell r="K728" t="str">
            <v>Grand Reveal Basin Fitout (Rock Theming)</v>
          </cell>
        </row>
        <row r="729">
          <cell r="C729" t="str">
            <v>Village Boutique Hotel</v>
          </cell>
          <cell r="F729" t="str">
            <v>1TB01006B01</v>
          </cell>
          <cell r="G729" t="str">
            <v>1.TB.01.006.99</v>
          </cell>
          <cell r="J729" t="str">
            <v>Modern Environmental Geotechnical for Contracting (MEGS)</v>
          </cell>
          <cell r="K729" t="str">
            <v>Triple Bay – Village Boutique Hotel – Design &amp; Construction of Reinforced Soil Slope &amp; Coastal Protection Works at Branded Villas.</v>
          </cell>
        </row>
        <row r="730">
          <cell r="C730" t="str">
            <v>Four Seasons Resort</v>
          </cell>
          <cell r="F730" t="str">
            <v>1TB02012C08</v>
          </cell>
          <cell r="G730" t="str">
            <v>1.TB.02.012.01</v>
          </cell>
          <cell r="J730" t="str">
            <v>Al Fanar Company</v>
          </cell>
          <cell r="K730" t="str">
            <v>MEP Works for Four Seasons Resort and Branded Residences</v>
          </cell>
        </row>
        <row r="731">
          <cell r="C731" t="str">
            <v>Rosewood Resort</v>
          </cell>
          <cell r="F731" t="str">
            <v>1TB02011C42</v>
          </cell>
          <cell r="G731" t="str">
            <v>1.TB.02.011.01</v>
          </cell>
          <cell r="J731" t="str">
            <v>Elegancia Arabia Trading Company W.L.L</v>
          </cell>
          <cell r="K731" t="str">
            <v>Fit-out Works for Rosewood</v>
          </cell>
        </row>
        <row r="732">
          <cell r="C732" t="str">
            <v>Integrative Wellness</v>
          </cell>
          <cell r="F732" t="str">
            <v>1TB03007C33</v>
          </cell>
          <cell r="G732" t="str">
            <v>1.TB.03.007.99</v>
          </cell>
          <cell r="J732" t="str">
            <v>Proscape International Contracting Company</v>
          </cell>
          <cell r="K732" t="str">
            <v>Softscape Works for Integrative, Medical &amp; Wellness Village</v>
          </cell>
        </row>
        <row r="733">
          <cell r="C733" t="str">
            <v>Rosewood Resort</v>
          </cell>
          <cell r="F733" t="str">
            <v>1TB02011C38</v>
          </cell>
          <cell r="G733" t="str">
            <v>1.TB.02.011.01</v>
          </cell>
          <cell r="J733" t="str">
            <v>Built Aluminum Factory (BAFCO)</v>
          </cell>
          <cell r="K733" t="str">
            <v>Aluminum &amp; Glazing Works for Rosewood Resort and Branded Residences</v>
          </cell>
        </row>
        <row r="734">
          <cell r="C734" t="str">
            <v>Four Seasons Resort</v>
          </cell>
          <cell r="F734" t="str">
            <v>1TB02012C09</v>
          </cell>
          <cell r="G734" t="str">
            <v>1.TB.02.012.01</v>
          </cell>
          <cell r="J734" t="str">
            <v>Deemahstone Arabia</v>
          </cell>
          <cell r="K734" t="str">
            <v>Stone Package for Four Seasons</v>
          </cell>
        </row>
        <row r="735">
          <cell r="C735" t="str">
            <v>Shared Facilities Hub</v>
          </cell>
          <cell r="F735" t="str">
            <v>1RI12073C03</v>
          </cell>
          <cell r="G735" t="str">
            <v>1.RI.12.073.01</v>
          </cell>
          <cell r="J735" t="str">
            <v>Saudi Real Estate Infrastructure Company (BINYAH)</v>
          </cell>
          <cell r="K735" t="str">
            <v>Secondary Infrastructure Works Package - Shared Facilities Hub</v>
          </cell>
        </row>
        <row r="736">
          <cell r="C736" t="str">
            <v>Highways and Civils</v>
          </cell>
          <cell r="F736" t="str">
            <v>1RI12078C03</v>
          </cell>
          <cell r="G736" t="str">
            <v>1.RI.12.078.01</v>
          </cell>
          <cell r="J736" t="str">
            <v>Al Enjaz Trading and Contracting Company</v>
          </cell>
          <cell r="K736" t="str">
            <v>Construction of Interchange Works for Staff Village</v>
          </cell>
        </row>
        <row r="737">
          <cell r="C737" t="str">
            <v>Ocean Golf Course &amp; Club House</v>
          </cell>
          <cell r="F737" t="str">
            <v>1TB05021C08</v>
          </cell>
          <cell r="G737" t="str">
            <v>1.TB.05.021.03</v>
          </cell>
          <cell r="J737" t="str">
            <v>Saudi SALCO Contracting Co</v>
          </cell>
          <cell r="K737" t="str">
            <v>Golf Course Secondary Earthmoving Works for a Ocean Golf Course</v>
          </cell>
        </row>
        <row r="738">
          <cell r="C738" t="str">
            <v>Four Seasons Resort</v>
          </cell>
          <cell r="F738" t="str">
            <v>1TB02012C19</v>
          </cell>
          <cell r="G738" t="str">
            <v>1.TB.02.012.01</v>
          </cell>
          <cell r="J738" t="str">
            <v>System Security Solutions Company</v>
          </cell>
          <cell r="K738" t="str">
            <v>ELV Works for Four Seasons Resort and Branded Residences</v>
          </cell>
        </row>
        <row r="739">
          <cell r="C739" t="str">
            <v>Village Boutique Hotel</v>
          </cell>
          <cell r="F739" t="str">
            <v>1TB01006C23</v>
          </cell>
          <cell r="G739" t="str">
            <v>1.TB.01.006.99</v>
          </cell>
          <cell r="J739" t="str">
            <v>REEM Emirates Company Limited</v>
          </cell>
          <cell r="K739" t="str">
            <v>Aluminum &amp; Glazing Works for Village Boutique Hotel</v>
          </cell>
        </row>
        <row r="740">
          <cell r="C740" t="str">
            <v>Marina Lifestyle Hotel &amp; Village</v>
          </cell>
          <cell r="F740" t="str">
            <v>1TB01002C24</v>
          </cell>
          <cell r="G740" t="str">
            <v>1.TB.01.002.99</v>
          </cell>
          <cell r="J740" t="str">
            <v>REEM Emirates Company Limited</v>
          </cell>
          <cell r="K740" t="str">
            <v>Aluminum &amp; Glazing works for Marina Lifestyle Hotel</v>
          </cell>
        </row>
        <row r="741">
          <cell r="C741" t="str">
            <v>Integrative Wellness</v>
          </cell>
          <cell r="F741" t="str">
            <v>1TB03007C36</v>
          </cell>
          <cell r="G741" t="str">
            <v>1.TB.03.007.03</v>
          </cell>
          <cell r="J741" t="str">
            <v>Arab Supply &amp; Trading Co. (ASTRA Construction)</v>
          </cell>
          <cell r="K741" t="str">
            <v>Concrete, Builders Works &amp; Waterproofing Package for Integrative Wellness Project</v>
          </cell>
        </row>
        <row r="742">
          <cell r="C742" t="str">
            <v>Medical Wellness</v>
          </cell>
          <cell r="F742" t="str">
            <v>1TB03008C22</v>
          </cell>
          <cell r="G742" t="str">
            <v>1.TB.03.008.01</v>
          </cell>
          <cell r="J742" t="str">
            <v>Fajr Construction Company</v>
          </cell>
          <cell r="K742" t="str">
            <v>Builders Works for Medical Wellness Resort and Branded Residences</v>
          </cell>
        </row>
        <row r="743">
          <cell r="C743" t="str">
            <v>Marina Village - Wide</v>
          </cell>
          <cell r="F743" t="str">
            <v>1TB01100C29</v>
          </cell>
          <cell r="G743" t="str">
            <v>1.TB.01.100.00</v>
          </cell>
          <cell r="J743" t="str">
            <v>Arab Supply &amp; Trading Co. (ASTRA Construction)</v>
          </cell>
          <cell r="K743" t="str">
            <v>AMAALA  Secondary Infrastructure Concrete Chambers MV Cabling  Dry  Wet Utilities South Corridor Works Package</v>
          </cell>
        </row>
        <row r="744">
          <cell r="C744" t="str">
            <v>Red Sea Marine Life Institute</v>
          </cell>
          <cell r="F744" t="str">
            <v>1TB01005C45</v>
          </cell>
          <cell r="G744" t="str">
            <v>1.TB.01.005.01</v>
          </cell>
          <cell r="J744" t="str">
            <v>OJEC ARABIA</v>
          </cell>
          <cell r="K744" t="str">
            <v>Relocation and Construction of Marine Life Operational Facility</v>
          </cell>
        </row>
        <row r="745">
          <cell r="C745" t="str">
            <v xml:space="preserve">AMAALA Yacht Club </v>
          </cell>
          <cell r="F745" t="str">
            <v>1TB01003C27</v>
          </cell>
          <cell r="G745" t="str">
            <v>1.TB.01.003.01</v>
          </cell>
          <cell r="J745" t="str">
            <v>Aluminium Technology Auxiliary Industries (Alutec) WLL</v>
          </cell>
          <cell r="K745" t="str">
            <v>Aluminium &amp; Glazing Works for the AMAALA Yacht Club</v>
          </cell>
        </row>
        <row r="746">
          <cell r="C746" t="str">
            <v>Civic Assets - Wide</v>
          </cell>
          <cell r="F746" t="str">
            <v>1TB09035C01</v>
          </cell>
          <cell r="G746" t="str">
            <v>1.TB.09.035.06</v>
          </cell>
          <cell r="J746" t="str">
            <v>MAS Engineering &amp; Construction Company LTD</v>
          </cell>
          <cell r="K746" t="str">
            <v>AMAALA Triple Bay – Civic Assets – Construction of Fire Station Package.</v>
          </cell>
        </row>
        <row r="747">
          <cell r="C747" t="str">
            <v>Four Seasons Resort</v>
          </cell>
          <cell r="F747" t="str">
            <v>1TB02012C21</v>
          </cell>
          <cell r="G747" t="str">
            <v>1.TB.02.012.01</v>
          </cell>
          <cell r="J747" t="str">
            <v>Initial Saudi Arabia Co Ltd</v>
          </cell>
          <cell r="K747" t="str">
            <v>Softscape Works Package for Four Seasons</v>
          </cell>
        </row>
        <row r="748">
          <cell r="C748" t="str">
            <v>Digital Infrastructure (ICT)</v>
          </cell>
          <cell r="F748" t="str">
            <v>1RI12072C05</v>
          </cell>
          <cell r="G748" t="str">
            <v>1.RI.12.072.01</v>
          </cell>
          <cell r="J748" t="str">
            <v>MAS Engineering &amp; Construction Company LTD</v>
          </cell>
          <cell r="K748" t="str">
            <v>Construction of Backup Operations Center (BUOC) and Micro Data Centers (MDC) .</v>
          </cell>
        </row>
        <row r="749">
          <cell r="C749" t="str">
            <v>Integrative Wellness</v>
          </cell>
          <cell r="F749" t="str">
            <v>1TB03007C18</v>
          </cell>
          <cell r="G749" t="str">
            <v>1.TB.03.007.99</v>
          </cell>
          <cell r="J749" t="str">
            <v>Chefs First International Contracting company</v>
          </cell>
          <cell r="K749" t="str">
            <v>Kitchen and Laundry Works for Medical &amp; Integrative Wellness</v>
          </cell>
        </row>
        <row r="750">
          <cell r="C750" t="str">
            <v>Marina Lifestyle Hotel &amp; Village</v>
          </cell>
          <cell r="F750" t="str">
            <v>1TB01002C50</v>
          </cell>
          <cell r="G750" t="str">
            <v>1.TB.01.002.99</v>
          </cell>
          <cell r="J750" t="str">
            <v>DOHA Extraco</v>
          </cell>
          <cell r="K750" t="str">
            <v>Building Envelope Works for Marina Lifestyle Hotel</v>
          </cell>
        </row>
        <row r="751">
          <cell r="C751" t="str">
            <v>Marina Lifestyle Hotel &amp; Village</v>
          </cell>
          <cell r="F751" t="str">
            <v>1TB01002C06</v>
          </cell>
          <cell r="G751" t="str">
            <v>1TB.01.002.99</v>
          </cell>
          <cell r="J751" t="str">
            <v>Havelock One Interiors WLL – KSA</v>
          </cell>
          <cell r="K751" t="str">
            <v>MLH - Havelock One Interiors Company - Fit-Out Works</v>
          </cell>
        </row>
        <row r="752">
          <cell r="C752" t="str">
            <v>Village Boutique Hotel</v>
          </cell>
          <cell r="F752" t="str">
            <v>1TB01006C42</v>
          </cell>
          <cell r="G752" t="str">
            <v>1.TB.01.006.99</v>
          </cell>
          <cell r="J752" t="str">
            <v>Havelock One Interiors Company</v>
          </cell>
          <cell r="K752" t="str">
            <v>Construction of Amaala Triple Bay Marina - Village Boutique Hotel Fit-Out Package 2</v>
          </cell>
        </row>
        <row r="753">
          <cell r="C753" t="str">
            <v>Ocean Golf Course &amp; Club House</v>
          </cell>
          <cell r="F753" t="str">
            <v>1TB05021C11</v>
          </cell>
          <cell r="G753" t="str">
            <v>1.TB.05.021.03</v>
          </cell>
          <cell r="J753" t="str">
            <v>Saudi SALCO Contracting Co</v>
          </cell>
          <cell r="K753" t="str">
            <v>AMAALA TB Ocean Golf Course – Secondary Infrastructure Works Package</v>
          </cell>
        </row>
        <row r="754">
          <cell r="C754" t="str">
            <v>Six Senses Resort</v>
          </cell>
          <cell r="F754" t="str">
            <v>1TB02017C37</v>
          </cell>
          <cell r="J754" t="str">
            <v>Voltas (Saudi Ensas)</v>
          </cell>
          <cell r="K754" t="str">
            <v>ELV Works</v>
          </cell>
        </row>
        <row r="755">
          <cell r="C755" t="str">
            <v>Six Senses Resort</v>
          </cell>
          <cell r="F755" t="str">
            <v>1TB02017C36</v>
          </cell>
          <cell r="J755" t="str">
            <v>Voltas (Saudi Ensas)</v>
          </cell>
          <cell r="K755" t="str">
            <v>MEP Works</v>
          </cell>
        </row>
        <row r="756">
          <cell r="C756" t="str">
            <v>Integrative Wellness</v>
          </cell>
          <cell r="F756" t="str">
            <v>1TB03007C23</v>
          </cell>
          <cell r="G756" t="str">
            <v>1.TB.03.007.01</v>
          </cell>
          <cell r="J756" t="str">
            <v>SIAB Aluminum Factory LTD</v>
          </cell>
          <cell r="K756" t="str">
            <v>Aluminium &amp; Glazing Works for Integrative Wellness</v>
          </cell>
        </row>
        <row r="757">
          <cell r="C757" t="str">
            <v>Six Senses Resort</v>
          </cell>
          <cell r="F757" t="str">
            <v>1TB02017C38</v>
          </cell>
          <cell r="G757" t="str">
            <v>1.TB.02.017.01</v>
          </cell>
          <cell r="J757" t="str">
            <v>Chefs First International Contracting company</v>
          </cell>
          <cell r="K757" t="str">
            <v>Kitchen and Laundry Works for Six Senses Resort</v>
          </cell>
        </row>
        <row r="758">
          <cell r="C758" t="str">
            <v>Medical Wellness</v>
          </cell>
          <cell r="F758" t="str">
            <v>1TB03008C23</v>
          </cell>
          <cell r="G758" t="str">
            <v>1.TB.03.008.01</v>
          </cell>
          <cell r="J758" t="str">
            <v>Gulf Crete Co. Ltd</v>
          </cell>
          <cell r="K758" t="str">
            <v>Waterproofing Works Package for Medical Wellness</v>
          </cell>
        </row>
        <row r="759">
          <cell r="C759" t="str">
            <v>Medical Wellness</v>
          </cell>
          <cell r="F759" t="str">
            <v>1TB03008C24</v>
          </cell>
          <cell r="G759" t="str">
            <v>1.TB.03.008.01</v>
          </cell>
          <cell r="J759" t="str">
            <v>Professional Builders Company (PBC)</v>
          </cell>
          <cell r="K759" t="str">
            <v>Aluminium &amp; Glazing Works for Medical Wellness</v>
          </cell>
        </row>
        <row r="760">
          <cell r="C760" t="str">
            <v>Red Sea Marine Life Institute</v>
          </cell>
          <cell r="F760" t="str">
            <v>1TB01005C11</v>
          </cell>
          <cell r="G760" t="str">
            <v>1.TB.01.005.01</v>
          </cell>
          <cell r="J760" t="str">
            <v>Alec Saudi Engineering and Contracting Company</v>
          </cell>
          <cell r="K760" t="str">
            <v>Fit Out Works for Red Sea Marine Life Institute</v>
          </cell>
        </row>
        <row r="761">
          <cell r="C761" t="str">
            <v>Marina Hotel 3</v>
          </cell>
          <cell r="F761" t="str">
            <v>1TB01009C04</v>
          </cell>
          <cell r="G761" t="str">
            <v>1.TB.01.009.01</v>
          </cell>
          <cell r="J761" t="str">
            <v>Arabian Tile Company</v>
          </cell>
          <cell r="K761" t="str">
            <v>Building Envelope GRC Works Package for Marina Hotel 3</v>
          </cell>
        </row>
        <row r="762">
          <cell r="C762" t="str">
            <v>Rosewood Resort</v>
          </cell>
          <cell r="F762" t="str">
            <v>1TB02011C46</v>
          </cell>
          <cell r="G762" t="str">
            <v>1.TB.02.011.01</v>
          </cell>
          <cell r="J762" t="str">
            <v>Valencia Marble Factory LLC</v>
          </cell>
          <cell r="K762" t="str">
            <v>Stone Cladding Package for Rosewood</v>
          </cell>
        </row>
        <row r="763">
          <cell r="C763" t="str">
            <v>Digital Infrastructure (ICT)</v>
          </cell>
          <cell r="F763" t="str">
            <v>1RI12072C07</v>
          </cell>
          <cell r="G763" t="str">
            <v>1.RI.12.072.01</v>
          </cell>
          <cell r="J763" t="str">
            <v>Emaar Executive Information Technology Company</v>
          </cell>
          <cell r="K763" t="str">
            <v>Construction of Backup Operations Center (BUOC) and Micro Data Centers (MDCs)</v>
          </cell>
        </row>
        <row r="764">
          <cell r="C764" t="str">
            <v>Staff Village - Wide</v>
          </cell>
          <cell r="F764" t="str">
            <v>1SV10110C25</v>
          </cell>
          <cell r="G764" t="str">
            <v>1.SV.10.110.00</v>
          </cell>
          <cell r="J764" t="str">
            <v>SIAC International for Contracting Company - LLC (One Partner)</v>
          </cell>
          <cell r="K764" t="str">
            <v>Support Assets and Tertiary Infrastructure for AMAALA Staff Village Zone 5</v>
          </cell>
        </row>
        <row r="765">
          <cell r="C765" t="str">
            <v>Medical Wellness</v>
          </cell>
          <cell r="F765" t="str">
            <v>1TB03008C08</v>
          </cell>
          <cell r="G765" t="str">
            <v>1.TB.03.008.01</v>
          </cell>
          <cell r="J765" t="str">
            <v>IMAR Overseas Saudi Arabia Co. W.L.L</v>
          </cell>
          <cell r="K765" t="str">
            <v>Fit-out Works for Medical Wellness</v>
          </cell>
        </row>
        <row r="766">
          <cell r="C766" t="str">
            <v>Integrative Wellness</v>
          </cell>
          <cell r="F766" t="str">
            <v>1TB03007C11</v>
          </cell>
          <cell r="G766" t="str">
            <v>1.TB.03.007.01</v>
          </cell>
          <cell r="J766" t="str">
            <v>IMAR Overseas Saudi Arabia Co. W.L.L</v>
          </cell>
          <cell r="K766" t="str">
            <v>Fit-out Works for Integrative Wellness</v>
          </cell>
        </row>
        <row r="767">
          <cell r="C767" t="str">
            <v>Civic Assets - Wide</v>
          </cell>
          <cell r="F767" t="str">
            <v>1TB09035C02</v>
          </cell>
          <cell r="G767" t="str">
            <v>1.TB.09.035.00</v>
          </cell>
          <cell r="J767" t="str">
            <v>BEC Arabia Contracting Company</v>
          </cell>
          <cell r="K767" t="str">
            <v>Construction works for AMAALA Civic Assets at Triple Bay</v>
          </cell>
        </row>
        <row r="768">
          <cell r="C768" t="str">
            <v>Medical Wellness</v>
          </cell>
          <cell r="F768" t="str">
            <v>1TB03008C32</v>
          </cell>
          <cell r="G768" t="str">
            <v>1.TB.03.008.01</v>
          </cell>
          <cell r="J768" t="str">
            <v>Fatayerji Contracting Company Ltd</v>
          </cell>
          <cell r="K768" t="str">
            <v xml:space="preserve">Superstructure Concrete Works for Medical Wellness </v>
          </cell>
        </row>
        <row r="769">
          <cell r="C769" t="str">
            <v>Shared Facilities Hub</v>
          </cell>
          <cell r="F769" t="str">
            <v>1RI12073C05</v>
          </cell>
          <cell r="G769" t="str">
            <v>1.RI.12.073.01</v>
          </cell>
          <cell r="J769" t="str">
            <v>Saudi Amana Contracting Co. Ltd</v>
          </cell>
          <cell r="K769" t="str">
            <v>Construction of Mobility Transportation Hub and Estate Management Center Works of Amaala Shared Facilities Hub – Package</v>
          </cell>
        </row>
        <row r="770">
          <cell r="C770" t="str">
            <v>Four Seasons Resort</v>
          </cell>
          <cell r="F770" t="str">
            <v>1TB02012C32</v>
          </cell>
          <cell r="G770" t="str">
            <v>1.TB.02.012.01</v>
          </cell>
          <cell r="J770" t="str">
            <v>Mahmoud Yousef Adada &amp; Issam Kabbani &amp; Partner Co. Ltd.</v>
          </cell>
          <cell r="K770" t="str">
            <v>Timber Cladding and Canopies Works for a Four Seasons Resort</v>
          </cell>
        </row>
        <row r="771">
          <cell r="C771" t="str">
            <v>Marina Hotel 3</v>
          </cell>
          <cell r="F771" t="str">
            <v>1TB01009C34</v>
          </cell>
          <cell r="G771" t="str">
            <v>1.TB.01.009.01</v>
          </cell>
          <cell r="J771" t="str">
            <v>Deemahstone Arabia</v>
          </cell>
          <cell r="K771" t="str">
            <v>Building Envelope Limestone Works for Marina Hotel 3</v>
          </cell>
        </row>
        <row r="772">
          <cell r="C772" t="str">
            <v>Four Seasons Resort</v>
          </cell>
          <cell r="F772" t="str">
            <v>1TB02012C72</v>
          </cell>
          <cell r="G772" t="str">
            <v>1.TB.02.012.02</v>
          </cell>
          <cell r="J772" t="str">
            <v>Medtel W.N</v>
          </cell>
          <cell r="K772" t="str">
            <v>Fitout Works Package for a Four Seasons - Branded Residence &amp; Club House</v>
          </cell>
        </row>
        <row r="773">
          <cell r="C773" t="str">
            <v>Integrative Wellness</v>
          </cell>
          <cell r="F773" t="str">
            <v>1TB03007C47</v>
          </cell>
          <cell r="G773" t="str">
            <v>1.TB.03.007.99</v>
          </cell>
          <cell r="J773" t="str">
            <v>Suruh Alamara Trading Company</v>
          </cell>
          <cell r="K773" t="str">
            <v>Internal Stone Works/Finishes at Amaala Triple Way</v>
          </cell>
        </row>
        <row r="774">
          <cell r="C774" t="str">
            <v>Staff Village - Wide</v>
          </cell>
          <cell r="F774" t="str">
            <v>1SV10110C15</v>
          </cell>
          <cell r="G774" t="str">
            <v>1.SV.10.110.00</v>
          </cell>
          <cell r="J774" t="str">
            <v>SIAC International for Contracting Company - LLC (One Partner)</v>
          </cell>
          <cell r="K774" t="str">
            <v>School for AMAALA Staff Village Zone 3</v>
          </cell>
        </row>
        <row r="775">
          <cell r="C775" t="str">
            <v>Marina Hotel 3</v>
          </cell>
          <cell r="F775" t="str">
            <v>1TB01009C13</v>
          </cell>
          <cell r="G775" t="str">
            <v>1.TB.01.009.01</v>
          </cell>
          <cell r="J775" t="str">
            <v>Aluminium Technology Auxiliary Industries (Alutec) WLL</v>
          </cell>
          <cell r="K775" t="str">
            <v>Aluminium &amp; Glazing Works for Marina Hotel 3</v>
          </cell>
        </row>
        <row r="776">
          <cell r="C776" t="str">
            <v>Staff Village - Wide</v>
          </cell>
          <cell r="F776" t="str">
            <v>1SV10110C65</v>
          </cell>
          <cell r="G776" t="str">
            <v>1.SV.10.110.00</v>
          </cell>
          <cell r="J776" t="str">
            <v>System Security Solutions Co.</v>
          </cell>
          <cell r="K776" t="str">
            <v>Secondary Infrastructure Fiber Optic Cabling Works at AMAALA Staff Village</v>
          </cell>
        </row>
        <row r="777">
          <cell r="C777" t="str">
            <v>Medical Wellness</v>
          </cell>
          <cell r="F777" t="str">
            <v>1TB03008C15</v>
          </cell>
          <cell r="G777" t="str">
            <v>1.TB.03.008.01</v>
          </cell>
          <cell r="J777" t="str">
            <v>System Security Solutions Company</v>
          </cell>
          <cell r="K777" t="str">
            <v>ELV Works for Medical Wellness Resort &amp; Branded Residences</v>
          </cell>
        </row>
        <row r="778">
          <cell r="C778" t="str">
            <v>Medical Wellness</v>
          </cell>
          <cell r="F778" t="str">
            <v>1TB03008C42</v>
          </cell>
          <cell r="G778" t="str">
            <v>1.TB.03.008.01</v>
          </cell>
          <cell r="J778" t="str">
            <v>Rawabi Specialized Construction Company</v>
          </cell>
          <cell r="K778" t="str">
            <v>Interior Timber Works (Joinery) First in Place (FIP)</v>
          </cell>
        </row>
        <row r="779">
          <cell r="C779" t="str">
            <v>Medical Wellness</v>
          </cell>
          <cell r="F779" t="str">
            <v>1TB03008C40</v>
          </cell>
          <cell r="G779" t="str">
            <v>1.TB.03.008.01</v>
          </cell>
          <cell r="J779" t="str">
            <v xml:space="preserve">Gulf Business Horizon for General Contracting Co. Ltd. </v>
          </cell>
          <cell r="K779" t="str">
            <v>exterior timber first in place (FIP) mock-up works</v>
          </cell>
        </row>
        <row r="780">
          <cell r="C780" t="str">
            <v>Integrative Wellness</v>
          </cell>
          <cell r="F780" t="str">
            <v>1TB03007C49</v>
          </cell>
          <cell r="G780" t="str">
            <v>1.TB.03.007.99</v>
          </cell>
          <cell r="J780" t="str">
            <v>Jabal Construction General Contracting Co.</v>
          </cell>
          <cell r="K780" t="str">
            <v>AMAALA Triple Bay – Wellness Core-Stamped Concrete</v>
          </cell>
        </row>
        <row r="781">
          <cell r="C781" t="str">
            <v>Medical Wellness</v>
          </cell>
          <cell r="F781" t="str">
            <v>1TB03008F05</v>
          </cell>
          <cell r="G781" t="str">
            <v>1.TB.03.008.99</v>
          </cell>
          <cell r="J781" t="str">
            <v>OTIS Elevator Co. SA Ltd</v>
          </cell>
          <cell r="K781" t="str">
            <v>Supply and Installation of the Vertical Transportation System Works</v>
          </cell>
        </row>
        <row r="782">
          <cell r="C782" t="str">
            <v>Medical Wellness</v>
          </cell>
          <cell r="F782" t="str">
            <v>1TB03008C50</v>
          </cell>
          <cell r="G782" t="str">
            <v>1.TB.03.008.01</v>
          </cell>
          <cell r="J782" t="str">
            <v>Interwood Mobel Pvt Ltd</v>
          </cell>
          <cell r="K782" t="str">
            <v>Exterior timber first in place (FIP) mock-up works for a Medical
Wellness Branded Residences</v>
          </cell>
        </row>
        <row r="783">
          <cell r="C783" t="str">
            <v>The Marina</v>
          </cell>
          <cell r="F783" t="str">
            <v>1TB01031C15</v>
          </cell>
          <cell r="G783" t="str">
            <v>1.TB.01.031.01</v>
          </cell>
          <cell r="J783" t="str">
            <v>Elmar Marinas Khaleej LLC</v>
          </cell>
          <cell r="K783" t="str">
            <v>Constructing Boardwalks &amp; Jetties for Hijaz Island at Amaala
Development</v>
          </cell>
        </row>
        <row r="784">
          <cell r="C784" t="str">
            <v>Village Boutique Hotel</v>
          </cell>
          <cell r="F784" t="str">
            <v>1TB01006C05</v>
          </cell>
          <cell r="G784" t="str">
            <v>1.TB.01.006.99</v>
          </cell>
          <cell r="J784" t="str">
            <v>DEPA Saudi Arabia for Contracting and Interior Decoration Co. Ltd</v>
          </cell>
          <cell r="K784" t="str">
            <v xml:space="preserve">Fit out works for Village Boutique Hotel </v>
          </cell>
        </row>
        <row r="785">
          <cell r="C785" t="str">
            <v>Rosewood Resort</v>
          </cell>
          <cell r="F785" t="str">
            <v>1TB02011C51</v>
          </cell>
          <cell r="G785" t="str">
            <v>1.TB.02.011.01</v>
          </cell>
          <cell r="J785" t="str">
            <v>Elenco General Trading Company Branch</v>
          </cell>
          <cell r="K785" t="str">
            <v>Kitchen and Laundry Works for Rosewood Resort</v>
          </cell>
        </row>
        <row r="786">
          <cell r="C786" t="str">
            <v>Digital Infrastructure (ICT)</v>
          </cell>
          <cell r="F786" t="str">
            <v>1RI12072C03</v>
          </cell>
          <cell r="G786" t="str">
            <v>1.RI.12.072.01</v>
          </cell>
          <cell r="J786" t="str">
            <v>Saudi Business Machines LTD</v>
          </cell>
          <cell r="K786" t="str">
            <v>Fiber Optic Cable &amp; Infrastructure Works for Regional Infrastructure</v>
          </cell>
        </row>
        <row r="787">
          <cell r="C787" t="str">
            <v>Red Sea Marine Life Institute</v>
          </cell>
          <cell r="F787" t="str">
            <v>1TB01005C26</v>
          </cell>
          <cell r="G787" t="str">
            <v>1.TB.01.005.01</v>
          </cell>
          <cell r="J787" t="str">
            <v>Building Knowledge General Contracting Company LLC (BK Gulf)</v>
          </cell>
          <cell r="K787" t="str">
            <v>Construction Contract - MEP including Tertiary Infrastructure, Grand Reveal Basin MEP, MEP Systems, Acclimation Areas Works</v>
          </cell>
        </row>
        <row r="788">
          <cell r="C788" t="str">
            <v>Four Seasons Resort</v>
          </cell>
          <cell r="F788" t="str">
            <v>1TB02012F05</v>
          </cell>
          <cell r="G788" t="str">
            <v>1.TB.02.012.99</v>
          </cell>
          <cell r="J788" t="str">
            <v>Zahid Tractor &amp; Heavy Machinery Company Ltd</v>
          </cell>
          <cell r="K788" t="str">
            <v>Call Off Order for Generators (Call off Order No: 001)</v>
          </cell>
        </row>
        <row r="789">
          <cell r="C789" t="str">
            <v>Rosewood Resort</v>
          </cell>
          <cell r="F789" t="str">
            <v>1TB02011F06</v>
          </cell>
          <cell r="G789" t="str">
            <v>1.TB.02.011.99</v>
          </cell>
          <cell r="J789" t="str">
            <v>Zahid Tractor &amp; Heavy Machinery Company Ltd</v>
          </cell>
          <cell r="K789" t="str">
            <v>Call Off Order for Generators (Call off Order No: 002)</v>
          </cell>
        </row>
        <row r="790">
          <cell r="C790" t="str">
            <v>Six Senses Resort</v>
          </cell>
          <cell r="F790" t="str">
            <v>1TB02017F08</v>
          </cell>
          <cell r="G790" t="str">
            <v>1.TB.02.017.99</v>
          </cell>
          <cell r="J790" t="str">
            <v>Zahid Tractor &amp; Heavy Machinery Company Ltd</v>
          </cell>
          <cell r="K790" t="str">
            <v>Call Off Order for Generators (Call off Order No: 003)</v>
          </cell>
        </row>
        <row r="791">
          <cell r="C791" t="str">
            <v>Marina Village - Wide</v>
          </cell>
          <cell r="F791" t="str">
            <v>1TB01100F06</v>
          </cell>
          <cell r="G791" t="str">
            <v>1.TB.01.100.00</v>
          </cell>
          <cell r="J791" t="str">
            <v>Zahid Tractor &amp; Heavy Machinery Company Ltd</v>
          </cell>
          <cell r="K791" t="str">
            <v>Call Off Order for Generators (Call off Order No: 004)</v>
          </cell>
        </row>
        <row r="792">
          <cell r="C792" t="str">
            <v>Wellness Core - Wide</v>
          </cell>
          <cell r="F792" t="str">
            <v>1TB03300F05</v>
          </cell>
          <cell r="G792" t="str">
            <v>1.TB.03.300.00</v>
          </cell>
          <cell r="J792" t="str">
            <v>Zahid Tractor &amp; Heavy Machinery Company Ltd</v>
          </cell>
          <cell r="K792" t="str">
            <v>Call Off Order for Generators (Call off Order No: 005)</v>
          </cell>
        </row>
        <row r="793">
          <cell r="C793" t="str">
            <v>Marina Lifestyle Hotel &amp; Village</v>
          </cell>
          <cell r="F793" t="str">
            <v>1TB01002F04</v>
          </cell>
          <cell r="G793" t="str">
            <v>1.TB.01.002.99</v>
          </cell>
          <cell r="J793" t="str">
            <v>Elevator Systems Contracting Company (ESCCO)</v>
          </cell>
          <cell r="K793" t="str">
            <v>Supply and Installation of the Vertical Transportation System Works</v>
          </cell>
        </row>
        <row r="794">
          <cell r="C794" t="str">
            <v>Staff Village - Wide</v>
          </cell>
          <cell r="F794" t="str">
            <v>1SV10110C16</v>
          </cell>
          <cell r="G794" t="str">
            <v>1.SV.10.110.00</v>
          </cell>
          <cell r="J794" t="str">
            <v>Saudi Amana Contracting Co. Ltd</v>
          </cell>
          <cell r="K794" t="str">
            <v>Residential Buildings Works Package for AMAALA Staff Village - Zone 5</v>
          </cell>
        </row>
        <row r="795">
          <cell r="C795" t="str">
            <v>Staff Village - Wide</v>
          </cell>
          <cell r="F795" t="str">
            <v>1SV10110C28</v>
          </cell>
          <cell r="G795" t="str">
            <v>1.SV.10.110.00</v>
          </cell>
          <cell r="J795" t="str">
            <v>Arab Supply &amp; Trading Co. (ASTRA Construction)</v>
          </cell>
          <cell r="K795" t="str">
            <v>Business Hotel Works Package for AMAALA Staff Village - Zone 2</v>
          </cell>
        </row>
        <row r="796">
          <cell r="C796" t="str">
            <v>Red Sea Marine Life Institute</v>
          </cell>
          <cell r="F796" t="str">
            <v>1TB01005C25</v>
          </cell>
          <cell r="G796" t="str">
            <v>1.TB.01.005.01</v>
          </cell>
          <cell r="J796" t="str">
            <v>MAT Filtrasyon Teknolojileri A.S.</v>
          </cell>
          <cell r="K796" t="str">
            <v>Life Support System (LSS) Works</v>
          </cell>
        </row>
        <row r="797">
          <cell r="C797" t="str">
            <v>Six Senses Resort</v>
          </cell>
          <cell r="F797" t="str">
            <v>1TB02017C51</v>
          </cell>
          <cell r="G797" t="str">
            <v>1.TB.02.017.01</v>
          </cell>
          <cell r="J797" t="str">
            <v>Abdullah Bin Taleb Swimming Pools Company</v>
          </cell>
          <cell r="K797" t="str">
            <v>Pools, Spa and Water Features Works for Six Senses</v>
          </cell>
        </row>
        <row r="798">
          <cell r="C798" t="str">
            <v>Public Realm</v>
          </cell>
          <cell r="F798" t="str">
            <v>1TB04030C16</v>
          </cell>
          <cell r="G798" t="str">
            <v>1.TB.04.030.01</v>
          </cell>
          <cell r="J798" t="str">
            <v>Pack Manufacturing Inc.</v>
          </cell>
          <cell r="K798" t="str">
            <v>Supply and Installation, Testing and Commissioning of 2 Nos. Portable / Movable Inline Soil Mixing Systems</v>
          </cell>
        </row>
        <row r="799">
          <cell r="C799" t="str">
            <v>Village Boutique Hotel</v>
          </cell>
          <cell r="F799" t="str">
            <v>1TB01006F02</v>
          </cell>
          <cell r="G799" t="str">
            <v>1.TB.01.006.99</v>
          </cell>
          <cell r="J799" t="str">
            <v>Elevator Systems Contracting Company (ESCCO)</v>
          </cell>
          <cell r="K799" t="str">
            <v>Supply and Installation of the Vertical Transportation System Works</v>
          </cell>
        </row>
        <row r="800">
          <cell r="C800" t="str">
            <v>Red Sea Marine Life Institute</v>
          </cell>
          <cell r="F800" t="str">
            <v>1TB01005C31</v>
          </cell>
          <cell r="G800" t="str">
            <v>1.TB.01.005.01</v>
          </cell>
          <cell r="J800" t="str">
            <v>Advance Aquarium Technologies (HK2) Limited</v>
          </cell>
          <cell r="K800" t="str">
            <v>Specialist Acrylic Glazing - Greand Reveal Viewing Panel</v>
          </cell>
        </row>
        <row r="801">
          <cell r="C801" t="str">
            <v>Six Senses Resort</v>
          </cell>
          <cell r="F801" t="str">
            <v>1TB02017F10</v>
          </cell>
          <cell r="G801" t="str">
            <v>1.TB.02.017.01</v>
          </cell>
          <cell r="J801" t="str">
            <v>Elevator Systems Contracting Company (ESCCO)</v>
          </cell>
          <cell r="K801" t="str">
            <v>Supply and Installation of the Vertical Transportation System Works</v>
          </cell>
        </row>
        <row r="802">
          <cell r="C802" t="str">
            <v>Four Seasons Resort</v>
          </cell>
          <cell r="F802" t="str">
            <v>1TB02012F15</v>
          </cell>
          <cell r="G802" t="str">
            <v>1.TB.02.012.99</v>
          </cell>
          <cell r="J802" t="str">
            <v>Al Masaood Bergum L.L.C - Dubai Branch</v>
          </cell>
          <cell r="K802" t="str">
            <v>Site Offices and Welfare Facilities Design, Supply and Installation Package for AMAALA Triple Bay (Call off Order No: 011)</v>
          </cell>
        </row>
        <row r="803">
          <cell r="C803" t="str">
            <v>Rosewood Resort</v>
          </cell>
          <cell r="F803" t="str">
            <v>1TB02011F13</v>
          </cell>
          <cell r="G803" t="str">
            <v>1.TB.02.011.01</v>
          </cell>
          <cell r="J803" t="str">
            <v>Al Masaood Bergum L.L.C - Dubai Branch</v>
          </cell>
          <cell r="K803" t="str">
            <v>Site Offices and Welfare Facilities Design, Supply and Installation Package for AMAALA Triple Bay (Call off Order No: 014)</v>
          </cell>
        </row>
        <row r="804">
          <cell r="C804" t="str">
            <v>Triple Bay Construction Logistics</v>
          </cell>
          <cell r="F804" t="str">
            <v>1TB04034F02</v>
          </cell>
          <cell r="G804" t="str">
            <v>1.TB.04.034.01</v>
          </cell>
          <cell r="J804" t="str">
            <v>Nesma United Industries Co. Ltd.</v>
          </cell>
          <cell r="K804" t="str">
            <v>Water Supply (Tankering)</v>
          </cell>
        </row>
        <row r="805">
          <cell r="C805" t="str">
            <v>Village Boutique Hotel</v>
          </cell>
          <cell r="F805" t="str">
            <v>1TB01006C16</v>
          </cell>
          <cell r="G805" t="str">
            <v>1.TB.01.006.99</v>
          </cell>
          <cell r="J805" t="str">
            <v>Station for Contracting Co Ltd.</v>
          </cell>
          <cell r="K805" t="str">
            <v>Building Envelope Works for Village Boutique Hotel</v>
          </cell>
        </row>
        <row r="806">
          <cell r="C806" t="str">
            <v>Red Sea Marine Life Institute</v>
          </cell>
          <cell r="F806" t="str">
            <v>1TB01005C33</v>
          </cell>
          <cell r="G806" t="str">
            <v>1.TB.01.005.01</v>
          </cell>
          <cell r="J806" t="str">
            <v>Clax International LLC</v>
          </cell>
          <cell r="K806" t="str">
            <v>Central Dome Exhibit Package</v>
          </cell>
        </row>
        <row r="807">
          <cell r="C807" t="str">
            <v>Triple Bay Construction Logistics</v>
          </cell>
          <cell r="F807" t="str">
            <v>1TB04034B05</v>
          </cell>
          <cell r="G807" t="str">
            <v>1.TB.04.034.01</v>
          </cell>
          <cell r="J807" t="str">
            <v>Pipeco Water Tanks Company</v>
          </cell>
          <cell r="K807" t="str">
            <v>Supply and Installation of GRP Tanks</v>
          </cell>
        </row>
        <row r="808">
          <cell r="C808" t="str">
            <v>Public Realm</v>
          </cell>
          <cell r="F808" t="str">
            <v>1TB04030C17</v>
          </cell>
          <cell r="G808" t="str">
            <v>1.TB.04.030.02</v>
          </cell>
          <cell r="J808" t="str">
            <v>Al Ryum Trading Establishment</v>
          </cell>
          <cell r="K808" t="str">
            <v>Plant Supply Package</v>
          </cell>
        </row>
        <row r="809">
          <cell r="C809" t="str">
            <v>Public Realm</v>
          </cell>
          <cell r="F809" t="str">
            <v>1TB04030C18</v>
          </cell>
          <cell r="G809" t="str">
            <v>1.TB.04.030.02</v>
          </cell>
          <cell r="J809" t="str">
            <v>Wahat Al Sahraa (Desert Oasis Nursery)</v>
          </cell>
          <cell r="K809" t="str">
            <v>Plant Supply Package</v>
          </cell>
        </row>
        <row r="810">
          <cell r="C810" t="str">
            <v>Public Realm</v>
          </cell>
          <cell r="F810" t="str">
            <v>1TB04030C20</v>
          </cell>
          <cell r="G810" t="str">
            <v>1.TB.04.030.02</v>
          </cell>
          <cell r="J810" t="str">
            <v>Jasmine Meadows Agricultural Co.</v>
          </cell>
          <cell r="K810" t="str">
            <v>Plant Supply Package</v>
          </cell>
        </row>
        <row r="811">
          <cell r="C811" t="str">
            <v>Public Realm</v>
          </cell>
          <cell r="F811" t="str">
            <v>1TB04030C21</v>
          </cell>
          <cell r="G811" t="str">
            <v>1.TB.04.030.02</v>
          </cell>
          <cell r="J811" t="str">
            <v>Rabiah Garden for Trade and Contracting Company</v>
          </cell>
          <cell r="K811" t="str">
            <v>Plant Supply Package</v>
          </cell>
        </row>
        <row r="812">
          <cell r="C812" t="str">
            <v>Public Realm</v>
          </cell>
          <cell r="F812" t="str">
            <v>1TB04030C23</v>
          </cell>
          <cell r="G812" t="str">
            <v>1.TB.04.030.02</v>
          </cell>
          <cell r="J812" t="str">
            <v>Zaid Alhussain &amp; Brothers Group</v>
          </cell>
          <cell r="K812" t="str">
            <v>Plant Supply Package</v>
          </cell>
        </row>
        <row r="813">
          <cell r="C813" t="str">
            <v>Public Realm</v>
          </cell>
          <cell r="F813" t="str">
            <v>1TB04030C24</v>
          </cell>
          <cell r="G813" t="str">
            <v>1.TB.04.030.02</v>
          </cell>
          <cell r="J813" t="str">
            <v>Birkdale International Ltd.</v>
          </cell>
          <cell r="K813" t="str">
            <v>Plant Supply Package</v>
          </cell>
        </row>
        <row r="814">
          <cell r="C814" t="str">
            <v>Public Realm</v>
          </cell>
          <cell r="F814" t="str">
            <v>1TB04030C25</v>
          </cell>
          <cell r="G814" t="str">
            <v>1.TB.04.030.02</v>
          </cell>
          <cell r="J814" t="str">
            <v>Viveros Medipalm, S.A.</v>
          </cell>
          <cell r="K814" t="str">
            <v>Plant Supply Package</v>
          </cell>
        </row>
        <row r="815">
          <cell r="C815" t="str">
            <v>Public Realm</v>
          </cell>
          <cell r="F815" t="str">
            <v>1TB04030C27</v>
          </cell>
          <cell r="G815" t="str">
            <v>1.TB.04.030.02</v>
          </cell>
          <cell r="J815" t="str">
            <v>Rowdh Nursery</v>
          </cell>
          <cell r="K815" t="str">
            <v>Plant Supply Package_CONTRACT CANCELLED_CONTRACT VALUE SAR 1,641,789.30</v>
          </cell>
        </row>
        <row r="816">
          <cell r="C816" t="str">
            <v>Public Realm</v>
          </cell>
          <cell r="F816" t="str">
            <v>1TB04030C26</v>
          </cell>
          <cell r="G816" t="str">
            <v>1.TB.04.030.02</v>
          </cell>
          <cell r="J816" t="str">
            <v>Piante Faro</v>
          </cell>
          <cell r="K816" t="str">
            <v>Plant Supply Package</v>
          </cell>
        </row>
        <row r="817">
          <cell r="C817" t="str">
            <v>Public Realm</v>
          </cell>
          <cell r="F817" t="str">
            <v>1TB04030C22</v>
          </cell>
          <cell r="G817" t="str">
            <v>1.TB.04.030.02</v>
          </cell>
          <cell r="J817" t="str">
            <v>Wallum Nursery Pty. Ltd.</v>
          </cell>
          <cell r="K817" t="str">
            <v>Plant Supply Package_CONTRACT CANCELLED_CONTRACT VALUE AUD 92,340.00</v>
          </cell>
        </row>
        <row r="818">
          <cell r="C818" t="str">
            <v>Six Senses Resort</v>
          </cell>
          <cell r="F818" t="str">
            <v>1TB02017F12</v>
          </cell>
          <cell r="G818" t="str">
            <v>1.TB.02.017.01</v>
          </cell>
          <cell r="J818" t="str">
            <v>Badael Al Taqnaya Industrial Co</v>
          </cell>
          <cell r="K818" t="str">
            <v>Six Senses - Temporary Offices - Contractor's Office Furniture Delivery and Installation</v>
          </cell>
        </row>
        <row r="819">
          <cell r="C819" t="str">
            <v>Ocean Golf Private Residences - Phase 1</v>
          </cell>
          <cell r="F819" t="str">
            <v>1TB05039F02</v>
          </cell>
          <cell r="G819" t="str">
            <v>1.TB.05.039.01</v>
          </cell>
          <cell r="J819" t="str">
            <v>Badael Al Taqnaya Industrial Co</v>
          </cell>
          <cell r="K819" t="str">
            <v>Ocean Golf Temporary Offices Employer's Office Furniture Delivery and Installation</v>
          </cell>
        </row>
        <row r="820">
          <cell r="C820" t="str">
            <v>Four Seasons Resort</v>
          </cell>
          <cell r="F820" t="str">
            <v>1TB02012C10</v>
          </cell>
          <cell r="G820" t="str">
            <v>1.TB.02.012.01</v>
          </cell>
          <cell r="J820" t="str">
            <v>Mahmoud Yousef Adada &amp; Issam Kabbani &amp; Partner Co. Ltd.</v>
          </cell>
          <cell r="K820" t="str">
            <v>Kitchen &amp; Laundry Works for Four Seasons Resort</v>
          </cell>
        </row>
        <row r="821">
          <cell r="C821" t="str">
            <v>Rosewood Resort</v>
          </cell>
          <cell r="F821" t="str">
            <v>1TB02011F09</v>
          </cell>
          <cell r="G821" t="str">
            <v>1.TB.02.011.01</v>
          </cell>
          <cell r="J821" t="str">
            <v>Badael Al Taqnaya Industrial Co</v>
          </cell>
          <cell r="K821" t="str">
            <v>Rosewood- Temporary Offices - Contractor's Office Furniture Delivery and Installation</v>
          </cell>
        </row>
        <row r="822">
          <cell r="C822" t="str">
            <v>Construction Village - Wide</v>
          </cell>
          <cell r="F822" t="str">
            <v>1CV08033C08</v>
          </cell>
          <cell r="G822" t="str">
            <v>1.CV.08.800.00</v>
          </cell>
          <cell r="J822" t="str">
            <v>Bait Alnokhada</v>
          </cell>
          <cell r="K822" t="str">
            <v>Supply and Delivery of 1 number of Prayer Tent with Air Conditioning, Carpet and Generator for a Leasing duration of 3 months_CONTRACT CANCELLED_CONTRACT VALUE SAR 170,000.00</v>
          </cell>
        </row>
        <row r="823">
          <cell r="C823" t="str">
            <v>Four Seasons Resort</v>
          </cell>
          <cell r="F823" t="str">
            <v>1TB02012F10</v>
          </cell>
          <cell r="G823" t="str">
            <v>1.TB.02.012.01</v>
          </cell>
          <cell r="J823" t="str">
            <v>Badael Al Taqnaya Industrial Co</v>
          </cell>
          <cell r="K823" t="str">
            <v>Four Seasons - Temporary Offices - Contractor's Office Furniture Delivery and Installation</v>
          </cell>
        </row>
        <row r="824">
          <cell r="C824" t="str">
            <v>Triple Bay Construction Logistics</v>
          </cell>
          <cell r="F824" t="str">
            <v>1TB04034F07</v>
          </cell>
          <cell r="G824" t="str">
            <v>1.TB.04.034.01</v>
          </cell>
          <cell r="J824" t="str">
            <v>Saline Water Conversion Corporation (SWCC)</v>
          </cell>
          <cell r="K824" t="str">
            <v>Water Supply Agreement</v>
          </cell>
        </row>
        <row r="825">
          <cell r="C825" t="str">
            <v>Triple Bay Construction Logistics</v>
          </cell>
          <cell r="F825" t="str">
            <v>1TB04034C10</v>
          </cell>
          <cell r="G825" t="str">
            <v>1.TB.04.034.01</v>
          </cell>
          <cell r="J825" t="str">
            <v>Nabatat Contracting Company</v>
          </cell>
          <cell r="K825" t="str">
            <v>Sewage &amp; Ad-hoc Waste Collection and Disposal Services</v>
          </cell>
        </row>
        <row r="826">
          <cell r="C826" t="str">
            <v>Triple Bay Construction Logistics</v>
          </cell>
          <cell r="F826" t="str">
            <v>1TB04034C15</v>
          </cell>
          <cell r="G826" t="str">
            <v>1.TB.04.034.01</v>
          </cell>
          <cell r="J826" t="str">
            <v>Nabatat Contracting Company</v>
          </cell>
          <cell r="K826" t="str">
            <v>MSW &amp; CDW - Waste Collection and Disposal Services</v>
          </cell>
        </row>
        <row r="827">
          <cell r="C827" t="str">
            <v>Rosewood Resort</v>
          </cell>
          <cell r="F827" t="str">
            <v>1TB02011F08</v>
          </cell>
          <cell r="G827" t="str">
            <v>1.TB.02.011.01</v>
          </cell>
          <cell r="J827" t="str">
            <v>Hamad Al Rugaib and Sons Trading Company</v>
          </cell>
          <cell r="K827" t="str">
            <v>Rosewood - Temporary Offices Employer's Office and Canteen Furniture Delivery and Installation</v>
          </cell>
        </row>
        <row r="828">
          <cell r="C828" t="str">
            <v>Marina Village - Wide</v>
          </cell>
          <cell r="F828" t="str">
            <v>1TB01100F07</v>
          </cell>
          <cell r="G828" t="str">
            <v>1.TB.01.100.00</v>
          </cell>
          <cell r="J828" t="str">
            <v>Hamad Al Rugaib and Sons Trading Company</v>
          </cell>
          <cell r="K828" t="str">
            <v>Marina - Temporary Offices Employer's Office and Canteen Furniture Delivery and Installation</v>
          </cell>
        </row>
        <row r="829">
          <cell r="C829" t="str">
            <v>Triple Bay Construction Logistics</v>
          </cell>
          <cell r="F829" t="str">
            <v>1TB04034F08</v>
          </cell>
          <cell r="G829" t="str">
            <v>1.TB.04.034.01</v>
          </cell>
          <cell r="J829" t="str">
            <v>Badael Al Taqnaya Industrial Co</v>
          </cell>
          <cell r="K829" t="str">
            <v>Logistics - Temporary Offices - Employer's Furniture Delivery and Installation</v>
          </cell>
        </row>
        <row r="830">
          <cell r="C830" t="str">
            <v>Marina Lifestyle Hotel &amp; Village</v>
          </cell>
          <cell r="F830" t="str">
            <v>1TB01002C16</v>
          </cell>
          <cell r="G830" t="str">
            <v>1.TB.01.002.99</v>
          </cell>
          <cell r="J830" t="str">
            <v>Taktheer Company Limited</v>
          </cell>
          <cell r="K830" t="str">
            <v>Building Envelope Works for Marina Lifestyle Hotel</v>
          </cell>
        </row>
        <row r="831">
          <cell r="C831" t="str">
            <v>Wellness Core - Wide</v>
          </cell>
          <cell r="F831" t="str">
            <v>1TB03300F07</v>
          </cell>
          <cell r="G831" t="str">
            <v>1.TB.03.300.00</v>
          </cell>
          <cell r="J831" t="str">
            <v>Badael Al Taqnaya Industrial Co</v>
          </cell>
          <cell r="K831" t="str">
            <v>Wellness - Temporary Offices - Contractor's Office Furniture Delivery and Installation</v>
          </cell>
        </row>
        <row r="832">
          <cell r="C832" t="str">
            <v>Six Senses Resort</v>
          </cell>
          <cell r="F832" t="str">
            <v>1TB02017F11</v>
          </cell>
          <cell r="G832" t="str">
            <v>1.TB.02.017.01</v>
          </cell>
          <cell r="J832" t="str">
            <v>Hamad Al Rugaib and Sons Trading Company</v>
          </cell>
          <cell r="K832" t="str">
            <v>Six Senses - Temporary Offices - Employer's Office and Canteen Furniture Delivery and Installation</v>
          </cell>
        </row>
        <row r="833">
          <cell r="C833" t="str">
            <v>Staff Village - Wide</v>
          </cell>
          <cell r="F833" t="str">
            <v>1SV10110C29</v>
          </cell>
          <cell r="G833" t="str">
            <v>1.SV.10.110.00</v>
          </cell>
          <cell r="J833" t="str">
            <v>Abdul Latif Jameel Electronics Technology Products Co. Limited.</v>
          </cell>
          <cell r="K833" t="str">
            <v>Supply of White Goods for Zone 5 - Residential Studios</v>
          </cell>
        </row>
        <row r="834">
          <cell r="C834" t="str">
            <v>Triple Bay Construction Logistics</v>
          </cell>
          <cell r="F834" t="str">
            <v>1TB04034F09</v>
          </cell>
          <cell r="G834" t="str">
            <v>1.TB.04.034.01</v>
          </cell>
          <cell r="J834" t="str">
            <v>Hamad Al Rugaib and Sons Trading Company</v>
          </cell>
          <cell r="K834" t="str">
            <v>Logistics - Temporary Offices - Canteen Furniture Delivery and Installation</v>
          </cell>
        </row>
        <row r="835">
          <cell r="C835" t="str">
            <v>Public Realm</v>
          </cell>
          <cell r="F835" t="str">
            <v>1TB04030C31</v>
          </cell>
          <cell r="G835" t="str">
            <v>1.TB.04.030.02</v>
          </cell>
          <cell r="J835" t="str">
            <v>Garden Star Agriculture Co.</v>
          </cell>
          <cell r="K835" t="str">
            <v>Organic Materials Supply</v>
          </cell>
        </row>
        <row r="836">
          <cell r="C836" t="str">
            <v>Four Seasons Resort</v>
          </cell>
          <cell r="F836" t="str">
            <v>1TB02012C33</v>
          </cell>
          <cell r="G836" t="str">
            <v>1.TB.02.012.01</v>
          </cell>
          <cell r="J836" t="str">
            <v>Medtel W.N</v>
          </cell>
          <cell r="K836" t="str">
            <v>GRC Works for Four Seasons Resort and Branded Residences</v>
          </cell>
        </row>
        <row r="837">
          <cell r="C837" t="str">
            <v>Rosewood Resort</v>
          </cell>
          <cell r="F837" t="str">
            <v>1TB02011F15</v>
          </cell>
          <cell r="G837" t="str">
            <v>1.TB.02.011.01</v>
          </cell>
          <cell r="J837" t="str">
            <v>Fajr Construction Company</v>
          </cell>
          <cell r="K837" t="str">
            <v>Supply, Installation and Maintenance of AMAALA Triple Bay Site-Wide Logistics Works (Call off Order No: 006)</v>
          </cell>
        </row>
        <row r="838">
          <cell r="C838" t="str">
            <v>Six Senses Resort</v>
          </cell>
          <cell r="F838" t="str">
            <v>1TB02017F19</v>
          </cell>
          <cell r="G838" t="str">
            <v>1.TB.02.017.01</v>
          </cell>
          <cell r="J838" t="str">
            <v>Fajr Construction Company</v>
          </cell>
          <cell r="K838" t="str">
            <v>Supply, Installation and Maintenance of AMAALA Triple Bay Site-Wide Logistics Works (Call off Order No: 007)</v>
          </cell>
        </row>
        <row r="839">
          <cell r="C839" t="str">
            <v>Triple Bay Construction Logistics</v>
          </cell>
          <cell r="F839" t="str">
            <v>1TB04034C14</v>
          </cell>
          <cell r="G839" t="str">
            <v>1.TB.04.034.01</v>
          </cell>
          <cell r="J839" t="str">
            <v>Magic Mirror Trading Est.</v>
          </cell>
          <cell r="K839" t="str">
            <v>Supply and Delivery of Whitegoods</v>
          </cell>
        </row>
        <row r="840">
          <cell r="C840" t="str">
            <v>Triple Bay Construction Logistics</v>
          </cell>
          <cell r="F840" t="str">
            <v>1TB04034C13</v>
          </cell>
          <cell r="G840" t="str">
            <v>1.TB.04.034.01</v>
          </cell>
          <cell r="J840" t="str">
            <v>Amjad Al Mutahidah Trading Co (Riyadh Water Coolers Factory)</v>
          </cell>
          <cell r="K840" t="str">
            <v>Supply and Delivery of 204 No's of Stainless Steel Coolers</v>
          </cell>
        </row>
        <row r="841">
          <cell r="C841" t="str">
            <v>Public Realm</v>
          </cell>
          <cell r="F841" t="str">
            <v>1TB04030C30</v>
          </cell>
          <cell r="G841" t="str">
            <v>1.TB.04.030.02</v>
          </cell>
          <cell r="J841" t="str">
            <v>Al Safi Dairy Co.</v>
          </cell>
          <cell r="K841" t="str">
            <v>Supply and Delivery of Cow Compost</v>
          </cell>
        </row>
        <row r="842">
          <cell r="C842" t="str">
            <v>Four Seasons Resort</v>
          </cell>
          <cell r="F842" t="str">
            <v>1TB02012F09</v>
          </cell>
          <cell r="G842" t="str">
            <v>1.TB.02.012.01</v>
          </cell>
          <cell r="J842" t="str">
            <v>Hamad Al Rugaib and Sons Trading Company</v>
          </cell>
          <cell r="K842" t="str">
            <v>Four Seasons - Temporary Offices - Employer's Office and Canteen Furniture Delivery</v>
          </cell>
        </row>
        <row r="843">
          <cell r="C843" t="str">
            <v>Marina Village - Wide</v>
          </cell>
          <cell r="F843" t="str">
            <v>1TB01100C02</v>
          </cell>
          <cell r="G843" t="str">
            <v>1.TB.01.100.00</v>
          </cell>
          <cell r="J843" t="str">
            <v>Nabatat Contracting Company</v>
          </cell>
          <cell r="K843" t="str">
            <v>Soft Landscaping Works for Marina Precinct</v>
          </cell>
        </row>
        <row r="844">
          <cell r="C844" t="str">
            <v>Construction Village - Wide</v>
          </cell>
          <cell r="F844" t="str">
            <v>1CV08800C03</v>
          </cell>
          <cell r="G844" t="str">
            <v>1.CV.08.800.00</v>
          </cell>
          <cell r="J844" t="str">
            <v>Bait Alnokhada</v>
          </cell>
          <cell r="K844" t="str">
            <v>Supply and Delivery of 1 number of Prayer Tent with Air Conditioning, Carpet and Generator</v>
          </cell>
        </row>
        <row r="845">
          <cell r="C845" t="str">
            <v>Wellness Core - Wide</v>
          </cell>
          <cell r="F845" t="str">
            <v>1TB03300F06</v>
          </cell>
          <cell r="G845" t="str">
            <v>1.TB.03.300.00</v>
          </cell>
          <cell r="J845" t="str">
            <v>Hamad Al Rugaib and Sons Trading Company</v>
          </cell>
          <cell r="K845" t="str">
            <v>Wellness - Temporary Offices - Employer's Office and Canteen Furniture Delivery and Installation</v>
          </cell>
        </row>
        <row r="846">
          <cell r="C846" t="str">
            <v>Ocean Golf Course &amp; Club House</v>
          </cell>
          <cell r="F846" t="str">
            <v>1TB05021C03</v>
          </cell>
          <cell r="G846" t="str">
            <v>1.TB.05.021.03</v>
          </cell>
          <cell r="J846" t="str">
            <v>Al Majal Alarabi Group Company</v>
          </cell>
          <cell r="K846" t="str">
            <v>Supply and loading of Capping sand for Golf Course</v>
          </cell>
        </row>
        <row r="847">
          <cell r="C847" t="str">
            <v>Staff Village - Wide</v>
          </cell>
          <cell r="F847" t="str">
            <v>1SV10110C35</v>
          </cell>
          <cell r="G847" t="str">
            <v>1.SV.10.110.00</v>
          </cell>
          <cell r="J847" t="str">
            <v>Absal John Paul Contracting Co. Ltd.</v>
          </cell>
          <cell r="K847" t="str">
            <v>FFE and OSE for Amaala Staff Village (Residential Linear Type A) Mock up</v>
          </cell>
        </row>
        <row r="848">
          <cell r="C848" t="str">
            <v>Triple Bay Construction Logistics</v>
          </cell>
          <cell r="F848" t="str">
            <v>1TB04034C16</v>
          </cell>
          <cell r="G848" t="str">
            <v>1.TB.04.034.01</v>
          </cell>
          <cell r="J848" t="str">
            <v>AlRaja Company LTD</v>
          </cell>
          <cell r="K848" t="str">
            <v>Supply and Delivery of 900 Nos of Queueing Systems Poles to AMAALA Site</v>
          </cell>
        </row>
        <row r="849">
          <cell r="C849" t="str">
            <v>Marina Hotel 3</v>
          </cell>
          <cell r="F849" t="str">
            <v>1TB01009F08</v>
          </cell>
          <cell r="G849" t="str">
            <v>1.TB.01.009.01</v>
          </cell>
          <cell r="J849" t="str">
            <v>Elevator Systems Contracting Company (ESCCO)</v>
          </cell>
          <cell r="K849" t="str">
            <v>Supply and Installation of the Vertical Transportation System Works</v>
          </cell>
        </row>
        <row r="850">
          <cell r="C850" t="str">
            <v>Triple Bay Construction Logistics</v>
          </cell>
          <cell r="F850" t="str">
            <v>1TB04034B01</v>
          </cell>
          <cell r="G850" t="str">
            <v>1.TB.04.034.01</v>
          </cell>
          <cell r="J850" t="str">
            <v>Nesma United Industries Co. Ltd.</v>
          </cell>
          <cell r="K850" t="str">
            <v>Design and Build of a Temporary Waste Management Centre</v>
          </cell>
        </row>
        <row r="851">
          <cell r="C851" t="str">
            <v>Staff Village - Wide</v>
          </cell>
          <cell r="F851" t="str">
            <v>1SV10110C14</v>
          </cell>
          <cell r="G851" t="str">
            <v>1.SV.10.110.00</v>
          </cell>
          <cell r="J851" t="str">
            <v>Abdullah Saed Alsayed &amp; Partners Contracting Company LTD</v>
          </cell>
          <cell r="K851" t="str">
            <v>Medical Center Construction Works for AMAALA Staff Village Zone 8</v>
          </cell>
        </row>
        <row r="852">
          <cell r="C852" t="str">
            <v>Marina Hotel 3</v>
          </cell>
          <cell r="F852" t="str">
            <v>1TB01009C06</v>
          </cell>
          <cell r="G852" t="str">
            <v>1.TB.01.009.01</v>
          </cell>
          <cell r="J852" t="str">
            <v>Saudi Business Machines LTD</v>
          </cell>
          <cell r="K852" t="str">
            <v>ICT/ELV Works for Marina Hotel 3 at Triple Bay Amaala</v>
          </cell>
        </row>
        <row r="853">
          <cell r="C853" t="str">
            <v>Staff Village - Wide</v>
          </cell>
          <cell r="F853" t="str">
            <v>1SV10110C18</v>
          </cell>
          <cell r="G853" t="str">
            <v>1.SV.10.110.00</v>
          </cell>
          <cell r="J853" t="str">
            <v>ROAK AL-MWAQA Ltd.</v>
          </cell>
          <cell r="K853" t="str">
            <v>Landscape &amp; Public Realm Works for Amaala Staff Village Zones 6A &amp; 6B</v>
          </cell>
        </row>
        <row r="854">
          <cell r="C854" t="str">
            <v>Triple Bay Construction Logistics</v>
          </cell>
          <cell r="F854" t="str">
            <v>1TB04034F03</v>
          </cell>
          <cell r="G854" t="str">
            <v>1.TB.04.034.01</v>
          </cell>
          <cell r="J854" t="str">
            <v>Aldrees Petroleum and Transport Services Company</v>
          </cell>
          <cell r="K854" t="str">
            <v>Fuel Supply for 2 Quarters from August to December 2023</v>
          </cell>
        </row>
        <row r="855">
          <cell r="C855" t="str">
            <v>Triple Bay Construction Logistics</v>
          </cell>
          <cell r="F855" t="str">
            <v>1TB04034F11</v>
          </cell>
          <cell r="G855" t="str">
            <v>1.TB.04.034.01</v>
          </cell>
          <cell r="J855" t="str">
            <v>Fajr Construction Company</v>
          </cell>
          <cell r="K855" t="str">
            <v>Supply, Installation and Maintenance of AMAALA Triple Bay Site-Wide Logistics Works (Call off Order No: 010) - Management of Duba Municipal Waste</v>
          </cell>
        </row>
        <row r="856">
          <cell r="C856" t="str">
            <v>Marina Hotel 3</v>
          </cell>
          <cell r="F856" t="str">
            <v>1TB01009C05</v>
          </cell>
          <cell r="G856" t="str">
            <v>1.TB.01.009.01</v>
          </cell>
          <cell r="J856" t="str">
            <v>Kortech Sharqawi</v>
          </cell>
          <cell r="K856" t="str">
            <v>Mechanical, Electrical and Plumbing Works for Marina Hotel 3</v>
          </cell>
        </row>
        <row r="857">
          <cell r="C857" t="str">
            <v>Six Senses Resort</v>
          </cell>
          <cell r="F857" t="str">
            <v>1TB02017F20</v>
          </cell>
          <cell r="G857" t="str">
            <v>1.TB.02.017.01</v>
          </cell>
          <cell r="J857" t="str">
            <v>Fajr Construction Company</v>
          </cell>
          <cell r="K857" t="str">
            <v>Supply, Installation and Maintenance of AMAALA Triple Bay Site-Wide Logistics Works (Call off Order No: 011) - Supply, Placing, and Relocation of Concrete Safety Barrier</v>
          </cell>
        </row>
        <row r="858">
          <cell r="C858" t="str">
            <v>Rosewood Resort</v>
          </cell>
          <cell r="F858" t="str">
            <v>1TB02011F16</v>
          </cell>
          <cell r="G858" t="str">
            <v>1.TB.02.011.01</v>
          </cell>
          <cell r="J858" t="str">
            <v>Fajr Construction Company</v>
          </cell>
          <cell r="K858" t="str">
            <v>Supply, Installation and Maintenance of AMAALA Triple Bay Site-Wide Logistics Works (Call off Order No: 012) - Supply, Placing, and Relocation of Concrete Safety Barrier</v>
          </cell>
        </row>
        <row r="859">
          <cell r="C859" t="str">
            <v>Marina Village - Wide</v>
          </cell>
          <cell r="F859" t="str">
            <v>1TB01100F11</v>
          </cell>
          <cell r="G859" t="str">
            <v>1.TB.01.100.00</v>
          </cell>
          <cell r="J859" t="str">
            <v>Fajr Construction Company</v>
          </cell>
          <cell r="K859" t="str">
            <v>Supply, Installation and Maintenance of AMAALA Triple Bay Site-Wide Logistics Works (Call off Order No: 008)</v>
          </cell>
        </row>
        <row r="860">
          <cell r="C860" t="str">
            <v>Integrative Wellness</v>
          </cell>
          <cell r="F860" t="str">
            <v>1TB03007F03</v>
          </cell>
          <cell r="G860" t="str">
            <v>1.TB.03.007.99</v>
          </cell>
          <cell r="J860" t="str">
            <v>Fajr Construction Company</v>
          </cell>
          <cell r="K860" t="str">
            <v>Supply, Installation and Maintenance of AMAALA Triple Bay Site-Wide Logistics Works (Call off Order No: 009)</v>
          </cell>
        </row>
        <row r="861">
          <cell r="C861" t="str">
            <v>Rosewood Resort</v>
          </cell>
          <cell r="F861" t="str">
            <v>1TB02011F17</v>
          </cell>
          <cell r="G861" t="str">
            <v>1.TB.02.011.01</v>
          </cell>
          <cell r="J861" t="str">
            <v>Badael Al Taqnaya Industrial Co</v>
          </cell>
          <cell r="K861" t="str">
            <v>Rosewood - Supply, Delivery &amp; Installation of Furniture to Workers Mess Hall</v>
          </cell>
        </row>
        <row r="862">
          <cell r="C862" t="str">
            <v>Construction Village - Wide</v>
          </cell>
          <cell r="F862" t="str">
            <v>1CV08800C06</v>
          </cell>
          <cell r="G862" t="str">
            <v>1.CV.08.800.00</v>
          </cell>
          <cell r="J862" t="str">
            <v>Bait Alnokhada</v>
          </cell>
          <cell r="K862" t="str">
            <v>Additional Work Package to Prayer Tent</v>
          </cell>
        </row>
        <row r="863">
          <cell r="C863" t="str">
            <v>Rosewood Resort</v>
          </cell>
          <cell r="F863" t="str">
            <v>1TB02011F18</v>
          </cell>
          <cell r="G863" t="str">
            <v>1.TB.02.011.01</v>
          </cell>
          <cell r="J863" t="str">
            <v>Hamad Al Rugaib and Sons Trading Company</v>
          </cell>
          <cell r="K863" t="str">
            <v>Rosewood - Temporary Offices - Employer's Office and Canteen Furniture Delivery</v>
          </cell>
        </row>
        <row r="864">
          <cell r="C864" t="str">
            <v>Triple Bay Construction Logistics</v>
          </cell>
          <cell r="F864" t="str">
            <v>1TB04034C23</v>
          </cell>
          <cell r="G864" t="str">
            <v>1.TB.04.034.01</v>
          </cell>
          <cell r="J864" t="str">
            <v>The Helicopter &amp; Jet Company (THC)</v>
          </cell>
          <cell r="K864" t="str">
            <v>Helicopter Services Agreement - THC-LCD-2024-0040-JA</v>
          </cell>
        </row>
        <row r="865">
          <cell r="C865" t="str">
            <v>Triple Bay Construction Logistics</v>
          </cell>
          <cell r="F865" t="str">
            <v>1TB04034B07</v>
          </cell>
          <cell r="G865" t="str">
            <v>1.TB.04.034.01</v>
          </cell>
          <cell r="J865" t="str">
            <v>Fajr Construction Company</v>
          </cell>
          <cell r="K865" t="str">
            <v>Design, Build, Operate and Maintain GRP Water Tank Farm at Triple Bay North</v>
          </cell>
        </row>
        <row r="866">
          <cell r="C866" t="str">
            <v>Coral Relocation</v>
          </cell>
          <cell r="F866" t="str">
            <v>1TB04036C01</v>
          </cell>
          <cell r="G866" t="str">
            <v>1.TB.04.036.01</v>
          </cell>
          <cell r="J866" t="str">
            <v>Leaf Global Environmental Services Co.</v>
          </cell>
          <cell r="K866" t="str">
            <v>Coral Heads Removal &amp; Relocation</v>
          </cell>
        </row>
        <row r="867">
          <cell r="C867" t="str">
            <v>Triple Bay Construction Logistics</v>
          </cell>
          <cell r="F867" t="str">
            <v>1TB04034C17</v>
          </cell>
          <cell r="G867" t="str">
            <v>1.TB.04.034.01</v>
          </cell>
          <cell r="J867" t="str">
            <v>Fajr Construction Company</v>
          </cell>
          <cell r="K867" t="str">
            <v>Design, Build, Operate and Maintain GRP Water Tank Farm at Triple Bay South and AMAALA Staff Village</v>
          </cell>
        </row>
        <row r="868">
          <cell r="C868" t="str">
            <v>Construction Village - Wide</v>
          </cell>
          <cell r="F868" t="str">
            <v>1CV08800C07</v>
          </cell>
          <cell r="G868" t="str">
            <v>1.CV.08.800.00</v>
          </cell>
          <cell r="J868" t="str">
            <v>Al Eatesam Modern Marketing Company (Secutronic).</v>
          </cell>
          <cell r="K868" t="str">
            <v>Supply and Delivery of X2-SE Segway</v>
          </cell>
        </row>
        <row r="869">
          <cell r="C869" t="str">
            <v>Public Realm</v>
          </cell>
          <cell r="F869" t="str">
            <v>1TB04030C02</v>
          </cell>
          <cell r="G869" t="str">
            <v>1.TB.04.030.03</v>
          </cell>
          <cell r="J869" t="str">
            <v>Alsaad General Contracting Company</v>
          </cell>
          <cell r="K869" t="str">
            <v>Beach Coastal Improvement for Program 4 Public Realm at Triple Bay and AMAALA Staff Village</v>
          </cell>
        </row>
        <row r="870">
          <cell r="C870" t="str">
            <v>Marina Village - Wide</v>
          </cell>
          <cell r="F870" t="str">
            <v>1TB01100C01</v>
          </cell>
          <cell r="G870" t="str">
            <v>1.TB.01.100.00</v>
          </cell>
          <cell r="J870" t="str">
            <v>Saudi SALCO Contracting Co</v>
          </cell>
          <cell r="K870" t="str">
            <v>Hard Landscape Works for a Triple Bay - Marina Precinct</v>
          </cell>
        </row>
        <row r="871">
          <cell r="C871" t="str">
            <v>Ocean Golf Course &amp; Club House</v>
          </cell>
          <cell r="F871" t="str">
            <v>1TB05021C02</v>
          </cell>
          <cell r="G871" t="str">
            <v>1.TB.05.021.03</v>
          </cell>
          <cell r="J871" t="str">
            <v>Nesma United Industries Co. Ltd.</v>
          </cell>
          <cell r="K871" t="str">
            <v>Ocean Golf Course - Accelerated Holes Works</v>
          </cell>
        </row>
        <row r="872">
          <cell r="C872" t="str">
            <v>Staff Village - Wide</v>
          </cell>
          <cell r="F872" t="str">
            <v>1SV10110C41</v>
          </cell>
          <cell r="G872" t="str">
            <v>1.SV.10.110.00</v>
          </cell>
          <cell r="J872" t="str">
            <v>Thuraya Turnkey Projects</v>
          </cell>
          <cell r="K872" t="str">
            <v>Supply of Furniture for AMAALA Staff Village 6 &amp; 7 Number Z-Type Buildings</v>
          </cell>
        </row>
        <row r="873">
          <cell r="C873" t="str">
            <v>Highways and Civils</v>
          </cell>
          <cell r="F873" t="str">
            <v>1RI12078C07</v>
          </cell>
          <cell r="G873" t="str">
            <v>1.RI.12.078.01</v>
          </cell>
          <cell r="J873" t="str">
            <v>Al Enjaz Trading and Contracting Company</v>
          </cell>
          <cell r="K873" t="str">
            <v>Construction of Interchange Works for Triple Bay South</v>
          </cell>
        </row>
        <row r="874">
          <cell r="C874" t="str">
            <v>Triple Bay Construction Logistics</v>
          </cell>
          <cell r="F874" t="str">
            <v>1TB04034F13</v>
          </cell>
          <cell r="G874" t="str">
            <v>1.TB.04.034.01</v>
          </cell>
          <cell r="J874" t="str">
            <v>Fajr Construction Company</v>
          </cell>
          <cell r="K874" t="str">
            <v>Supply, Installation and Maintenance of AMAALA Triple Bay Site-Wide Logistics Works (Call off Order No: 013) - Safety Flagman Stand &amp; Installation of 204 Nr Water Cooler Units</v>
          </cell>
        </row>
        <row r="875">
          <cell r="C875" t="str">
            <v>Marina Hotel 3</v>
          </cell>
          <cell r="F875" t="str">
            <v>1TB01009C15</v>
          </cell>
          <cell r="G875" t="str">
            <v>1.TB.01.009.01</v>
          </cell>
          <cell r="J875" t="str">
            <v>Saudi SALCO Contracting Co</v>
          </cell>
          <cell r="K875" t="str">
            <v>Hardscape Works for Marina Hotel 3</v>
          </cell>
        </row>
        <row r="876">
          <cell r="C876" t="str">
            <v>Marina Hotel 3</v>
          </cell>
          <cell r="F876" t="str">
            <v>1TB01009C16</v>
          </cell>
          <cell r="G876" t="str">
            <v>1.TB.01.009.01</v>
          </cell>
          <cell r="J876" t="str">
            <v>Saudi SALCO Contracting Co</v>
          </cell>
          <cell r="K876" t="str">
            <v>Softscape Works for Marina Hotel 3</v>
          </cell>
        </row>
        <row r="877">
          <cell r="C877" t="str">
            <v>Integrative Wellness</v>
          </cell>
          <cell r="F877" t="str">
            <v>1TB03007C32</v>
          </cell>
          <cell r="G877" t="str">
            <v>1.TB.03.007.99</v>
          </cell>
          <cell r="J877" t="str">
            <v>Saudi International Trading &amp; Marketing Ltd</v>
          </cell>
          <cell r="K877" t="str">
            <v>Supply and Delivery of 2 Units of Surveying Equipment with Accessories to AMAALA Site</v>
          </cell>
        </row>
        <row r="878">
          <cell r="C878" t="str">
            <v>Construction Village - Wide</v>
          </cell>
          <cell r="F878" t="str">
            <v>1CV08800C10</v>
          </cell>
          <cell r="G878" t="str">
            <v>1.CV.08.800.00</v>
          </cell>
          <cell r="J878" t="str">
            <v>Al Majal Alarabi Group Company</v>
          </cell>
          <cell r="K878" t="str">
            <v>Facilities Management Agreement - Triple Bay-Wide Temporary Site Offices &amp; Welfare Facilities</v>
          </cell>
        </row>
        <row r="879">
          <cell r="C879" t="str">
            <v>Medical Wellness</v>
          </cell>
          <cell r="F879" t="str">
            <v>1TB03008F01</v>
          </cell>
          <cell r="G879" t="str">
            <v>1.TB.03.008.01</v>
          </cell>
          <cell r="J879" t="str">
            <v>Elevator Systems Contracting Company (ESCCO)</v>
          </cell>
          <cell r="K879" t="str">
            <v>Supply and Installation of the Vertical Transportation System Works</v>
          </cell>
        </row>
        <row r="880">
          <cell r="C880" t="str">
            <v>Triple Bay Construction Logistics</v>
          </cell>
          <cell r="F880" t="str">
            <v>1TB04034B09</v>
          </cell>
          <cell r="G880" t="str">
            <v>1.TB.04.034.01</v>
          </cell>
          <cell r="J880" t="str">
            <v>Fajr Construction Company</v>
          </cell>
          <cell r="K880" t="str">
            <v>Design and Build - Upgrade Water Tanker Stations at SWCC Al Wajh Facility</v>
          </cell>
        </row>
        <row r="881">
          <cell r="C881" t="str">
            <v>Construction Village - Wide</v>
          </cell>
          <cell r="F881" t="str">
            <v>1CV08800C04</v>
          </cell>
          <cell r="G881" t="str">
            <v>1.CV.08.800.00</v>
          </cell>
          <cell r="J881" t="str">
            <v>Hamza Mohammad Alderi Const Company</v>
          </cell>
          <cell r="K881" t="str">
            <v>Supply and Installation of Fencing</v>
          </cell>
        </row>
        <row r="882">
          <cell r="C882" t="str">
            <v>Four Seasons Resort</v>
          </cell>
          <cell r="F882" t="str">
            <v>1TB02012C74</v>
          </cell>
          <cell r="G882" t="str">
            <v>1.TB.02.012.01</v>
          </cell>
          <cell r="J882" t="str">
            <v>Hamza Mohammad Alderi Const Company</v>
          </cell>
          <cell r="K882" t="str">
            <v>Supply and Installation of Fencing</v>
          </cell>
        </row>
        <row r="883">
          <cell r="C883" t="str">
            <v>Construction Village Section 2 &amp; 3</v>
          </cell>
          <cell r="F883" t="str">
            <v>1CV08033F04</v>
          </cell>
          <cell r="G883" t="str">
            <v>1.CV.08.033.01</v>
          </cell>
          <cell r="J883" t="str">
            <v>Fajr Construction Company</v>
          </cell>
          <cell r="K883" t="str">
            <v>Supply, Installation and Maintenance of AMAALA Triple Bay Site-Wide Logistics Works (Call off Order No: 014) - Construction Village Base Camp Office - MEP Works</v>
          </cell>
        </row>
        <row r="884">
          <cell r="C884" t="str">
            <v>Staff Village - Wide</v>
          </cell>
          <cell r="F884" t="str">
            <v>1SV10110F21</v>
          </cell>
          <cell r="G884" t="str">
            <v>1.SV.10.110.00</v>
          </cell>
          <cell r="J884" t="str">
            <v>Fajr Construction Company</v>
          </cell>
          <cell r="K884" t="str">
            <v>Supply, Installation and Maintenance of AMAALA Triple Bay Site-Wide Logistics Works (Call off Order No: 015) - Staff Village - MEP Works</v>
          </cell>
        </row>
        <row r="885">
          <cell r="C885" t="str">
            <v>Triple Bay Construction Logistics</v>
          </cell>
          <cell r="F885" t="str">
            <v>1TB04034F14</v>
          </cell>
          <cell r="G885" t="str">
            <v>1.TB.04.034.01</v>
          </cell>
          <cell r="J885" t="str">
            <v>Fajr Construction Company</v>
          </cell>
          <cell r="K885" t="str">
            <v>Supply, Installation and Maintenance of AMAALA Triple Bay Site-Wide Logistics Works (Call off Order No: 016) - Plumbing Works</v>
          </cell>
        </row>
        <row r="886">
          <cell r="C886" t="str">
            <v>Triple Bay Construction Logistics</v>
          </cell>
          <cell r="F886" t="str">
            <v>1TB04034F15</v>
          </cell>
          <cell r="G886" t="str">
            <v>1.TB.04.034.01</v>
          </cell>
          <cell r="J886" t="str">
            <v>Fajr Construction Company</v>
          </cell>
          <cell r="K886" t="str">
            <v>Supply, Installation and Maintenance of AMAALA Triple Bay Site-Wide Logistics Works (Call off Order No: 017) - Electrical, Fire Protection and General Works</v>
          </cell>
        </row>
        <row r="887">
          <cell r="C887" t="str">
            <v>Marina Village - Wide</v>
          </cell>
          <cell r="F887" t="str">
            <v>1TB01100F12</v>
          </cell>
          <cell r="G887" t="str">
            <v>1.TB.01.100.00</v>
          </cell>
          <cell r="J887" t="str">
            <v>Hamad Al Rugaib and Sons Trading Company</v>
          </cell>
          <cell r="K887" t="str">
            <v>Marina - Temporary Offices Employer's Office and Canteen Furniture Delivery and Installation</v>
          </cell>
        </row>
        <row r="888">
          <cell r="C888" t="str">
            <v>Staff Village - Wide</v>
          </cell>
          <cell r="F888" t="str">
            <v>1SV10110C42</v>
          </cell>
          <cell r="G888" t="str">
            <v>1.SV.10.110.00</v>
          </cell>
          <cell r="J888" t="str">
            <v>Antidiva HK Limited</v>
          </cell>
          <cell r="K888" t="str">
            <v>Supply of FFE/OSE for AMAALA Staff Village Linear Apartment - Zone 4</v>
          </cell>
        </row>
        <row r="889">
          <cell r="C889" t="str">
            <v>Staff Village - Wide</v>
          </cell>
          <cell r="F889" t="str">
            <v>1SV10110C45</v>
          </cell>
          <cell r="G889" t="str">
            <v>1.SV.10.110.00</v>
          </cell>
          <cell r="J889" t="str">
            <v>Thuraya Turnkey Projects</v>
          </cell>
          <cell r="K889" t="str">
            <v>Supply of FFE Items to AMAALA Staff Village Zone 6A, 6B Lounge Area in Z Type - 13 Buildings</v>
          </cell>
        </row>
        <row r="890">
          <cell r="C890" t="str">
            <v>Triple Bay Construction Logistics</v>
          </cell>
          <cell r="F890" t="str">
            <v>1TB04034C25</v>
          </cell>
          <cell r="G890" t="str">
            <v>1.TB.04.034.01</v>
          </cell>
          <cell r="J890" t="str">
            <v>Alkuhaimi Advanced Electronics System</v>
          </cell>
          <cell r="K890" t="str">
            <v>Design, Supply, Installation &amp; Maintenance of Electronic Security Systems at Staff Village</v>
          </cell>
        </row>
        <row r="891">
          <cell r="C891" t="str">
            <v>Public Realm</v>
          </cell>
          <cell r="F891" t="str">
            <v>1TB04030C62</v>
          </cell>
          <cell r="G891" t="str">
            <v>1.TB.04.030.02</v>
          </cell>
          <cell r="J891" t="str">
            <v>Garden Star Agriculture Co.</v>
          </cell>
          <cell r="K891" t="str">
            <v>Plant Supply Package</v>
          </cell>
        </row>
        <row r="892">
          <cell r="C892" t="str">
            <v>Construction Village - Wide</v>
          </cell>
          <cell r="F892" t="str">
            <v>1CV08800C05</v>
          </cell>
          <cell r="G892" t="str">
            <v>1.CV.08.800.00</v>
          </cell>
          <cell r="J892" t="str">
            <v>Al Sawab Commercial Company</v>
          </cell>
          <cell r="K892" t="str">
            <v>Supply and Delivery of 192 units of Refrigerators and 316 Nr of Kettles</v>
          </cell>
        </row>
        <row r="893">
          <cell r="C893" t="str">
            <v>Triple Bay Construction Logistics</v>
          </cell>
          <cell r="F893" t="str">
            <v>1TB04034F16</v>
          </cell>
          <cell r="G893" t="str">
            <v>1.TB.04.034.01</v>
          </cell>
          <cell r="J893" t="str">
            <v>Fajr Construction Company</v>
          </cell>
          <cell r="K893" t="str">
            <v>Supply, Installation and Maintenance of AMAALA Triple Bay Site-Wide Logistics Works (Call off Order No: 019) - SFSP Services &amp; DATA CENTER Requirements</v>
          </cell>
        </row>
        <row r="894">
          <cell r="C894" t="str">
            <v>Ocean Golf Resort</v>
          </cell>
          <cell r="F894" t="str">
            <v>1TB05022C29</v>
          </cell>
          <cell r="G894" t="str">
            <v>1.TB.05.022.01</v>
          </cell>
          <cell r="J894" t="str">
            <v>Soil Improvement Contracting</v>
          </cell>
          <cell r="K894" t="str">
            <v>Ground Improvement Works for Ocean Golf Resort (14C)</v>
          </cell>
        </row>
        <row r="895">
          <cell r="C895" t="str">
            <v>Red Sea Marine Life Institute</v>
          </cell>
          <cell r="F895" t="str">
            <v>1TB01005C36</v>
          </cell>
          <cell r="G895" t="str">
            <v>1.TB.01.005.01</v>
          </cell>
          <cell r="J895" t="str">
            <v>Jasmine Meadows Agricultural Co.</v>
          </cell>
          <cell r="K895" t="str">
            <v>Plant Supply Package</v>
          </cell>
        </row>
        <row r="896">
          <cell r="C896" t="str">
            <v>Marina Village - Wide</v>
          </cell>
          <cell r="F896" t="str">
            <v>1TB01100F15</v>
          </cell>
          <cell r="G896" t="str">
            <v>1.TB.01.100.00</v>
          </cell>
          <cell r="J896" t="str">
            <v>Badael Al Taqnaya Industrial Co</v>
          </cell>
          <cell r="K896" t="str">
            <v>Marina Village - Wide - Temporary Offices - Contractor's Office Furniture Delivery and Installation</v>
          </cell>
        </row>
        <row r="897">
          <cell r="C897" t="str">
            <v>Marina Village - Wide</v>
          </cell>
          <cell r="F897" t="str">
            <v>1TB01100C16</v>
          </cell>
          <cell r="G897" t="str">
            <v>1.TB.01.100.00</v>
          </cell>
          <cell r="J897" t="str">
            <v>Jasmine Meadows Agricultural Co.</v>
          </cell>
          <cell r="K897" t="str">
            <v>Plant Supply Package</v>
          </cell>
        </row>
        <row r="898">
          <cell r="C898" t="str">
            <v>Marina Village - Wide</v>
          </cell>
          <cell r="F898" t="str">
            <v>1TB01100C27</v>
          </cell>
          <cell r="G898" t="str">
            <v>1.TB.01.100.00</v>
          </cell>
          <cell r="J898" t="str">
            <v>Rabiah Garden for Trade and Contracting Company</v>
          </cell>
          <cell r="K898" t="str">
            <v>Plant Supply Package</v>
          </cell>
        </row>
        <row r="899">
          <cell r="C899" t="str">
            <v>Marina Village - Wide</v>
          </cell>
          <cell r="F899" t="str">
            <v>1TB01100C28</v>
          </cell>
          <cell r="G899" t="str">
            <v>1.TB.01.100.00</v>
          </cell>
          <cell r="J899" t="str">
            <v>Basatin Alsaher Est.</v>
          </cell>
          <cell r="K899" t="str">
            <v>Plant Supply Package</v>
          </cell>
        </row>
        <row r="900">
          <cell r="C900" t="str">
            <v>Marina Village - Wide</v>
          </cell>
          <cell r="F900" t="str">
            <v>1TB01100C26</v>
          </cell>
          <cell r="G900" t="str">
            <v>1.TB.01.100.00</v>
          </cell>
          <cell r="J900" t="str">
            <v>Jasmine Meadows Agricultural Co.</v>
          </cell>
          <cell r="K900" t="str">
            <v>Plant Supply Package</v>
          </cell>
        </row>
        <row r="901">
          <cell r="C901" t="str">
            <v>Marina Village - Wide</v>
          </cell>
          <cell r="F901" t="str">
            <v>1TB01100C24</v>
          </cell>
          <cell r="G901" t="str">
            <v>1.TB.01.100.00</v>
          </cell>
          <cell r="J901" t="str">
            <v>Jasmine Meadows Agricultural Co.</v>
          </cell>
          <cell r="K901" t="str">
            <v>Plant Supply Package</v>
          </cell>
        </row>
        <row r="902">
          <cell r="C902" t="str">
            <v>Marina Village - Wide</v>
          </cell>
          <cell r="F902" t="str">
            <v>1TB01100C25</v>
          </cell>
          <cell r="G902" t="str">
            <v>1.TB.01.100.00</v>
          </cell>
          <cell r="J902" t="str">
            <v>Basatin Alsaher Est.</v>
          </cell>
          <cell r="K902" t="str">
            <v>Plant Supply Package</v>
          </cell>
        </row>
        <row r="903">
          <cell r="C903" t="str">
            <v>Ocean Golf Private Residences - Phase 2</v>
          </cell>
          <cell r="F903" t="str">
            <v>1TB05041C06</v>
          </cell>
          <cell r="G903" t="str">
            <v>1.TB.05.041.01</v>
          </cell>
          <cell r="J903" t="str">
            <v>Fatayerji Contracting Company Ltd</v>
          </cell>
          <cell r="K903" t="str">
            <v>Precast Concrete Works Package for the Ocean Golf Mountain Villas</v>
          </cell>
        </row>
        <row r="904">
          <cell r="C904" t="str">
            <v>Ocean Golf Resort</v>
          </cell>
          <cell r="F904" t="str">
            <v>1TB05022C28</v>
          </cell>
          <cell r="G904" t="str">
            <v>1.TB.05.022.01</v>
          </cell>
          <cell r="J904" t="str">
            <v>Alsaad General Contracting Co. Ltd</v>
          </cell>
          <cell r="K904" t="str">
            <v>Bulk Earthworks Package for a Ocean Golf Resort (14C)</v>
          </cell>
        </row>
        <row r="905">
          <cell r="C905" t="str">
            <v>Integrative Wellness</v>
          </cell>
          <cell r="F905" t="str">
            <v>1TB03007C35</v>
          </cell>
          <cell r="G905" t="str">
            <v>1.TB.03.007.99</v>
          </cell>
          <cell r="J905" t="str">
            <v>Saudi Company for Hardware (SACO)</v>
          </cell>
          <cell r="K905" t="str">
            <v xml:space="preserve">Supply of Office White Goods at Wellness Site - AMA02 </v>
          </cell>
        </row>
        <row r="906">
          <cell r="C906" t="str">
            <v>Primary Infrastructure</v>
          </cell>
          <cell r="F906" t="str">
            <v>1TB04029C13</v>
          </cell>
          <cell r="G906" t="str">
            <v>1.TB.04.029.01</v>
          </cell>
          <cell r="J906" t="str">
            <v>Al-Tajweed Trading &amp; Contracting Company</v>
          </cell>
          <cell r="K906" t="str">
            <v>Supply and Installation of Camel Fencing works as per MOT requirements on Highway 55</v>
          </cell>
        </row>
        <row r="907">
          <cell r="C907" t="str">
            <v>Ocean Golf Course &amp; Club House</v>
          </cell>
          <cell r="F907" t="str">
            <v>1TB05021C10</v>
          </cell>
          <cell r="G907" t="str">
            <v>1.TB.05.021.03</v>
          </cell>
          <cell r="J907" t="str">
            <v>Al Wasail Industrial Company</v>
          </cell>
          <cell r="K907" t="str">
            <v>Supply Only of Irrigation Material.</v>
          </cell>
        </row>
        <row r="908">
          <cell r="C908" t="str">
            <v>AMAALA Airside - Runways</v>
          </cell>
          <cell r="F908" t="str">
            <v>1AI16080B01</v>
          </cell>
          <cell r="G908" t="str">
            <v>1.AI.16.080.01</v>
          </cell>
          <cell r="J908" t="str">
            <v>AL-BANNA AL-MASTHAD FOR CONTRACTING (NEO BUILD UP CONSTRUCTION)</v>
          </cell>
          <cell r="K908" t="str">
            <v>Metal Works for ASO Building at Amaala Airfield Project</v>
          </cell>
        </row>
        <row r="909">
          <cell r="C909" t="str">
            <v>Marina Hotel 3</v>
          </cell>
          <cell r="F909" t="str">
            <v>1TB01009C30</v>
          </cell>
          <cell r="G909" t="str">
            <v>1.TB.01.009.01</v>
          </cell>
          <cell r="J909" t="str">
            <v>Piante Faro</v>
          </cell>
          <cell r="K909" t="str">
            <v>Plant Supply Package</v>
          </cell>
        </row>
        <row r="910">
          <cell r="C910" t="str">
            <v>Four Seasons Resort</v>
          </cell>
          <cell r="F910" t="str">
            <v>1TB02012C68</v>
          </cell>
          <cell r="G910" t="str">
            <v>1.TB.02.012.01</v>
          </cell>
          <cell r="J910" t="str">
            <v>Piante Faro</v>
          </cell>
          <cell r="K910" t="str">
            <v>Plant Supply Package</v>
          </cell>
        </row>
        <row r="911">
          <cell r="C911" t="str">
            <v>Marina Lifestyle Hotel &amp; Village</v>
          </cell>
          <cell r="F911" t="str">
            <v>1TB01002C40</v>
          </cell>
          <cell r="G911" t="str">
            <v>1.TB.01.002.99</v>
          </cell>
          <cell r="J911" t="str">
            <v>Piante Faro</v>
          </cell>
          <cell r="K911" t="str">
            <v>Plant Supply Package</v>
          </cell>
        </row>
        <row r="912">
          <cell r="C912" t="str">
            <v>Public Realm</v>
          </cell>
          <cell r="F912" t="str">
            <v>1TB04030C03</v>
          </cell>
          <cell r="G912" t="str">
            <v>1.TB.04.030.02</v>
          </cell>
          <cell r="J912" t="str">
            <v>Piante Faro</v>
          </cell>
          <cell r="K912" t="str">
            <v>Plant Supply Package</v>
          </cell>
        </row>
        <row r="913">
          <cell r="C913" t="str">
            <v>Public Realm</v>
          </cell>
          <cell r="F913" t="str">
            <v>1TB04030C69</v>
          </cell>
          <cell r="G913" t="str">
            <v>1.TB.04.030.02</v>
          </cell>
          <cell r="J913" t="str">
            <v>Piante Faro</v>
          </cell>
          <cell r="K913" t="str">
            <v>Plant Supply Package</v>
          </cell>
        </row>
        <row r="914">
          <cell r="C914" t="str">
            <v>Ocean Golf - Wide</v>
          </cell>
          <cell r="F914" t="str">
            <v>1TB05500C25</v>
          </cell>
          <cell r="G914" t="str">
            <v>1.TB.05.500.00</v>
          </cell>
          <cell r="J914" t="str">
            <v>Piante Faro</v>
          </cell>
          <cell r="K914" t="str">
            <v>Plant Supply Package</v>
          </cell>
        </row>
        <row r="915">
          <cell r="C915" t="str">
            <v>Public Realm</v>
          </cell>
          <cell r="F915" t="str">
            <v>1TB04030C06</v>
          </cell>
          <cell r="G915" t="str">
            <v>1.TB.04.030.02</v>
          </cell>
          <cell r="J915" t="str">
            <v>Basatin Alsaher Est.</v>
          </cell>
          <cell r="K915" t="str">
            <v>Plant Supply Package</v>
          </cell>
        </row>
        <row r="916">
          <cell r="C916" t="str">
            <v>Four Seasons Resort</v>
          </cell>
          <cell r="F916" t="str">
            <v>1TB02012C69</v>
          </cell>
          <cell r="G916" t="str">
            <v>1.TB.02.012.99</v>
          </cell>
          <cell r="J916" t="str">
            <v>Basatin Alsaher Est.</v>
          </cell>
          <cell r="K916" t="str">
            <v>Plant Supply Package</v>
          </cell>
        </row>
        <row r="917">
          <cell r="C917" t="str">
            <v>Village Boutique Hotel</v>
          </cell>
          <cell r="F917" t="str">
            <v>1TB01006C12</v>
          </cell>
          <cell r="G917" t="str">
            <v>1.TB.01.006.03</v>
          </cell>
          <cell r="J917" t="str">
            <v>Basatin Alsaher Est.</v>
          </cell>
          <cell r="K917" t="str">
            <v>Plant Supply Package</v>
          </cell>
        </row>
        <row r="918">
          <cell r="C918" t="str">
            <v>Wellness Core - Wide</v>
          </cell>
          <cell r="F918" t="str">
            <v>1TB03300C33</v>
          </cell>
          <cell r="G918" t="str">
            <v>1.TB.03.300.00</v>
          </cell>
          <cell r="J918" t="str">
            <v>Piante Faro</v>
          </cell>
          <cell r="K918" t="str">
            <v>Plant Supply Package</v>
          </cell>
        </row>
        <row r="919">
          <cell r="C919" t="str">
            <v>Public Realm</v>
          </cell>
          <cell r="F919" t="str">
            <v>1TB04030C90</v>
          </cell>
          <cell r="G919" t="str">
            <v>1.TB.04.030.02</v>
          </cell>
          <cell r="J919" t="str">
            <v>Piante Faro</v>
          </cell>
          <cell r="K919" t="str">
            <v>Plant Supply Package</v>
          </cell>
        </row>
        <row r="920">
          <cell r="C920" t="str">
            <v>Marina Village - Wide</v>
          </cell>
          <cell r="F920" t="str">
            <v>1TB01100C14</v>
          </cell>
          <cell r="G920" t="str">
            <v>1.TB.01.100.00</v>
          </cell>
          <cell r="J920" t="str">
            <v>Piante Faro</v>
          </cell>
          <cell r="K920" t="str">
            <v>Plant Supply Package</v>
          </cell>
        </row>
        <row r="921">
          <cell r="C921" t="str">
            <v>Integrative Wellness</v>
          </cell>
          <cell r="F921" t="str">
            <v>1TB03007C39</v>
          </cell>
          <cell r="G921" t="str">
            <v>1.TB.03.007.99</v>
          </cell>
          <cell r="J921" t="str">
            <v>Piante Faro</v>
          </cell>
          <cell r="K921" t="str">
            <v>Plant Supply Package</v>
          </cell>
        </row>
        <row r="922">
          <cell r="C922" t="str">
            <v>Staff Village - Wide</v>
          </cell>
          <cell r="F922" t="str">
            <v>1SV10110F22</v>
          </cell>
          <cell r="G922" t="str">
            <v>1.SV.10.110.00</v>
          </cell>
          <cell r="J922" t="str">
            <v>Antidiva HK Limited</v>
          </cell>
          <cell r="K922" t="str">
            <v xml:space="preserve">Supply of FFE / OSE to ASV Zone 1 - Villas and Town Houses &amp; Zone 2 Business Hotel </v>
          </cell>
        </row>
        <row r="923">
          <cell r="C923" t="str">
            <v>Marina Hotel 3</v>
          </cell>
          <cell r="F923" t="str">
            <v>1TB01009C29</v>
          </cell>
          <cell r="G923" t="str">
            <v>1.TB.01.009.01</v>
          </cell>
          <cell r="J923" t="str">
            <v>Jasmine Meadows Agricultural Co.</v>
          </cell>
          <cell r="K923" t="str">
            <v>Plant Supply Package</v>
          </cell>
        </row>
        <row r="924">
          <cell r="C924" t="str">
            <v>Integrative Wellness</v>
          </cell>
          <cell r="F924" t="str">
            <v>1TB03007C40</v>
          </cell>
          <cell r="G924" t="str">
            <v>1.TB.03.007.99</v>
          </cell>
          <cell r="J924" t="str">
            <v>Al Ryum Trading Establishment</v>
          </cell>
          <cell r="K924" t="str">
            <v>Plant Supply Package</v>
          </cell>
        </row>
        <row r="925">
          <cell r="C925" t="str">
            <v>Integrative Wellness</v>
          </cell>
          <cell r="F925" t="str">
            <v>1TB03007C41</v>
          </cell>
          <cell r="G925" t="str">
            <v>1.TB.03.007.99</v>
          </cell>
          <cell r="J925" t="str">
            <v>Zaid Alhussain &amp; Brothers Group</v>
          </cell>
          <cell r="K925" t="str">
            <v>Plant Supply Package</v>
          </cell>
        </row>
        <row r="926">
          <cell r="C926" t="str">
            <v>Staff Village - Wide</v>
          </cell>
          <cell r="F926" t="str">
            <v>1SV10110C46</v>
          </cell>
          <cell r="G926" t="str">
            <v>1.SV.10.110.00</v>
          </cell>
          <cell r="J926" t="str">
            <v>Abdulaziz Mohammed Hamoud Al Shaya Trading Co. Ltd</v>
          </cell>
          <cell r="K926" t="str">
            <v>Supply and Installation of Canteens' Kitchen Equipment</v>
          </cell>
        </row>
        <row r="927">
          <cell r="C927" t="str">
            <v>Marina Hotel 3</v>
          </cell>
          <cell r="F927" t="str">
            <v>1TB01009C20</v>
          </cell>
          <cell r="G927" t="str">
            <v>1.TB.01.009.01</v>
          </cell>
          <cell r="J927" t="str">
            <v>Arabian Building Support and Rehabilitation Co. Ltd.</v>
          </cell>
          <cell r="K927" t="str">
            <v>Roof and Balcony Works for Marina Hotel 3 at Triple Bay</v>
          </cell>
        </row>
        <row r="928">
          <cell r="C928" t="str">
            <v>Staff Village - Wide</v>
          </cell>
          <cell r="F928" t="str">
            <v>1SV10110C54</v>
          </cell>
          <cell r="G928" t="str">
            <v>1.SV.10.110.00</v>
          </cell>
          <cell r="J928" t="str">
            <v>Acacia LLC</v>
          </cell>
          <cell r="K928" t="str">
            <v>Plant Supply Package</v>
          </cell>
        </row>
        <row r="929">
          <cell r="C929" t="str">
            <v>Ocean Golf - Wide</v>
          </cell>
          <cell r="F929" t="str">
            <v>1TB05500C23</v>
          </cell>
          <cell r="G929" t="str">
            <v>1.TB.05.500.00</v>
          </cell>
          <cell r="J929" t="str">
            <v>Acacia LLC</v>
          </cell>
          <cell r="K929" t="str">
            <v>Plant Supply Package</v>
          </cell>
        </row>
        <row r="930">
          <cell r="C930" t="str">
            <v>Public Realm</v>
          </cell>
          <cell r="F930" t="str">
            <v>1TB04030C78</v>
          </cell>
          <cell r="G930" t="str">
            <v>1.TB.04.030.02</v>
          </cell>
          <cell r="J930" t="str">
            <v>Acacia LLC</v>
          </cell>
          <cell r="K930" t="str">
            <v>Plant Supply Package</v>
          </cell>
        </row>
        <row r="931">
          <cell r="C931" t="str">
            <v>Public Realm</v>
          </cell>
          <cell r="F931" t="str">
            <v>1TB04030C58</v>
          </cell>
          <cell r="G931" t="str">
            <v>1.TB.04.030.02</v>
          </cell>
          <cell r="J931" t="str">
            <v>Viveros Medipalm, S.A.</v>
          </cell>
          <cell r="K931" t="str">
            <v>Plant Supply Package</v>
          </cell>
        </row>
        <row r="932">
          <cell r="C932" t="str">
            <v>Four Seasons Resort</v>
          </cell>
          <cell r="F932" t="str">
            <v>1TB02012C71</v>
          </cell>
          <cell r="G932" t="str">
            <v>1.TB.02.012.99</v>
          </cell>
          <cell r="J932" t="str">
            <v>Jasmine Meadows Agricultural Co.</v>
          </cell>
          <cell r="K932" t="str">
            <v>Plant Supply Package</v>
          </cell>
        </row>
        <row r="933">
          <cell r="C933" t="str">
            <v>Four Seasons Resort</v>
          </cell>
          <cell r="F933" t="str">
            <v>1TB02012C66</v>
          </cell>
          <cell r="G933" t="str">
            <v>1.TB.02.012.99</v>
          </cell>
          <cell r="J933" t="str">
            <v>Jasmine Meadows Agricultural Co.</v>
          </cell>
          <cell r="K933" t="str">
            <v>Plant Supply Package</v>
          </cell>
        </row>
        <row r="934">
          <cell r="C934" t="str">
            <v>Public Realm</v>
          </cell>
          <cell r="F934" t="str">
            <v>1TB04030C59</v>
          </cell>
          <cell r="G934" t="str">
            <v>1.TB.04.030.02</v>
          </cell>
          <cell r="J934" t="str">
            <v>Nesma United Industries Co. Ltd.</v>
          </cell>
          <cell r="K934" t="str">
            <v>Plant Supply Package</v>
          </cell>
        </row>
        <row r="935">
          <cell r="C935" t="str">
            <v>Staff Village - Wide</v>
          </cell>
          <cell r="F935" t="str">
            <v>1SV10110C53</v>
          </cell>
          <cell r="G935" t="str">
            <v>1.SV.10.110.00</v>
          </cell>
          <cell r="J935" t="str">
            <v>Nesma United Industries Co. Ltd.</v>
          </cell>
          <cell r="K935" t="str">
            <v>Plant Supply Package</v>
          </cell>
        </row>
        <row r="936">
          <cell r="C936" t="str">
            <v>Staff Village - Wide</v>
          </cell>
          <cell r="F936" t="str">
            <v>1SV10110C22</v>
          </cell>
          <cell r="G936" t="str">
            <v>1.SV.10.110.00</v>
          </cell>
          <cell r="J936" t="str">
            <v>Jasmine Meadows Agricultural Co.</v>
          </cell>
          <cell r="K936" t="str">
            <v>Plant Supply Package</v>
          </cell>
        </row>
        <row r="937">
          <cell r="C937" t="str">
            <v>Staff Village - Wide</v>
          </cell>
          <cell r="F937" t="str">
            <v>1SV10110C55</v>
          </cell>
          <cell r="G937" t="str">
            <v>1.SV.10.110.00</v>
          </cell>
          <cell r="J937" t="str">
            <v>Jasmine Meadows Agricultural Co.</v>
          </cell>
          <cell r="K937" t="str">
            <v>Plant Supply Package</v>
          </cell>
        </row>
        <row r="938">
          <cell r="C938" t="str">
            <v>Marina Village - Wide</v>
          </cell>
          <cell r="F938" t="str">
            <v>1TB01100C31</v>
          </cell>
          <cell r="G938" t="str">
            <v>1.TB.01.100.00</v>
          </cell>
          <cell r="J938" t="str">
            <v>Piante Faro</v>
          </cell>
          <cell r="K938" t="str">
            <v>Plant Supply Package</v>
          </cell>
        </row>
        <row r="939">
          <cell r="C939" t="str">
            <v>Public Realm</v>
          </cell>
          <cell r="F939" t="str">
            <v>1TB04030C77</v>
          </cell>
          <cell r="G939" t="str">
            <v>1.TB.04.030.02</v>
          </cell>
          <cell r="J939" t="str">
            <v>HASCO Marine Works</v>
          </cell>
          <cell r="K939" t="str">
            <v xml:space="preserve">Bulk Earthworks &amp; Grading Works Package </v>
          </cell>
        </row>
        <row r="940">
          <cell r="C940" t="str">
            <v>Marina Hotel 3</v>
          </cell>
          <cell r="F940" t="str">
            <v>1TB01009C28</v>
          </cell>
          <cell r="G940" t="str">
            <v>1.TB.01.009.01</v>
          </cell>
          <cell r="J940" t="str">
            <v>Acacia LLC</v>
          </cell>
          <cell r="K940" t="str">
            <v>Plant Supply Package</v>
          </cell>
        </row>
        <row r="941">
          <cell r="C941" t="str">
            <v>Public Realm</v>
          </cell>
          <cell r="F941" t="str">
            <v>1TB04030C11</v>
          </cell>
          <cell r="G941" t="str">
            <v>1.TB.04.030.02</v>
          </cell>
          <cell r="J941" t="str">
            <v>Acacia LLC</v>
          </cell>
          <cell r="K941" t="str">
            <v>Plant Supply Package</v>
          </cell>
        </row>
        <row r="942">
          <cell r="C942" t="str">
            <v>Public Realm</v>
          </cell>
          <cell r="F942" t="str">
            <v>1TB04030C56</v>
          </cell>
          <cell r="G942" t="str">
            <v>1.TB.04.030.02</v>
          </cell>
          <cell r="J942" t="str">
            <v>Wahat Al Sahraa (Desert Oasis Nursery)</v>
          </cell>
          <cell r="K942" t="str">
            <v>Plant Supply Package_CONTRACT CANCELLED_CONTRACT VALUE USD 13,784.30</v>
          </cell>
        </row>
        <row r="943">
          <cell r="C943" t="str">
            <v>Public Realm</v>
          </cell>
          <cell r="F943" t="str">
            <v>1TB04030C57</v>
          </cell>
          <cell r="G943" t="str">
            <v>1.TB.04.030.02</v>
          </cell>
          <cell r="J943" t="str">
            <v>Jasmine Meadows Agricultural Co.</v>
          </cell>
          <cell r="K943" t="str">
            <v>Plant Supply Package</v>
          </cell>
        </row>
        <row r="944">
          <cell r="C944" t="str">
            <v>Public Realm</v>
          </cell>
          <cell r="F944" t="str">
            <v>1TB04030C65</v>
          </cell>
          <cell r="G944" t="str">
            <v>1.TB.04.030.02</v>
          </cell>
          <cell r="J944" t="str">
            <v>Jasmine Meadows Agricultural Co.</v>
          </cell>
          <cell r="K944" t="str">
            <v>Plant Supply Package</v>
          </cell>
        </row>
        <row r="945">
          <cell r="C945" t="str">
            <v>Construction Village Section 2 &amp; 3</v>
          </cell>
          <cell r="F945" t="str">
            <v>1CV08033C12</v>
          </cell>
          <cell r="G945" t="str">
            <v>1.CV.08.033.01</v>
          </cell>
          <cell r="J945" t="str">
            <v>Shandong Tiejun Electric Power Engineering Co. LTD. Branch</v>
          </cell>
          <cell r="K945" t="str">
            <v>Water Wells Drilling Requirements package related to Construction Village.</v>
          </cell>
        </row>
        <row r="946">
          <cell r="C946" t="str">
            <v>Highways and Civils</v>
          </cell>
          <cell r="F946" t="str">
            <v>1RI12078C18</v>
          </cell>
          <cell r="G946" t="str">
            <v>1.RI.12.078.01</v>
          </cell>
          <cell r="J946" t="str">
            <v>Jasmine Meadows Agricultural Co.</v>
          </cell>
          <cell r="K946" t="str">
            <v>Plant Supply Package</v>
          </cell>
        </row>
        <row r="947">
          <cell r="C947" t="str">
            <v>Highways and Civils</v>
          </cell>
          <cell r="F947" t="str">
            <v>1RI12078C17</v>
          </cell>
          <cell r="G947" t="str">
            <v>1.RI.12.078.01</v>
          </cell>
          <cell r="J947" t="str">
            <v>Nesma United Industries Co. Ltd.</v>
          </cell>
          <cell r="K947" t="str">
            <v>Plant Supply Package</v>
          </cell>
        </row>
        <row r="948">
          <cell r="C948" t="str">
            <v>Highways and Civils</v>
          </cell>
          <cell r="F948" t="str">
            <v>1RI12078C16</v>
          </cell>
          <cell r="G948" t="str">
            <v>1.RI.12.078.01</v>
          </cell>
          <cell r="J948" t="str">
            <v>Zaid Alhussain &amp; Brothers Group</v>
          </cell>
          <cell r="K948" t="str">
            <v>Plant Supply Package</v>
          </cell>
        </row>
        <row r="949">
          <cell r="C949" t="str">
            <v>Staff Village - Wide</v>
          </cell>
          <cell r="F949" t="str">
            <v>1SV10110F29</v>
          </cell>
          <cell r="G949" t="str">
            <v>1.SV.10.110.00</v>
          </cell>
          <cell r="J949" t="str">
            <v>Zuhair Fayez Partnership Consultants (ZFP)</v>
          </cell>
          <cell r="K949" t="str">
            <v>Third Party Authority for Multidisciplinary Review &amp; Certification Endorsement (Call off Order No: 023)</v>
          </cell>
        </row>
        <row r="950">
          <cell r="C950" t="str">
            <v>Public Realm</v>
          </cell>
          <cell r="F950" t="str">
            <v>1TB04030C93</v>
          </cell>
          <cell r="G950" t="str">
            <v>1.TB.04.030.02</v>
          </cell>
          <cell r="J950" t="str">
            <v>Rabiah Garden for Trade and Contracting Company</v>
          </cell>
          <cell r="K950" t="str">
            <v>Plant Supply Package</v>
          </cell>
        </row>
        <row r="951">
          <cell r="C951" t="str">
            <v>Public Realm</v>
          </cell>
          <cell r="F951" t="str">
            <v>1TB04030C79</v>
          </cell>
          <cell r="G951" t="str">
            <v>1.TB.04.030.02</v>
          </cell>
          <cell r="J951" t="str">
            <v>Jasmine Meadows Agricultural Co.</v>
          </cell>
          <cell r="K951" t="str">
            <v>Plant Supply Package</v>
          </cell>
        </row>
        <row r="952">
          <cell r="C952" t="str">
            <v>Public Realm</v>
          </cell>
          <cell r="F952" t="str">
            <v>1TB04030C82</v>
          </cell>
          <cell r="G952" t="str">
            <v>1.TB.04.030.02</v>
          </cell>
          <cell r="J952" t="str">
            <v>Jasmine Meadows Agricultural Co.</v>
          </cell>
          <cell r="K952" t="str">
            <v>Plant Supply Package</v>
          </cell>
        </row>
        <row r="953">
          <cell r="C953" t="str">
            <v>Public Realm</v>
          </cell>
          <cell r="F953" t="str">
            <v>1TB04030C81</v>
          </cell>
          <cell r="G953" t="str">
            <v>1.TB.04.030.02</v>
          </cell>
          <cell r="J953" t="str">
            <v>Viveros Medipalm, S.A.</v>
          </cell>
          <cell r="K953" t="str">
            <v>Plant Supply Package</v>
          </cell>
        </row>
        <row r="954">
          <cell r="C954" t="str">
            <v>Public Realm</v>
          </cell>
          <cell r="F954" t="str">
            <v>1TB04030C89</v>
          </cell>
          <cell r="G954" t="str">
            <v>1.TB.04.030.02</v>
          </cell>
          <cell r="J954" t="str">
            <v>Jasmine Meadows Agricultural Co.</v>
          </cell>
          <cell r="K954" t="str">
            <v>Plant Supply Package</v>
          </cell>
        </row>
        <row r="955">
          <cell r="C955" t="str">
            <v>Public Realm</v>
          </cell>
          <cell r="F955" t="str">
            <v>1TB04030C92</v>
          </cell>
          <cell r="G955" t="str">
            <v>1.TB.04.030.02</v>
          </cell>
          <cell r="J955" t="str">
            <v>Viveros Medipalm, S.A.</v>
          </cell>
          <cell r="K955" t="str">
            <v>Plant Supply Package</v>
          </cell>
        </row>
        <row r="956">
          <cell r="C956" t="str">
            <v>Public Realm</v>
          </cell>
          <cell r="F956" t="str">
            <v>1TB04030C42</v>
          </cell>
          <cell r="G956" t="str">
            <v>1.TB.04.030.02</v>
          </cell>
          <cell r="J956" t="str">
            <v>Jasmine Meadows Agricultural Co.</v>
          </cell>
          <cell r="K956" t="str">
            <v>Plant Supply Package</v>
          </cell>
        </row>
        <row r="957">
          <cell r="C957" t="str">
            <v>Staff Village - Wide</v>
          </cell>
          <cell r="F957" t="str">
            <v>1SV10110C63</v>
          </cell>
          <cell r="G957" t="str">
            <v>1.SV.10.110.00</v>
          </cell>
          <cell r="J957" t="str">
            <v>Chbib Environmental Care Co. Ltd</v>
          </cell>
          <cell r="K957" t="str">
            <v>Supply, Delivery of Waste bins</v>
          </cell>
        </row>
        <row r="958">
          <cell r="C958" t="str">
            <v>Staff Village - Wide</v>
          </cell>
          <cell r="F958" t="str">
            <v>1SV10110F24</v>
          </cell>
          <cell r="G958" t="str">
            <v>1.SV.10.110.00</v>
          </cell>
          <cell r="J958" t="str">
            <v>Thuraya Turnkey Projects</v>
          </cell>
          <cell r="K958" t="str">
            <v xml:space="preserve">Supply of FFE Items to ASV - Zone 4 </v>
          </cell>
        </row>
        <row r="959">
          <cell r="C959" t="str">
            <v>Staff Village - Wide</v>
          </cell>
          <cell r="F959" t="str">
            <v>1SV10110F25</v>
          </cell>
          <cell r="G959" t="str">
            <v>1.SV.10.110.00</v>
          </cell>
          <cell r="J959" t="str">
            <v>Thuraya Turnkey projects</v>
          </cell>
          <cell r="K959" t="str">
            <v xml:space="preserve">Supply of FFE Items to ASV - Zone 6A &amp; 6B </v>
          </cell>
        </row>
        <row r="960">
          <cell r="C960" t="str">
            <v>Staff Village - Wide</v>
          </cell>
          <cell r="F960" t="str">
            <v>1SV10110F23</v>
          </cell>
          <cell r="G960" t="str">
            <v>1.SV.10.110.00</v>
          </cell>
          <cell r="J960" t="str">
            <v>Thuraya Turnkey projects</v>
          </cell>
          <cell r="K960" t="str">
            <v>Supply of FFE Items to ASV - Zone 5</v>
          </cell>
        </row>
        <row r="961">
          <cell r="C961" t="str">
            <v>Staff Village - Wide</v>
          </cell>
          <cell r="F961" t="str">
            <v>1SV10110F27</v>
          </cell>
          <cell r="G961" t="str">
            <v>1.SV.10.110.00</v>
          </cell>
          <cell r="J961" t="str">
            <v>Magic Mirror Trading Est.</v>
          </cell>
          <cell r="K961" t="str">
            <v xml:space="preserve">Supply of required TV for ASV Zone 6 </v>
          </cell>
        </row>
        <row r="962">
          <cell r="C962" t="str">
            <v>Staff Village - Wide</v>
          </cell>
          <cell r="F962" t="str">
            <v>1SV10110F28</v>
          </cell>
          <cell r="G962" t="str">
            <v>1.SV.10.110.00</v>
          </cell>
          <cell r="J962" t="str">
            <v>Magic Mirror Trading Est.</v>
          </cell>
          <cell r="K962" t="str">
            <v xml:space="preserve">Supply of required TV for ASV Zone 4-Linear type A </v>
          </cell>
        </row>
        <row r="963">
          <cell r="C963" t="str">
            <v>Staff Village - Wide</v>
          </cell>
          <cell r="F963" t="str">
            <v>1SV10110C58</v>
          </cell>
          <cell r="G963" t="str">
            <v>1.SV.10.110.00</v>
          </cell>
          <cell r="J963" t="str">
            <v>Aardee Group FZE</v>
          </cell>
          <cell r="K963" t="str">
            <v>Freight Forwarding &amp; Logistics services </v>
          </cell>
        </row>
        <row r="964">
          <cell r="C964" t="str">
            <v>Staff Village - Wide</v>
          </cell>
          <cell r="F964" t="str">
            <v>1SV10110C59</v>
          </cell>
          <cell r="G964" t="str">
            <v>1.SV.10.110.00</v>
          </cell>
          <cell r="J964" t="str">
            <v>Aardee Group FZE</v>
          </cell>
          <cell r="K964" t="str">
            <v>Freight Forwarding &amp; Logistic Services for Zones 1, 2 &amp; 4 (8 Buildings-Linear Apartment)</v>
          </cell>
        </row>
        <row r="965">
          <cell r="C965" t="str">
            <v>Four Seasons Resort</v>
          </cell>
          <cell r="F965" t="str">
            <v>1TB02012C64</v>
          </cell>
          <cell r="G965" t="str">
            <v>1.TB.02.012.99</v>
          </cell>
          <cell r="J965" t="str">
            <v>Basatin Alsaher Est.</v>
          </cell>
          <cell r="K965" t="str">
            <v>Plant Supply Package</v>
          </cell>
        </row>
        <row r="966">
          <cell r="C966" t="str">
            <v>Wellness Core - Wide</v>
          </cell>
          <cell r="F966" t="str">
            <v>1TB03300C37</v>
          </cell>
          <cell r="G966" t="str">
            <v>1.TB.03.300.00</v>
          </cell>
          <cell r="J966" t="str">
            <v>Basatin Alsaher Est.</v>
          </cell>
          <cell r="K966" t="str">
            <v>Plant Supply Package</v>
          </cell>
        </row>
        <row r="967">
          <cell r="C967" t="str">
            <v>Ocean Golf Private Residences - Phase 1</v>
          </cell>
          <cell r="F967" t="str">
            <v>1TB05039C23</v>
          </cell>
          <cell r="G967" t="str">
            <v>1.TB.05.039.01</v>
          </cell>
          <cell r="J967" t="str">
            <v>Basatin Alsaher Est.</v>
          </cell>
          <cell r="K967" t="str">
            <v>Plant Supply Package</v>
          </cell>
        </row>
        <row r="968">
          <cell r="C968" t="str">
            <v>Staff Village - Wide</v>
          </cell>
          <cell r="F968" t="str">
            <v>1SV10110C62</v>
          </cell>
          <cell r="G968" t="str">
            <v>1.SV.10.110.00</v>
          </cell>
          <cell r="J968" t="str">
            <v>Gentelle Hotel Supplies Co. Ltd</v>
          </cell>
          <cell r="K968" t="str">
            <v xml:space="preserve">Supply Delivery &amp; Installation of Drapery to ASV </v>
          </cell>
        </row>
        <row r="969">
          <cell r="C969" t="str">
            <v>Wellness Core - Wide</v>
          </cell>
          <cell r="F969" t="str">
            <v>1TB03300C38</v>
          </cell>
          <cell r="G969" t="str">
            <v>1.TB.03.300.00</v>
          </cell>
          <cell r="J969" t="str">
            <v>Nesma United Industries Co. Ltd.</v>
          </cell>
          <cell r="K969" t="str">
            <v>Plant Supply Package</v>
          </cell>
        </row>
        <row r="970">
          <cell r="C970" t="str">
            <v>Medical Wellness</v>
          </cell>
          <cell r="F970" t="str">
            <v>1TB03008C12</v>
          </cell>
          <cell r="G970" t="str">
            <v>1.TB.03.008.01</v>
          </cell>
          <cell r="J970" t="str">
            <v>Al Faisaliah Medical Systems Co</v>
          </cell>
          <cell r="K970" t="str">
            <v>Medical Wellness – Medical Equipment Package Part A</v>
          </cell>
        </row>
        <row r="971">
          <cell r="C971" t="str">
            <v>Staff Village - Wide</v>
          </cell>
          <cell r="F971" t="str">
            <v>1SV10110C39</v>
          </cell>
          <cell r="G971" t="str">
            <v>1.SV.10.110.00</v>
          </cell>
          <cell r="J971" t="str">
            <v>GILL LADARA AL-HADITHA For Trading</v>
          </cell>
          <cell r="K971" t="str">
            <v>Medical Equipment Package</v>
          </cell>
        </row>
        <row r="972">
          <cell r="C972" t="str">
            <v>Medical Wellness</v>
          </cell>
          <cell r="F972" t="str">
            <v>1TB03008C34</v>
          </cell>
          <cell r="G972" t="str">
            <v>1.TB.03.008.01</v>
          </cell>
          <cell r="J972" t="str">
            <v>Care &amp; Planning for Hospitals Co. Ltd.</v>
          </cell>
          <cell r="K972" t="str">
            <v>Medical Wellness – Medical Equipment Package Part B</v>
          </cell>
        </row>
        <row r="973">
          <cell r="C973" t="str">
            <v>Construction Village Section 2 &amp; 3</v>
          </cell>
          <cell r="F973" t="str">
            <v>1CV08033F05</v>
          </cell>
          <cell r="G973" t="str">
            <v>1.CV.08.033.01</v>
          </cell>
          <cell r="J973" t="str">
            <v>Magic Mirror Trading Est.</v>
          </cell>
          <cell r="K973" t="str">
            <v>Supply of TVs - Rooms at Area 12</v>
          </cell>
        </row>
        <row r="974">
          <cell r="C974" t="str">
            <v>Village Boutique Hotel</v>
          </cell>
          <cell r="F974" t="str">
            <v>1TB01006C44</v>
          </cell>
          <cell r="G974" t="str">
            <v>1.TB.01.006.99</v>
          </cell>
          <cell r="J974" t="str">
            <v>DOHA Extraco</v>
          </cell>
          <cell r="K974" t="str">
            <v>Building Envelope – “Supply Only” Works Package for the Village Boutique Hotel at Triple Bay, AMAALA</v>
          </cell>
        </row>
        <row r="975">
          <cell r="C975" t="str">
            <v>Village Boutique Hotel</v>
          </cell>
          <cell r="F975" t="str">
            <v>1TB01006C45</v>
          </cell>
          <cell r="G975" t="str">
            <v>1.TB.01.006.99</v>
          </cell>
          <cell r="J975" t="str">
            <v>INDUSTRIAL CEMENT ADDITIVES COMPANY</v>
          </cell>
          <cell r="K975" t="str">
            <v>Building Envelope – “Installation Only” Works Package for the Village Boutique Hotel at Triple Bay, AMAALA</v>
          </cell>
        </row>
        <row r="976">
          <cell r="C976" t="str">
            <v>Staff Village - Wide</v>
          </cell>
          <cell r="F976" t="str">
            <v>1SV10110F32</v>
          </cell>
          <cell r="G976" t="str">
            <v>1.SV.10.110.00</v>
          </cell>
          <cell r="J976" t="str">
            <v>Delta Marketing Co</v>
          </cell>
          <cell r="K976" t="str">
            <v xml:space="preserve"> Supply of Gym Equipment for ASV </v>
          </cell>
        </row>
        <row r="977">
          <cell r="C977" t="str">
            <v>Marina Village - Wide</v>
          </cell>
          <cell r="F977" t="str">
            <v>1TB01100C13</v>
          </cell>
          <cell r="G977" t="str">
            <v>1.TB.01.100.00</v>
          </cell>
          <cell r="J977" t="str">
            <v>Viveros Medipalm, S.A.</v>
          </cell>
          <cell r="K977" t="str">
            <v>Plant Supply Package</v>
          </cell>
        </row>
        <row r="978">
          <cell r="C978" t="str">
            <v>Marina Village - Wide</v>
          </cell>
          <cell r="F978" t="str">
            <v>1TB01100C32</v>
          </cell>
          <cell r="G978" t="str">
            <v>1.TB.01.100.00</v>
          </cell>
          <cell r="J978" t="str">
            <v>Viveros Medipalm, S.A.</v>
          </cell>
          <cell r="K978" t="str">
            <v>Plant Supply Package</v>
          </cell>
        </row>
        <row r="979">
          <cell r="C979" t="str">
            <v>Marina Village - Wide</v>
          </cell>
          <cell r="F979" t="str">
            <v>1TB01100C33</v>
          </cell>
          <cell r="G979" t="str">
            <v>1.TB.01.100.00</v>
          </cell>
          <cell r="J979" t="str">
            <v>Viveros Medipalm, S.A.</v>
          </cell>
          <cell r="K979" t="str">
            <v>Plant Supply Package</v>
          </cell>
        </row>
        <row r="980">
          <cell r="C980" t="str">
            <v>Marina Village - Wide</v>
          </cell>
          <cell r="F980" t="str">
            <v>1TB01100C34</v>
          </cell>
          <cell r="G980" t="str">
            <v>1.TB.01.100.00</v>
          </cell>
          <cell r="J980" t="str">
            <v>Rabiah Garden for Trade and Contracting Company</v>
          </cell>
          <cell r="K980" t="str">
            <v>Plant Supply Package_CONTRACT CANCELLED_CONTRACT VALUE USD 68,250</v>
          </cell>
        </row>
        <row r="981">
          <cell r="C981" t="str">
            <v>Marina Village - Wide</v>
          </cell>
          <cell r="F981" t="str">
            <v>1TB01100C15</v>
          </cell>
          <cell r="G981" t="str">
            <v>1.TB.01.100.00</v>
          </cell>
          <cell r="J981" t="str">
            <v>Rabiah Garden for Trade and Contracting Company</v>
          </cell>
          <cell r="K981" t="str">
            <v>Plant Supply Package</v>
          </cell>
        </row>
        <row r="982">
          <cell r="C982" t="str">
            <v>Ocean Golf Private Residences - Phase 1</v>
          </cell>
          <cell r="F982" t="str">
            <v>1TB05039C24</v>
          </cell>
          <cell r="G982" t="str">
            <v>1.TB.05.039.01</v>
          </cell>
          <cell r="J982" t="str">
            <v>Viveros Medipalm, S.A.</v>
          </cell>
          <cell r="K982" t="str">
            <v>Plant Supply Package</v>
          </cell>
        </row>
        <row r="983">
          <cell r="C983" t="str">
            <v>Wellness Core - Wide</v>
          </cell>
          <cell r="F983" t="str">
            <v>1TB03300C34</v>
          </cell>
          <cell r="G983" t="str">
            <v>1.TB.03.300.00</v>
          </cell>
          <cell r="J983" t="str">
            <v>Viveros Medipalm, S.A.</v>
          </cell>
          <cell r="K983" t="str">
            <v>Plant Supply Package</v>
          </cell>
        </row>
        <row r="984">
          <cell r="C984" t="str">
            <v>Marina Hotel 3</v>
          </cell>
          <cell r="F984" t="str">
            <v>1TB01009C32</v>
          </cell>
          <cell r="G984" t="str">
            <v>1.TB.01.009.01</v>
          </cell>
          <cell r="J984" t="str">
            <v>Basatin Alsaher Est.</v>
          </cell>
          <cell r="K984" t="str">
            <v>Plant Supply Package</v>
          </cell>
        </row>
        <row r="985">
          <cell r="C985" t="str">
            <v>Marina Hotel 3</v>
          </cell>
          <cell r="F985" t="str">
            <v>1TB01009C22</v>
          </cell>
          <cell r="G985" t="str">
            <v>1.TB.01.009.01</v>
          </cell>
          <cell r="J985" t="str">
            <v>MENTIGAT AL-MUTQADMA Ltd (Advance Products Company LTD.)</v>
          </cell>
          <cell r="K985" t="str">
            <v>Marina Hotel 3 – Swimming Pools and Water Features</v>
          </cell>
        </row>
        <row r="986">
          <cell r="C986" t="str">
            <v>Ocean Golf Private Residences - Phase 1</v>
          </cell>
          <cell r="F986" t="str">
            <v>1TB05039C25</v>
          </cell>
          <cell r="G986" t="str">
            <v>1.TB.05.039.01</v>
          </cell>
          <cell r="J986" t="str">
            <v>Rabiah Garden for Trade and Contracting Company</v>
          </cell>
          <cell r="K986" t="str">
            <v>Plant Supply Package</v>
          </cell>
        </row>
        <row r="987">
          <cell r="C987" t="str">
            <v>Marina Hotel 3</v>
          </cell>
          <cell r="F987" t="str">
            <v>1TB01009C31</v>
          </cell>
          <cell r="G987" t="str">
            <v>1.TB.01.009.01</v>
          </cell>
          <cell r="J987" t="str">
            <v>Nabatat Contracting Company</v>
          </cell>
          <cell r="K987" t="str">
            <v>Plant Supply Package_CONTRACT CANCELLED_CONTRACT VALUE SAR 144,045</v>
          </cell>
        </row>
        <row r="988">
          <cell r="C988" t="str">
            <v>Staff Village - Wide</v>
          </cell>
          <cell r="F988" t="str">
            <v>1SV10110C60</v>
          </cell>
          <cell r="G988" t="str">
            <v>1.SV.10.110.00</v>
          </cell>
          <cell r="J988" t="str">
            <v>Rabiah Garden for Trade and Contracting Company</v>
          </cell>
          <cell r="K988" t="str">
            <v>Plant Supply Package</v>
          </cell>
        </row>
        <row r="989">
          <cell r="C989" t="str">
            <v>Village Boutique Hotel</v>
          </cell>
          <cell r="F989" t="str">
            <v>1TB01006C40</v>
          </cell>
          <cell r="G989" t="str">
            <v>1.TB.01.006.99</v>
          </cell>
          <cell r="J989" t="str">
            <v>Basatin Alsaher Est.</v>
          </cell>
          <cell r="K989" t="str">
            <v>Plant Supply Package</v>
          </cell>
        </row>
        <row r="990">
          <cell r="C990" t="str">
            <v>Triple Bay Construction Logistics</v>
          </cell>
          <cell r="F990" t="str">
            <v>1TB04034C29</v>
          </cell>
          <cell r="G990" t="str">
            <v>1.TB.04.034.01</v>
          </cell>
          <cell r="J990" t="str">
            <v>PACT Engineering (FZC)</v>
          </cell>
          <cell r="K990" t="str">
            <v>Supply of Mobile STPs in Staff Village &amp; Tripple Bay of Amaala Development</v>
          </cell>
        </row>
        <row r="991">
          <cell r="C991" t="str">
            <v>Ocean Golf Private Residences - Phase 1</v>
          </cell>
          <cell r="F991" t="str">
            <v>1TB05039C02</v>
          </cell>
          <cell r="G991" t="str">
            <v>1.TB.05.039.01</v>
          </cell>
          <cell r="J991" t="str">
            <v>Arab Supply &amp; Trading Co. (ASTRA Construction)</v>
          </cell>
          <cell r="K991" t="str">
            <v>Secondary Infrastructure Works of AMAALA Triple Bay Ocean Golf Residence Project.</v>
          </cell>
        </row>
        <row r="992">
          <cell r="C992" t="str">
            <v>Red Sea Marine Life Institute</v>
          </cell>
          <cell r="F992" t="str">
            <v>1TB01005C49</v>
          </cell>
          <cell r="G992" t="str">
            <v>1.TB.01.005.01</v>
          </cell>
          <cell r="J992" t="str">
            <v>Arabian towers co</v>
          </cell>
          <cell r="K992" t="str">
            <v>Supply of tower crane</v>
          </cell>
        </row>
        <row r="993">
          <cell r="C993" t="str">
            <v>Ocean Golf Resort</v>
          </cell>
          <cell r="F993" t="str">
            <v>1TB05022C30</v>
          </cell>
          <cell r="G993" t="str">
            <v>1.TB.05.022.01</v>
          </cell>
          <cell r="J993" t="str">
            <v>Asas Projects for General Architectural Contracting</v>
          </cell>
          <cell r="K993" t="str">
            <v>AMAALA Triple Bay Ocean Golf Resort- Traditional Guest Room Mockup Works</v>
          </cell>
        </row>
        <row r="994">
          <cell r="C994" t="str">
            <v>AMAALA Yacht Club</v>
          </cell>
          <cell r="F994" t="str">
            <v>1TB01003C31</v>
          </cell>
          <cell r="G994" t="str">
            <v>1.TB.01.003.01</v>
          </cell>
          <cell r="J994" t="str">
            <v>MAS Engineering &amp; Construction Company LTD</v>
          </cell>
          <cell r="K994" t="str">
            <v>Provision of construction manpower</v>
          </cell>
        </row>
        <row r="995">
          <cell r="C995" t="str">
            <v>The Marina</v>
          </cell>
          <cell r="F995" t="str">
            <v>1TB01031C13</v>
          </cell>
          <cell r="G995" t="str">
            <v>1.TB.01.031.01</v>
          </cell>
          <cell r="J995" t="str">
            <v>Supreme Rubber LLC</v>
          </cell>
          <cell r="K995" t="str">
            <v>Amaala Triple Bay – The Marina – Supply of the Marina Furniture Package</v>
          </cell>
        </row>
        <row r="996">
          <cell r="C996" t="str">
            <v>Triple Bay Construction Logistics</v>
          </cell>
          <cell r="F996" t="str">
            <v>1TB04034F18</v>
          </cell>
          <cell r="G996" t="str">
            <v>1.TB.04.034.01</v>
          </cell>
          <cell r="J996" t="str">
            <v>Fajr Construction Company</v>
          </cell>
          <cell r="K996" t="str">
            <v>Supply, Installation and Maintenance of AMAALA Triple Bay Site-Wide Logistics Works (Call off Order No: 020)</v>
          </cell>
        </row>
        <row r="997">
          <cell r="C997" t="str">
            <v>Marina Hotel 3</v>
          </cell>
          <cell r="F997" t="str">
            <v>1TB01009C09</v>
          </cell>
          <cell r="G997" t="str">
            <v>1.TB.01.009.01</v>
          </cell>
          <cell r="J997" t="str">
            <v>IMAR Overseas Saudi Arabia Company</v>
          </cell>
          <cell r="K997" t="str">
            <v>AMAALA Triple Bay – Marina Hotel 3 – Guest Rooms &amp; Corridor Fit-Out Works Package.</v>
          </cell>
        </row>
        <row r="998">
          <cell r="C998" t="str">
            <v>Numan Island Side wide</v>
          </cell>
          <cell r="F998" t="str">
            <v>AIL00O00C06</v>
          </cell>
          <cell r="G998" t="str">
            <v>A.IL.00.O00.00</v>
          </cell>
          <cell r="J998" t="str">
            <v>Rawabi Butec Ltd. Co</v>
          </cell>
          <cell r="K998" t="str">
            <v>Amaala Nuaman Island Airport Temporary Client Site Offices</v>
          </cell>
        </row>
        <row r="999">
          <cell r="C999" t="str">
            <v>Four Seasons Resort</v>
          </cell>
          <cell r="F999" t="str">
            <v>1TB02012C22</v>
          </cell>
          <cell r="G999" t="str">
            <v>1.TB.02.012.01</v>
          </cell>
          <cell r="J999" t="str">
            <v>Acacia LLC</v>
          </cell>
          <cell r="K999" t="str">
            <v>Plant Supply Package</v>
          </cell>
        </row>
        <row r="1000">
          <cell r="C1000" t="str">
            <v>Wellness Core - Wide</v>
          </cell>
          <cell r="F1000" t="str">
            <v>1TB03300C32</v>
          </cell>
          <cell r="G1000" t="str">
            <v>1.TB.03.300.00</v>
          </cell>
          <cell r="J1000" t="str">
            <v>Jasmine Meadows Agricultural Co.</v>
          </cell>
          <cell r="K1000" t="str">
            <v>Plant Supply Package</v>
          </cell>
        </row>
        <row r="1001">
          <cell r="C1001" t="str">
            <v>Marina Village - Wide</v>
          </cell>
          <cell r="F1001" t="str">
            <v>1TB01100C37</v>
          </cell>
          <cell r="G1001" t="str">
            <v>1.TB.01.100.00</v>
          </cell>
          <cell r="J1001" t="str">
            <v>Jasmine Meadows Agricultural Co.</v>
          </cell>
          <cell r="K1001" t="str">
            <v>Plant Supply Package</v>
          </cell>
        </row>
        <row r="1002">
          <cell r="C1002" t="str">
            <v>Ocean Golf Private Residences - Phase 1</v>
          </cell>
          <cell r="F1002" t="str">
            <v>1TB05039C28</v>
          </cell>
          <cell r="G1002" t="str">
            <v>1.TB.05.039.01</v>
          </cell>
          <cell r="J1002" t="str">
            <v>Jasmine Meadows Agricultural Co.</v>
          </cell>
          <cell r="K1002" t="str">
            <v>Plant Supply Package</v>
          </cell>
        </row>
        <row r="1003">
          <cell r="C1003" t="str">
            <v>Staff Village - Wide</v>
          </cell>
          <cell r="F1003" t="str">
            <v>1SV10110F33</v>
          </cell>
          <cell r="G1003" t="str">
            <v>1.SV.10.110.00</v>
          </cell>
          <cell r="J1003" t="str">
            <v>Abdul Latif Jameel Electronics and Air Conditioning Co. Ltd</v>
          </cell>
          <cell r="K1003" t="str">
            <v>Supply Of White Goods</v>
          </cell>
        </row>
        <row r="1004">
          <cell r="C1004" t="str">
            <v>AMAALA Yacht Club</v>
          </cell>
          <cell r="F1004" t="str">
            <v>1TB01003C32</v>
          </cell>
          <cell r="G1004" t="str">
            <v>1.TB.01.003.01</v>
          </cell>
          <cell r="J1004" t="str">
            <v>MAS Engineering &amp; Construction Company LTD</v>
          </cell>
          <cell r="K1004" t="str">
            <v>Ampitheatre Concrete Works</v>
          </cell>
        </row>
        <row r="1005">
          <cell r="C1005" t="str">
            <v>Marina Village - Wide</v>
          </cell>
          <cell r="F1005" t="str">
            <v>1TB01100C12</v>
          </cell>
          <cell r="G1005" t="str">
            <v>1.TB.01.100.00</v>
          </cell>
          <cell r="J1005" t="str">
            <v>Jasmine Meadows Agricultural Co.</v>
          </cell>
          <cell r="K1005" t="str">
            <v>Plant Supply Package</v>
          </cell>
        </row>
        <row r="1006">
          <cell r="C1006" t="str">
            <v>Marina Village - Wide</v>
          </cell>
          <cell r="F1006" t="str">
            <v>1TB01100C40</v>
          </cell>
          <cell r="G1006" t="str">
            <v>1.TB.01.100.00</v>
          </cell>
          <cell r="J1006" t="str">
            <v>Jasmine Meadows Agricultural Co.</v>
          </cell>
          <cell r="K1006" t="str">
            <v>Plant Supply Package</v>
          </cell>
        </row>
        <row r="1007">
          <cell r="C1007" t="str">
            <v>Marina Village - Wide</v>
          </cell>
          <cell r="F1007" t="str">
            <v>1TB01100C36</v>
          </cell>
          <cell r="G1007" t="str">
            <v>1.TB.01.100.00</v>
          </cell>
          <cell r="J1007" t="str">
            <v>Jasmine Meadows Agricultural Co.</v>
          </cell>
          <cell r="K1007" t="str">
            <v>Plant Supply Package</v>
          </cell>
        </row>
        <row r="1008">
          <cell r="C1008" t="str">
            <v>Rosewood Resort</v>
          </cell>
          <cell r="F1008" t="str">
            <v>1TB02011C84</v>
          </cell>
          <cell r="G1008" t="str">
            <v>1.TB.02.011.01</v>
          </cell>
          <cell r="J1008" t="str">
            <v>DAYIM EQUIPMENT RENTAL Co.</v>
          </cell>
          <cell r="K1008" t="str">
            <v xml:space="preserve">Hire of Miscellaneous Plant Package. </v>
          </cell>
        </row>
        <row r="1009">
          <cell r="C1009" t="str">
            <v>Staff Village - Wide</v>
          </cell>
          <cell r="F1009" t="str">
            <v>1SV10110C69</v>
          </cell>
          <cell r="G1009" t="str">
            <v>1.SV.10.110.00</v>
          </cell>
          <cell r="J1009" t="str">
            <v>Gentelle Hotel Supplies Co. Ltd</v>
          </cell>
          <cell r="K1009" t="str">
            <v xml:space="preserve">Supply, Delivery &amp; Installation of Drapery to ASV Zone 1 - Villas &amp; Townhouses </v>
          </cell>
        </row>
        <row r="1010">
          <cell r="C1010" t="str">
            <v>Staff Village - Wide</v>
          </cell>
          <cell r="F1010" t="str">
            <v>1SV10110F35</v>
          </cell>
          <cell r="G1010" t="str">
            <v>1.SV.10.110.00</v>
          </cell>
          <cell r="J1010" t="str">
            <v>Abdul Latif Jameel Electronics and Air Conditioning Co. Ltd</v>
          </cell>
          <cell r="K1010" t="str">
            <v xml:space="preserve">Supply of Whitegoods for Zone 1 and Zone 6 </v>
          </cell>
        </row>
        <row r="1011">
          <cell r="C1011" t="str">
            <v>Ocean Golf Private Residences - Phase 1</v>
          </cell>
          <cell r="F1011" t="str">
            <v>1TB05039C26</v>
          </cell>
          <cell r="G1011" t="str">
            <v>1.TB.05.039.01</v>
          </cell>
          <cell r="J1011" t="str">
            <v>Jasmine Meadows Agricultural Co.</v>
          </cell>
          <cell r="K1011" t="str">
            <v>Plant Supply Package</v>
          </cell>
        </row>
        <row r="1012">
          <cell r="C1012" t="str">
            <v>Public Realm</v>
          </cell>
          <cell r="F1012" t="str">
            <v>1TB04030C98</v>
          </cell>
          <cell r="G1012" t="str">
            <v>1.TB.04.030.02</v>
          </cell>
          <cell r="J1012" t="str">
            <v>Jasmine Meadows Agricultural Co.</v>
          </cell>
          <cell r="K1012" t="str">
            <v>Plant Supply Package</v>
          </cell>
        </row>
        <row r="1013">
          <cell r="C1013" t="str">
            <v>Public Realm</v>
          </cell>
          <cell r="F1013" t="str">
            <v>1TB04030C99</v>
          </cell>
          <cell r="G1013" t="str">
            <v>1.TB.04.030.02</v>
          </cell>
          <cell r="J1013" t="str">
            <v>Jasmine Meadows Agricultural Co.</v>
          </cell>
          <cell r="K1013" t="str">
            <v>Plant Supply Package</v>
          </cell>
        </row>
        <row r="1014">
          <cell r="C1014" t="str">
            <v>Staff Village - Wide</v>
          </cell>
          <cell r="F1014" t="str">
            <v>1SV10110C93</v>
          </cell>
          <cell r="G1014" t="str">
            <v>1.SV.10.110.00</v>
          </cell>
          <cell r="J1014" t="str">
            <v>Jasmine Meadows Agricultural Co.</v>
          </cell>
          <cell r="K1014" t="str">
            <v>Plant Supply Package</v>
          </cell>
        </row>
        <row r="1015">
          <cell r="C1015" t="str">
            <v>Integrative Wellness</v>
          </cell>
          <cell r="F1015" t="str">
            <v>1TB03007C44</v>
          </cell>
          <cell r="G1015" t="str">
            <v>1.TB.03.007.99</v>
          </cell>
          <cell r="J1015" t="str">
            <v>Jasmine Meadows Agricultural Co.</v>
          </cell>
          <cell r="K1015" t="str">
            <v>Plant Supply Package</v>
          </cell>
        </row>
        <row r="1016">
          <cell r="C1016" t="str">
            <v>Marina Hotel 3</v>
          </cell>
          <cell r="F1016" t="str">
            <v>1TB01009C40</v>
          </cell>
          <cell r="G1016" t="str">
            <v>1.TB.01.009.01</v>
          </cell>
          <cell r="J1016" t="str">
            <v>Jasmine Meadows Agricultural Co.</v>
          </cell>
          <cell r="K1016" t="str">
            <v>Plant Supply Package</v>
          </cell>
        </row>
        <row r="1017">
          <cell r="C1017" t="str">
            <v>Staff Village - Wide</v>
          </cell>
          <cell r="F1017" t="str">
            <v>1SV10110C92</v>
          </cell>
          <cell r="G1017" t="str">
            <v>1.SV.10.110.00</v>
          </cell>
          <cell r="J1017" t="str">
            <v>Jasmine Meadows Agricultural Co.</v>
          </cell>
          <cell r="K1017" t="str">
            <v>Plant Supply Package</v>
          </cell>
        </row>
        <row r="1018">
          <cell r="C1018" t="str">
            <v>Four Seasons Resort</v>
          </cell>
          <cell r="F1018" t="str">
            <v>1TB02012C76</v>
          </cell>
          <cell r="G1018" t="str">
            <v>1.TB.02.012.01</v>
          </cell>
          <cell r="J1018" t="str">
            <v>Seven Stars Hospitality</v>
          </cell>
          <cell r="K1018" t="str">
            <v>Freight forwarding and logistics</v>
          </cell>
        </row>
        <row r="1019">
          <cell r="C1019" t="str">
            <v>Wellness Core - Wide</v>
          </cell>
          <cell r="F1019" t="str">
            <v>1TB03300C31</v>
          </cell>
          <cell r="G1019" t="str">
            <v>1.TB.03.300.00</v>
          </cell>
          <cell r="J1019" t="str">
            <v>Acacia LLC</v>
          </cell>
          <cell r="K1019" t="str">
            <v>Plant Supply Package</v>
          </cell>
        </row>
        <row r="1020">
          <cell r="C1020" t="str">
            <v>Primary Infrastructure</v>
          </cell>
          <cell r="F1020" t="str">
            <v>1TB05039C29</v>
          </cell>
          <cell r="G1020" t="str">
            <v>1.TB.05.039.01</v>
          </cell>
          <cell r="J1020" t="str">
            <v>Nesma United Industries Co. Ltd.</v>
          </cell>
          <cell r="K1020" t="str">
            <v>Plant Supply Package</v>
          </cell>
        </row>
        <row r="1021">
          <cell r="C1021" t="str">
            <v>AMAALA Yacht Club</v>
          </cell>
          <cell r="F1021" t="str">
            <v>1TB01003C34</v>
          </cell>
          <cell r="G1021" t="str">
            <v>1.TB.01.003.01</v>
          </cell>
          <cell r="J1021" t="str">
            <v>Al Fanar Company</v>
          </cell>
          <cell r="K1021" t="str">
            <v>Construction Manpower Services</v>
          </cell>
        </row>
        <row r="1022">
          <cell r="C1022" t="str">
            <v>Four Seasons Resort</v>
          </cell>
          <cell r="F1022" t="str">
            <v>1TB02012C83</v>
          </cell>
          <cell r="G1022" t="str">
            <v>1.TB.02.012.01</v>
          </cell>
          <cell r="J1022" t="str">
            <v>Jasmine Meadows Agricultural Co.</v>
          </cell>
          <cell r="K1022" t="str">
            <v>Plant Supply Package</v>
          </cell>
        </row>
        <row r="1023">
          <cell r="C1023" t="str">
            <v>Six Senses Resort</v>
          </cell>
          <cell r="F1023" t="str">
            <v>1TB02017C79</v>
          </cell>
          <cell r="G1023" t="str">
            <v>1.TB.02.017.99</v>
          </cell>
          <cell r="J1023" t="str">
            <v>Jasmine Meadows Agricultural Co.</v>
          </cell>
          <cell r="K1023" t="str">
            <v>Plant Supply Package</v>
          </cell>
        </row>
        <row r="1024">
          <cell r="C1024" t="str">
            <v>Marina Hotel 3</v>
          </cell>
          <cell r="F1024" t="str">
            <v>1TB01009F15</v>
          </cell>
          <cell r="G1024" t="str">
            <v>1.TB.01.009.01</v>
          </cell>
          <cell r="J1024" t="str">
            <v>OTIS Elevator Co. SA Ltd</v>
          </cell>
          <cell r="K1024" t="str">
            <v>Supply and Installation of the Vertical Transportation System Works</v>
          </cell>
        </row>
        <row r="1025">
          <cell r="C1025" t="str">
            <v>Four Seasons Resort</v>
          </cell>
          <cell r="F1025" t="str">
            <v>1TB02012C78</v>
          </cell>
          <cell r="G1025" t="str">
            <v>1.TB.02.012.01</v>
          </cell>
          <cell r="J1025" t="str">
            <v>Valencia Marble Factory LLC</v>
          </cell>
          <cell r="K1025" t="str">
            <v>Stone Works – F&amp;B and Public Buildings, and Hotel &amp; Hotel Villas</v>
          </cell>
        </row>
        <row r="1026">
          <cell r="C1026" t="str">
            <v>Four Seasons Resort</v>
          </cell>
          <cell r="F1026" t="str">
            <v>1TB02012C81</v>
          </cell>
          <cell r="G1026" t="str">
            <v>1.TB.02.012.01</v>
          </cell>
          <cell r="J1026" t="str">
            <v>Valencia Marble Factory LLC</v>
          </cell>
          <cell r="K1026" t="str">
            <v>Stone Works – F&amp;B and Public Buildings, and Hotel &amp; Hotel Villas</v>
          </cell>
        </row>
        <row r="1027">
          <cell r="C1027" t="str">
            <v>Rosewood Resort</v>
          </cell>
          <cell r="F1027" t="str">
            <v>1TB02011C86</v>
          </cell>
          <cell r="G1027" t="str">
            <v>1.TB.02.011.01</v>
          </cell>
          <cell r="J1027" t="str">
            <v>Jasmine Meadows Agricultural Co.</v>
          </cell>
          <cell r="K1027" t="str">
            <v>Plant Supply Package</v>
          </cell>
        </row>
        <row r="1028">
          <cell r="C1028" t="str">
            <v>Highways and Civils</v>
          </cell>
          <cell r="F1028" t="str">
            <v>1RI12078C19</v>
          </cell>
          <cell r="G1028" t="str">
            <v>1.RI.12.078.01</v>
          </cell>
          <cell r="J1028" t="str">
            <v>Jasmine Meadows Agricultural Co.</v>
          </cell>
          <cell r="K1028" t="str">
            <v>Plant Supply Package</v>
          </cell>
        </row>
        <row r="1029">
          <cell r="C1029" t="str">
            <v>Red Sea Marine Life Institute</v>
          </cell>
          <cell r="F1029" t="str">
            <v>1TB01005C47</v>
          </cell>
          <cell r="G1029" t="str">
            <v>1.TB.01.005.01</v>
          </cell>
          <cell r="J1029" t="str">
            <v>Complete Signs Industry Co. Ltd. (Saudi Neon)</v>
          </cell>
          <cell r="K1029" t="str">
            <v>Supply and Installation of External Signages &amp; Wayfinding Works</v>
          </cell>
        </row>
        <row r="1030">
          <cell r="C1030" t="str">
            <v>Wellness Resort 3</v>
          </cell>
          <cell r="F1030" t="str">
            <v>1TB07013C02</v>
          </cell>
          <cell r="G1030" t="str">
            <v>1.TB.07.013.02</v>
          </cell>
          <cell r="J1030" t="str">
            <v>Astra Construction Company Ltd</v>
          </cell>
          <cell r="K1030" t="str">
            <v>Temporary Road Works</v>
          </cell>
        </row>
        <row r="1031">
          <cell r="C1031" t="str">
            <v>Six Senses Resort</v>
          </cell>
          <cell r="F1031" t="str">
            <v>1TB02017C78</v>
          </cell>
          <cell r="G1031" t="str">
            <v>1.TB.02.017.01</v>
          </cell>
          <cell r="J1031" t="str">
            <v>OBEIKAN TECHNICAL FABRICS CO. LTD</v>
          </cell>
          <cell r="K1031" t="str">
            <v>Tensile Shade Structure Works</v>
          </cell>
        </row>
        <row r="1032">
          <cell r="C1032" t="str">
            <v>Marina Village - Wide</v>
          </cell>
          <cell r="F1032" t="str">
            <v>1TB01100C39</v>
          </cell>
          <cell r="G1032" t="str">
            <v>1.TB.01.100.00</v>
          </cell>
          <cell r="J1032" t="str">
            <v>Jasmine Meadows Agricultural Co.</v>
          </cell>
          <cell r="K1032" t="str">
            <v>Plant Supply Package</v>
          </cell>
        </row>
        <row r="1033">
          <cell r="C1033" t="str">
            <v>Marina Village - Wide</v>
          </cell>
          <cell r="F1033" t="str">
            <v>1TB01100C35</v>
          </cell>
          <cell r="G1033" t="str">
            <v>1.TB.01.100.00</v>
          </cell>
          <cell r="J1033" t="str">
            <v>Jasmine Meadows Agricultural Co.</v>
          </cell>
          <cell r="K1033" t="str">
            <v>Plant Supply Package</v>
          </cell>
        </row>
        <row r="1034">
          <cell r="C1034" t="str">
            <v>Numan Island Side wide</v>
          </cell>
          <cell r="F1034" t="str">
            <v>AIL00O00C16</v>
          </cell>
          <cell r="G1034" t="str">
            <v>A.IL.00.O00.00</v>
          </cell>
          <cell r="J1034" t="str">
            <v>Al Enjaz Trading and Contracting Company</v>
          </cell>
          <cell r="K1034" t="str">
            <v>Construction of Interchange Works</v>
          </cell>
        </row>
        <row r="1035">
          <cell r="C1035" t="str">
            <v>Marina Hotel 3</v>
          </cell>
          <cell r="F1035" t="str">
            <v>1TB01009C08</v>
          </cell>
          <cell r="G1035" t="str">
            <v>1.TB.01.009.01</v>
          </cell>
          <cell r="J1035" t="str">
            <v>AL RAQTAN &amp; PARTNERS CO. FOR TRADING AND INDUSTRY</v>
          </cell>
          <cell r="K1035" t="str">
            <v>MH3 - Kitchen, Laundry &amp; Waste</v>
          </cell>
        </row>
        <row r="1036">
          <cell r="C1036" t="str">
            <v>Airport - Al Wajh Upgrade</v>
          </cell>
          <cell r="F1036" t="str">
            <v>1AI16081C02</v>
          </cell>
          <cell r="G1036" t="str">
            <v>1.AI.16.081.01</v>
          </cell>
          <cell r="J1036" t="str">
            <v>Coastal Contracting Company</v>
          </cell>
          <cell r="K1036" t="str">
            <v>Site Establishment Works for AMAALA Al Wajh Airport at Al Wajh Airport Redevelopment Phase 1</v>
          </cell>
        </row>
        <row r="1037">
          <cell r="C1037" t="str">
            <v>AMAALA Yacht Club</v>
          </cell>
          <cell r="F1037" t="str">
            <v>1TB01003C33</v>
          </cell>
          <cell r="G1037" t="str">
            <v>1.TB.01.003.01</v>
          </cell>
          <cell r="J1037" t="str">
            <v>Armetal Metal Industries Co. Ltd</v>
          </cell>
          <cell r="K1037" t="str">
            <v>Stainless Steel Reflecting Ceiling Works</v>
          </cell>
        </row>
        <row r="1038">
          <cell r="C1038" t="str">
            <v>Six Senses Resort</v>
          </cell>
          <cell r="F1038" t="str">
            <v>1TB02017C77</v>
          </cell>
          <cell r="G1038" t="str">
            <v>1.TB.02.017.01</v>
          </cell>
          <cell r="J1038" t="str">
            <v>Cape Reed Limited</v>
          </cell>
          <cell r="K1038" t="str">
            <v>Timber Pergolas for a Six Senses Resort</v>
          </cell>
        </row>
        <row r="1039">
          <cell r="C1039" t="str">
            <v>Ocean Golf Course &amp; Club House</v>
          </cell>
          <cell r="F1039" t="str">
            <v>1TB05021C09</v>
          </cell>
          <cell r="G1039" t="str">
            <v>1.TB.05.021.02</v>
          </cell>
          <cell r="J1039" t="str">
            <v>Astra Construction Company Ltd</v>
          </cell>
          <cell r="K1039" t="str">
            <v>Oceanclub House and Ancillary Buildings</v>
          </cell>
        </row>
        <row r="1040">
          <cell r="C1040" t="str">
            <v>Ocean Golf Private Residences - Phase 1</v>
          </cell>
          <cell r="F1040" t="str">
            <v>1TB05039C31</v>
          </cell>
          <cell r="G1040" t="str">
            <v>1.TB.05.039.01</v>
          </cell>
          <cell r="J1040" t="str">
            <v>Rowdh Nursery</v>
          </cell>
          <cell r="K1040" t="str">
            <v>Plant Supply Package</v>
          </cell>
        </row>
        <row r="1041">
          <cell r="C1041" t="str">
            <v>Marina Hotel 3</v>
          </cell>
          <cell r="F1041" t="str">
            <v>1TB01009C25</v>
          </cell>
          <cell r="G1041" t="str">
            <v>1.TB.01.009.01</v>
          </cell>
          <cell r="J1041" t="str">
            <v>SADEER Alarabia Company for Contracting W.L.L.</v>
          </cell>
          <cell r="K1041" t="str">
            <v>Fit-Out Works Package for Marina Hotel 3</v>
          </cell>
        </row>
        <row r="1042">
          <cell r="C1042" t="str">
            <v>Staff Village - Wide</v>
          </cell>
          <cell r="F1042" t="str">
            <v>1SV10110F43</v>
          </cell>
          <cell r="G1042" t="str">
            <v>1.SV.10.110.00</v>
          </cell>
          <cell r="J1042" t="str">
            <v>Tawuniya Insurance Co</v>
          </cell>
          <cell r="K1042" t="str">
            <v>Marine Cargo Insurance</v>
          </cell>
        </row>
        <row r="1043">
          <cell r="C1043" t="str">
            <v>Staff Village - Wide</v>
          </cell>
          <cell r="F1043" t="str">
            <v>1SV10110F42</v>
          </cell>
          <cell r="G1043" t="str">
            <v>1.SV.10.110.00</v>
          </cell>
          <cell r="J1043" t="str">
            <v>Abdul Latif Jameel Electronics and Air Conditioning Co. Ltd</v>
          </cell>
          <cell r="K1043" t="str">
            <v>Supply and Installation of White Goods for Zone 4</v>
          </cell>
        </row>
        <row r="1044">
          <cell r="C1044" t="str">
            <v>Staff Village - Wide</v>
          </cell>
          <cell r="F1044" t="str">
            <v>1SV10110C83</v>
          </cell>
          <cell r="G1044" t="str">
            <v>1.SV.10.110.00</v>
          </cell>
          <cell r="J1044" t="str">
            <v>Hamad Al Rugaib and Sons Trading Company</v>
          </cell>
          <cell r="K1044" t="str">
            <v>Supply and Installation of White Goods for Zone 7</v>
          </cell>
        </row>
        <row r="1045">
          <cell r="C1045" t="str">
            <v>Staff Village - Wide</v>
          </cell>
          <cell r="F1045" t="str">
            <v>1SV10110C86</v>
          </cell>
          <cell r="G1045" t="str">
            <v>1.SV.10.110.00</v>
          </cell>
          <cell r="J1045" t="str">
            <v>Aardee Group FZE</v>
          </cell>
          <cell r="K1045" t="str">
            <v>Detention / Demurrage Charges Paid To Date for Containers</v>
          </cell>
        </row>
        <row r="1046">
          <cell r="C1046" t="str">
            <v>Marina Hotel 3</v>
          </cell>
          <cell r="F1046" t="str">
            <v>1TB01009C24</v>
          </cell>
          <cell r="G1046" t="str">
            <v>1.TB.01.009.01</v>
          </cell>
          <cell r="J1046" t="str">
            <v>Unique Design WLL (Novated From UD-SASCO JV)</v>
          </cell>
          <cell r="K1046" t="str">
            <v>F&amp;B Specialty Restaurant Fit-Out Works Package</v>
          </cell>
        </row>
        <row r="1047">
          <cell r="C1047" t="str">
            <v>Public Realm</v>
          </cell>
          <cell r="F1047" t="str">
            <v>1TB04030C12</v>
          </cell>
          <cell r="G1047" t="str">
            <v>1.TB.04.030.02</v>
          </cell>
          <cell r="J1047" t="str">
            <v>Nesma United Industries Co. Ltd.</v>
          </cell>
          <cell r="K1047" t="str">
            <v>Landscape Works for a Linear Park</v>
          </cell>
        </row>
        <row r="1048">
          <cell r="C1048" t="str">
            <v>Triple Bay Construction Logistics</v>
          </cell>
          <cell r="F1048" t="str">
            <v>1TB04034C32</v>
          </cell>
          <cell r="G1048" t="str">
            <v>1.TB.04.034.01</v>
          </cell>
          <cell r="J1048" t="str">
            <v>Abduallah Ahmed Albriki Establishment for Contracting</v>
          </cell>
          <cell r="K1048" t="str">
            <v>Rental Water Tankers</v>
          </cell>
        </row>
        <row r="1049">
          <cell r="C1049" t="str">
            <v>Four Seasons Resort</v>
          </cell>
          <cell r="F1049" t="str">
            <v>1TB02012C80</v>
          </cell>
          <cell r="G1049" t="str">
            <v>1.TB.02.012.99</v>
          </cell>
          <cell r="J1049" t="str">
            <v>Alec Interior Decoration Company</v>
          </cell>
          <cell r="K1049" t="str">
            <v>Fit-out Works</v>
          </cell>
        </row>
        <row r="1050">
          <cell r="C1050" t="str">
            <v>Staff Village - Wide</v>
          </cell>
          <cell r="F1050" t="str">
            <v>1SV10110F44</v>
          </cell>
          <cell r="G1050" t="str">
            <v>1.SV.10.110.00</v>
          </cell>
          <cell r="J1050" t="str">
            <v>Magic Mirror Trading Est.</v>
          </cell>
          <cell r="K1050" t="str">
            <v>supply and delivery of 43” and 55” TVs for 68 No’s Villas and Townhouses at Amaala Staff Village Zone 1</v>
          </cell>
        </row>
        <row r="1051">
          <cell r="C1051" t="str">
            <v>Staff Village - Wide</v>
          </cell>
          <cell r="F1051" t="str">
            <v>1SV10110F49</v>
          </cell>
          <cell r="G1051" t="str">
            <v>1.SV.10.110.00</v>
          </cell>
          <cell r="J1051" t="str">
            <v>Abdul Latif Jameel Electronics and Air Conditioning Co. Ltd</v>
          </cell>
          <cell r="K1051" t="str">
            <v>Supply and Installation of White Goods for Zone 7</v>
          </cell>
        </row>
        <row r="1052">
          <cell r="C1052" t="str">
            <v>Triple Bay Construction Logistics</v>
          </cell>
          <cell r="F1052" t="str">
            <v>1TB04034C33</v>
          </cell>
          <cell r="G1052" t="str">
            <v>1.TB.04.034.01</v>
          </cell>
          <cell r="J1052" t="str">
            <v>Aldrees Petroleum and Transport Services Company</v>
          </cell>
          <cell r="K1052" t="str">
            <v>Supply of Fuel</v>
          </cell>
        </row>
        <row r="1053">
          <cell r="C1053" t="str">
            <v>Digital Infrastructure (ICT)</v>
          </cell>
          <cell r="F1053" t="str">
            <v>1RI12072C04</v>
          </cell>
          <cell r="G1053" t="str">
            <v>1.RI.12.072.01</v>
          </cell>
          <cell r="J1053" t="str">
            <v>Dimension Data Ltd</v>
          </cell>
          <cell r="K1053" t="str">
            <v>Master System Integrator for ICT Infrastructure</v>
          </cell>
        </row>
        <row r="1054">
          <cell r="C1054" t="str">
            <v>AMAALA Yacht Club</v>
          </cell>
          <cell r="F1054" t="str">
            <v>1TB01003C35</v>
          </cell>
          <cell r="G1054" t="str">
            <v>1.TB.01.003.01</v>
          </cell>
          <cell r="J1054" t="str">
            <v>Abu Dhabi Precast LLC</v>
          </cell>
          <cell r="K1054" t="str">
            <v>Amaala Triple Bay – Marina Hotel 3 - Building Envelope GRC Works Package_CONTRACT CANCELLED_CONTRACT VALUE AED 7,640,027.22 (SAR 7,850,127.97)</v>
          </cell>
        </row>
        <row r="1055">
          <cell r="C1055" t="str">
            <v>Marina Hotel 3</v>
          </cell>
          <cell r="F1055" t="str">
            <v>1TB01009C35</v>
          </cell>
          <cell r="G1055" t="str">
            <v>1.TB.01.009.01</v>
          </cell>
          <cell r="J1055" t="str">
            <v>Fibrex LLC</v>
          </cell>
          <cell r="K1055" t="str">
            <v>Building Envelope GRC Works Package for Marina Hotel 3</v>
          </cell>
        </row>
        <row r="1056">
          <cell r="C1056" t="str">
            <v>Staff Village - Wide</v>
          </cell>
          <cell r="F1056" t="str">
            <v>1SV10110C73</v>
          </cell>
          <cell r="G1056" t="str">
            <v>1.SV.10.110.00</v>
          </cell>
          <cell r="J1056" t="str">
            <v>Hamad Al Rugaib and Sons Trading Company</v>
          </cell>
          <cell r="K1056" t="str">
            <v>Supply and Installation of FFE Items for Zone 4</v>
          </cell>
        </row>
        <row r="1057">
          <cell r="C1057" t="str">
            <v>Staff Village - Wide</v>
          </cell>
          <cell r="F1057" t="str">
            <v>1SV10110C75</v>
          </cell>
          <cell r="G1057" t="str">
            <v>1.SV.10.110.00</v>
          </cell>
          <cell r="J1057" t="str">
            <v>Hamad Al Rugaib and Sons Trading Company</v>
          </cell>
          <cell r="K1057" t="str">
            <v>Supply and Installation of FFE Items for Zone 7</v>
          </cell>
        </row>
        <row r="1058">
          <cell r="C1058" t="str">
            <v>Staff Village - Wide</v>
          </cell>
          <cell r="F1058" t="str">
            <v>1SV10110F52</v>
          </cell>
          <cell r="G1058" t="str">
            <v>1.SV.10.110.00</v>
          </cell>
          <cell r="J1058" t="str">
            <v>Abdul Latif Jameel Electronics and Air Conditioning Co. Ltd</v>
          </cell>
          <cell r="K1058" t="str">
            <v>Supply of White Goods for Zone 1</v>
          </cell>
        </row>
        <row r="1059">
          <cell r="C1059" t="str">
            <v>Staff Village - Wide</v>
          </cell>
          <cell r="F1059" t="str">
            <v>1SV10110F51</v>
          </cell>
          <cell r="G1059" t="str">
            <v>1.SV.10.110.00</v>
          </cell>
          <cell r="J1059" t="str">
            <v>Magic Mirror Trading Est.</v>
          </cell>
          <cell r="K1059" t="str">
            <v>Supply of TVs</v>
          </cell>
        </row>
        <row r="1060">
          <cell r="C1060" t="str">
            <v>Staff Village - Wide</v>
          </cell>
          <cell r="F1060" t="str">
            <v>1SV10110C88</v>
          </cell>
          <cell r="G1060" t="str">
            <v>1.SV.10.110.00</v>
          </cell>
          <cell r="J1060" t="str">
            <v>Hamid Y Al Furaih Trading Est.</v>
          </cell>
          <cell r="K1060" t="str">
            <v>Supply and delivery Key Management system for
AMAALA Staff Village- Zone 7 Police Station &amp; Fire
Station</v>
          </cell>
        </row>
        <row r="1061">
          <cell r="C1061" t="str">
            <v>Staff Village - Wide</v>
          </cell>
          <cell r="F1061" t="str">
            <v>1SV10110F53</v>
          </cell>
          <cell r="G1061" t="str">
            <v>1.SV.10.110.00</v>
          </cell>
          <cell r="J1061" t="str">
            <v>Magic Mirror Trading Est.</v>
          </cell>
          <cell r="K1061" t="str">
            <v>Supply of TVs</v>
          </cell>
        </row>
        <row r="1062">
          <cell r="C1062" t="str">
            <v>Marina Village - Wide</v>
          </cell>
          <cell r="F1062" t="str">
            <v>1TB01100F19</v>
          </cell>
          <cell r="G1062" t="str">
            <v>1.TB.01.100.00</v>
          </cell>
          <cell r="J1062" t="str">
            <v>Badael Al Taqnaya Industrial Co</v>
          </cell>
          <cell r="K1062" t="str">
            <v>AMAALA MH3 Temporary offices Employer’s furniture delivery and installation</v>
          </cell>
        </row>
        <row r="1063">
          <cell r="C1063" t="str">
            <v>Marina Village - Wide</v>
          </cell>
          <cell r="F1063" t="str">
            <v>1TB01100F08</v>
          </cell>
          <cell r="G1063" t="str">
            <v>1.TB.01.100.00</v>
          </cell>
          <cell r="J1063" t="str">
            <v>Badael Al Taqnaya Industrial Co</v>
          </cell>
          <cell r="K1063" t="str">
            <v>AMAALA Triple Bay Marina
Temporary offices Contractor’s furniture delivery and installation</v>
          </cell>
        </row>
        <row r="1064">
          <cell r="C1064" t="str">
            <v>Staff Village - Wide</v>
          </cell>
          <cell r="F1064" t="str">
            <v>1SV10110F50</v>
          </cell>
          <cell r="G1064" t="str">
            <v>1.SV.10.110.00</v>
          </cell>
          <cell r="J1064" t="str">
            <v>Abdul Latif Jameel Electronics and Air Conditioning Co. Ltd</v>
          </cell>
          <cell r="K1064" t="str">
            <v>Supply and Installation of White Goods for Zone 5</v>
          </cell>
        </row>
        <row r="1065">
          <cell r="C1065" t="str">
            <v>Staff Village - Wide</v>
          </cell>
          <cell r="F1065" t="str">
            <v>1SV10110F47</v>
          </cell>
          <cell r="G1065" t="str">
            <v>1.SV.10.110.00</v>
          </cell>
          <cell r="J1065" t="str">
            <v>International Hospitality Trading Company</v>
          </cell>
          <cell r="K1065" t="str">
            <v>Supply and Installation of OSE Goods for Canteen and Laundry Hub</v>
          </cell>
        </row>
        <row r="1066">
          <cell r="C1066" t="str">
            <v>Staff Village - Wide</v>
          </cell>
          <cell r="F1066" t="str">
            <v>1SV10110F58</v>
          </cell>
          <cell r="G1066" t="str">
            <v>1.SV.10.110.00</v>
          </cell>
          <cell r="J1066" t="str">
            <v>Abdul Latif Jameel Electronics and Air Conditioning Co. Ltd</v>
          </cell>
          <cell r="K1066" t="str">
            <v>Supply of White Goods for Zone 1</v>
          </cell>
        </row>
        <row r="1067">
          <cell r="C1067" t="str">
            <v>Integrative Wellness</v>
          </cell>
          <cell r="F1067" t="str">
            <v>1TB03007C29</v>
          </cell>
          <cell r="G1067" t="str">
            <v>1.TB.03.007.01</v>
          </cell>
          <cell r="J1067" t="str">
            <v>AlKayan Décor Co. Ltd</v>
          </cell>
          <cell r="K1067" t="str">
            <v>Exterior Timber Works</v>
          </cell>
        </row>
        <row r="1068">
          <cell r="C1068" t="str">
            <v>Highways and Civils</v>
          </cell>
          <cell r="F1068" t="str">
            <v>1RI12078C15</v>
          </cell>
          <cell r="G1068" t="str">
            <v>1.RI.12.078.01</v>
          </cell>
          <cell r="J1068" t="str">
            <v>Alsaad General Contracting Co. Ltd</v>
          </cell>
          <cell r="K1068" t="str">
            <v>Construction of Bus Interchange</v>
          </cell>
        </row>
        <row r="1069">
          <cell r="C1069" t="str">
            <v>Organic Farm &amp; Residences</v>
          </cell>
          <cell r="F1069" t="str">
            <v>1TB02018C01</v>
          </cell>
          <cell r="G1069" t="str">
            <v>1.TB.02.018.02</v>
          </cell>
          <cell r="J1069" t="str">
            <v>HASCo Marine Works Corporation</v>
          </cell>
          <cell r="K1069" t="str">
            <v>Site Bulk Earthworks for a AMAALA Organic Farm &amp; Residences</v>
          </cell>
        </row>
        <row r="1070">
          <cell r="C1070" t="str">
            <v>Staff Village - Wide</v>
          </cell>
          <cell r="F1070" t="str">
            <v>1SV10110C91</v>
          </cell>
          <cell r="G1070" t="str">
            <v>1.SV.10.110.00</v>
          </cell>
          <cell r="J1070" t="str">
            <v>Hamad Al Rugaib and Sons Trading Company</v>
          </cell>
          <cell r="K1070" t="str">
            <v>Supply and Installation of FFE Items for Zone 7</v>
          </cell>
        </row>
        <row r="1071">
          <cell r="C1071" t="str">
            <v>Staff Village - Wide</v>
          </cell>
          <cell r="F1071" t="str">
            <v>1SV10110F39</v>
          </cell>
          <cell r="G1071" t="str">
            <v>1.SV.10.110.00</v>
          </cell>
          <cell r="J1071" t="str">
            <v>THE RED SEA SECURITY SERVICES COMPANY</v>
          </cell>
          <cell r="K1071" t="str">
            <v>Supply of Security Services_CONTRACT CANCELLED_CONTRACT VALUE SAR 18,158,400</v>
          </cell>
        </row>
        <row r="1072">
          <cell r="C1072" t="str">
            <v>Staff Village - Wide</v>
          </cell>
          <cell r="F1072" t="str">
            <v>1SV10110C64</v>
          </cell>
          <cell r="G1072" t="str">
            <v>1.SV.10.110.00</v>
          </cell>
          <cell r="J1072" t="str">
            <v>Aauras Avenue General Trading Co. LLC</v>
          </cell>
          <cell r="K1072" t="str">
            <v>Supply and Installation of OSE Items for Zone 1 and Zone 6</v>
          </cell>
        </row>
        <row r="1073">
          <cell r="C1073" t="str">
            <v>Staff Village - Wide</v>
          </cell>
          <cell r="F1073" t="str">
            <v>1SV10110C90</v>
          </cell>
          <cell r="G1073" t="str">
            <v>1.SV.10.110.00</v>
          </cell>
          <cell r="J1073" t="str">
            <v>Hamad Al Rugaib and Sons Trading Company</v>
          </cell>
          <cell r="K1073" t="str">
            <v>Supply and Installation of FFE Items for Zone 2</v>
          </cell>
        </row>
        <row r="1074">
          <cell r="C1074" t="str">
            <v>Marina Lifestyle Hotel &amp; Village</v>
          </cell>
          <cell r="F1074" t="str">
            <v>1TB01002C59</v>
          </cell>
          <cell r="G1074" t="str">
            <v>1.TB.01.002.03</v>
          </cell>
          <cell r="J1074" t="str">
            <v>INDUSTRIAL CEMENT ADDITIVES COMPANY</v>
          </cell>
          <cell r="K1074" t="str">
            <v>Building Envelope "Installation Only" Works</v>
          </cell>
        </row>
        <row r="1075">
          <cell r="C1075" t="str">
            <v>Staff Village - Wide</v>
          </cell>
          <cell r="F1075" t="str">
            <v>1SV10110F48</v>
          </cell>
          <cell r="G1075" t="str">
            <v>1.SV.10.110.00</v>
          </cell>
          <cell r="J1075" t="str">
            <v>Gentelle Hotel Supplies Co. Ltd</v>
          </cell>
          <cell r="K1075" t="str">
            <v>Supply of OSE Items (Call Off Order No:  001)</v>
          </cell>
        </row>
        <row r="1076">
          <cell r="C1076" t="str">
            <v>Staff Village - Wide</v>
          </cell>
          <cell r="F1076" t="str">
            <v>1SV10110C95</v>
          </cell>
          <cell r="G1076" t="str">
            <v>1.SV.10.110.00</v>
          </cell>
          <cell r="J1076" t="str">
            <v>Badael Al Taqnaya Industrial Co</v>
          </cell>
          <cell r="K1076" t="str">
            <v>AMAALA Staff Village - Supply, Delivery &amp; Installation of FFE Items</v>
          </cell>
        </row>
        <row r="1077">
          <cell r="C1077" t="str">
            <v>Staff Village - Wide</v>
          </cell>
          <cell r="F1077" t="str">
            <v>1SV10110F56</v>
          </cell>
          <cell r="G1077" t="str">
            <v>1.SV.10.110.00</v>
          </cell>
          <cell r="J1077" t="str">
            <v>Hamad Al Rugaib and Sons Trading Company</v>
          </cell>
          <cell r="K1077" t="str">
            <v>AMAALA Staff Village - Supply, Delivery &amp; Installation of FFE Items</v>
          </cell>
        </row>
        <row r="1078">
          <cell r="C1078" t="str">
            <v>Staff Village - Wide</v>
          </cell>
          <cell r="F1078" t="str">
            <v>1SV10110F57</v>
          </cell>
          <cell r="G1078" t="str">
            <v>1.SV.10.110.00</v>
          </cell>
          <cell r="J1078" t="str">
            <v>Badael Al Taqnaya Industrial Co</v>
          </cell>
          <cell r="K1078" t="str">
            <v>AMAALA Staff Village - Supply, Delivery &amp; Installation of FFE Items</v>
          </cell>
        </row>
        <row r="1079">
          <cell r="C1079" t="str">
            <v>Triple Bay Construction Logistics</v>
          </cell>
          <cell r="F1079" t="str">
            <v>1TB04034C35</v>
          </cell>
          <cell r="G1079" t="str">
            <v>1.TB.04.034.01</v>
          </cell>
          <cell r="J1079" t="str">
            <v>Fajr Construction Company</v>
          </cell>
          <cell r="K1079" t="str">
            <v>Design, Build and Construction of STP</v>
          </cell>
        </row>
        <row r="1080">
          <cell r="C1080" t="str">
            <v>Wellness Core - Wide</v>
          </cell>
          <cell r="F1080" t="str">
            <v>1TB03300C43</v>
          </cell>
          <cell r="G1080" t="str">
            <v>1.TB.03.300.00</v>
          </cell>
          <cell r="J1080" t="str">
            <v>HASCo Marine Works Corporation</v>
          </cell>
          <cell r="K1080" t="str">
            <v xml:space="preserve">Bulk Earthworks &amp; Grading Works Package </v>
          </cell>
        </row>
        <row r="1081">
          <cell r="C1081" t="str">
            <v>Staff Village - Wide</v>
          </cell>
          <cell r="F1081" t="str">
            <v>1SV10110F61</v>
          </cell>
          <cell r="G1081" t="str">
            <v>1.SV.10.110.00</v>
          </cell>
          <cell r="J1081" t="str">
            <v>Magic Mirror Trading Est.</v>
          </cell>
          <cell r="K1081" t="str">
            <v>AMAALA Staff Village - Supply, Delivery &amp; Installation of FFE Items</v>
          </cell>
        </row>
        <row r="1082">
          <cell r="C1082" t="str">
            <v>AMAALA Airside - Runways</v>
          </cell>
          <cell r="F1082" t="str">
            <v>1AI16080C10</v>
          </cell>
          <cell r="G1082" t="str">
            <v>1.AI.16.080.01</v>
          </cell>
          <cell r="J1082" t="str">
            <v>AMRAK Facility Management Company</v>
          </cell>
          <cell r="K1082" t="str">
            <v>Generator Servicing and Water tank Cleaning at Amaala Airport</v>
          </cell>
        </row>
        <row r="1083">
          <cell r="C1083" t="str">
            <v>Numan Island Side wide</v>
          </cell>
          <cell r="F1083" t="str">
            <v>AIL00O00C17</v>
          </cell>
          <cell r="G1083" t="str">
            <v>A.IL.00.O00.00</v>
          </cell>
          <cell r="J1083" t="str">
            <v>Leaf Global Environmental Services Co.</v>
          </cell>
          <cell r="K1083" t="str">
            <v>Coral Relocation Works</v>
          </cell>
        </row>
        <row r="1084">
          <cell r="C1084" t="str">
            <v>Staff Village - Wide</v>
          </cell>
          <cell r="F1084" t="str">
            <v>1SV10110F62</v>
          </cell>
          <cell r="G1084" t="str">
            <v>1.SV.10.110.00</v>
          </cell>
          <cell r="J1084" t="str">
            <v>Magic Mirror Trading Est.</v>
          </cell>
          <cell r="K1084" t="str">
            <v>AMAALA Staff Village - Supply, Delivery &amp; Installation of TV</v>
          </cell>
        </row>
        <row r="1085">
          <cell r="C1085" t="str">
            <v>Staff Village - Wide</v>
          </cell>
          <cell r="F1085" t="str">
            <v>1SV10110C117</v>
          </cell>
          <cell r="G1085" t="str">
            <v>1.SV.10.110.00</v>
          </cell>
          <cell r="J1085" t="str">
            <v>Aardee Group FZE</v>
          </cell>
          <cell r="K1085" t="str">
            <v>Detention / Demurrage Charges Paid To Date for Containers</v>
          </cell>
        </row>
        <row r="1086">
          <cell r="C1086" t="str">
            <v>Integrative Wellness</v>
          </cell>
          <cell r="F1086" t="str">
            <v>1TB03007C53</v>
          </cell>
          <cell r="G1086" t="str">
            <v>1.TB.03.007.02</v>
          </cell>
          <cell r="J1086" t="str">
            <v>Astra Construction Company Ltd</v>
          </cell>
          <cell r="K1086" t="str">
            <v>MEP Works For 34 Villa's</v>
          </cell>
        </row>
        <row r="1087">
          <cell r="C1087" t="str">
            <v>Four Seasons Resort</v>
          </cell>
          <cell r="F1087" t="str">
            <v>1TB02012C87</v>
          </cell>
          <cell r="G1087" t="str">
            <v>1.TB.02.012.01</v>
          </cell>
          <cell r="J1087" t="str">
            <v>Noreom Company Limited</v>
          </cell>
          <cell r="K1087" t="str">
            <v>Scaffolding Services</v>
          </cell>
        </row>
        <row r="1088">
          <cell r="C1088" t="str">
            <v>Staff Village - Wide</v>
          </cell>
          <cell r="F1088" t="str">
            <v>1SV10110F59</v>
          </cell>
          <cell r="G1088" t="str">
            <v>1.SV.10.110.00</v>
          </cell>
          <cell r="J1088" t="str">
            <v>Delta Marketing Co</v>
          </cell>
          <cell r="K1088" t="str">
            <v xml:space="preserve"> Supply of Gym Equipment</v>
          </cell>
        </row>
        <row r="1089">
          <cell r="C1089" t="str">
            <v>Staff Village - Wide</v>
          </cell>
          <cell r="F1089" t="str">
            <v>1SV10110F60</v>
          </cell>
          <cell r="G1089" t="str">
            <v>1.SV.10.110.00</v>
          </cell>
          <cell r="J1089" t="str">
            <v>Delta Marketing Co</v>
          </cell>
          <cell r="K1089" t="str">
            <v xml:space="preserve"> Supply of Gym Equipment</v>
          </cell>
        </row>
        <row r="1090">
          <cell r="C1090" t="str">
            <v>AMAALA Yacht Club</v>
          </cell>
          <cell r="F1090" t="str">
            <v>1TB01003C37</v>
          </cell>
          <cell r="G1090" t="str">
            <v>1.TB.01.003.01</v>
          </cell>
          <cell r="J1090" t="str">
            <v>Hassan Allam Construction Saudi Limited</v>
          </cell>
          <cell r="K1090" t="str">
            <v>Scaffolding Services</v>
          </cell>
        </row>
        <row r="1091">
          <cell r="C1091" t="str">
            <v>Staff Village - Wide</v>
          </cell>
          <cell r="F1091" t="str">
            <v>1SV10110C72</v>
          </cell>
          <cell r="G1091" t="str">
            <v>1.SV.10.110.00</v>
          </cell>
          <cell r="J1091" t="str">
            <v>BEC Arabia Contracting Company</v>
          </cell>
          <cell r="K1091" t="str">
            <v>Construction Works for AMAALA Staff Village - Zone 8</v>
          </cell>
        </row>
        <row r="1092">
          <cell r="C1092" t="str">
            <v>Staff Village - Wide</v>
          </cell>
          <cell r="F1092" t="str">
            <v>1SV10110C77</v>
          </cell>
          <cell r="G1092" t="str">
            <v>1.SV.10.110.00</v>
          </cell>
          <cell r="J1092" t="str">
            <v>LAELKO CO. LTD</v>
          </cell>
          <cell r="K1092" t="str">
            <v>Supply, Delivery &amp; Installation of OSE - Fire Station / Police Station</v>
          </cell>
        </row>
        <row r="1093">
          <cell r="C1093" t="str">
            <v>Construction Village - Wide</v>
          </cell>
          <cell r="F1093" t="str">
            <v>1CV08800C13</v>
          </cell>
          <cell r="G1093" t="str">
            <v>1.CV.08.800.00</v>
          </cell>
          <cell r="J1093" t="str">
            <v>Aldrees Petroleum and Transport Services Company</v>
          </cell>
          <cell r="K1093" t="str">
            <v>Supply of Fuel</v>
          </cell>
        </row>
        <row r="1094">
          <cell r="C1094" t="str">
            <v>Staff Village - Wide</v>
          </cell>
          <cell r="F1094" t="str">
            <v>1SV10110C84</v>
          </cell>
          <cell r="G1094" t="str">
            <v>1.SV.10.110.00</v>
          </cell>
          <cell r="J1094" t="str">
            <v>Elenco General Trading Company - Branch</v>
          </cell>
          <cell r="K1094" t="str">
            <v>Zone 4 &amp; 6 - Beach Club F&amp;B Facilities Kitchen Equipment
Works at AMAALA Staff Village</v>
          </cell>
        </row>
        <row r="1095">
          <cell r="C1095" t="str">
            <v>Village Boutique Hotel</v>
          </cell>
          <cell r="F1095" t="str">
            <v>1TB01006C18</v>
          </cell>
          <cell r="G1095" t="str">
            <v>1.TB.01.006.99</v>
          </cell>
          <cell r="J1095" t="str">
            <v>OTIS Elevator Co. SA Ltd</v>
          </cell>
          <cell r="K1095" t="str">
            <v>Supply and Installation of the Vertical Transportation System Works</v>
          </cell>
        </row>
        <row r="1096">
          <cell r="C1096" t="str">
            <v>Four Seasons Resort</v>
          </cell>
          <cell r="F1096" t="str">
            <v>1TB02012C88</v>
          </cell>
          <cell r="G1096" t="str">
            <v>1.TB.02.012.99</v>
          </cell>
          <cell r="J1096" t="str">
            <v>OTIS Elevator Co. SA Ltd</v>
          </cell>
          <cell r="K1096" t="str">
            <v>Supply and Installation of the Vertical Transportation System Works</v>
          </cell>
        </row>
        <row r="1097">
          <cell r="C1097" t="str">
            <v>Medical Wellness</v>
          </cell>
          <cell r="F1097" t="str">
            <v xml:space="preserve"> 1TB03008C50</v>
          </cell>
          <cell r="G1097" t="str">
            <v>1.TB.03.008.01</v>
          </cell>
          <cell r="J1097" t="str">
            <v>Interwood Mobel Pvt Ltd and Orient Castle Contracting Company</v>
          </cell>
          <cell r="K1097" t="str">
            <v>Exterior timber first in place (FIP) mock-up works for a Medical 
Wellness Branded Residences at Amaala Development</v>
          </cell>
        </row>
        <row r="1098">
          <cell r="C1098" t="str">
            <v>Airport - Al Wajh Upgrade</v>
          </cell>
          <cell r="F1098" t="str">
            <v>1AI16081C03</v>
          </cell>
          <cell r="G1098" t="str">
            <v>1.AI.16.081.01</v>
          </cell>
          <cell r="J1098" t="str">
            <v>Coastal Contracting Company</v>
          </cell>
          <cell r="K1098" t="str">
            <v>Construction Management &amp; Provisional Sums Packages for 
AMAALA, Al Wajh Airport at Al Wajh Airport Redevelopment Phase 1</v>
          </cell>
        </row>
        <row r="1099">
          <cell r="C1099" t="str">
            <v>Staff Village - Wide</v>
          </cell>
          <cell r="F1099" t="str">
            <v>1SV10110F66</v>
          </cell>
          <cell r="G1099" t="str">
            <v>1.SV.10.110.00</v>
          </cell>
          <cell r="J1099" t="str">
            <v>Gentelle Hotel Supplies Co. Ltd</v>
          </cell>
          <cell r="K1099" t="str">
            <v>Supply, Delivery &amp; Installation of Drapery to ASV Zone 1 - Villas &amp; Townhouses  (Call Off Order No:  001)</v>
          </cell>
        </row>
        <row r="1100">
          <cell r="C1100" t="str">
            <v>AMAALA Yacht Club</v>
          </cell>
          <cell r="F1100" t="str">
            <v>1TB01003C66</v>
          </cell>
          <cell r="G1100" t="str">
            <v>1.TB.01.003.01</v>
          </cell>
          <cell r="J1100" t="str">
            <v>Sami General Contracting Est.</v>
          </cell>
          <cell r="K1100" t="str">
            <v>Payment On Behalf Of Saudi Arabian Baytur (Jan/Feb)</v>
          </cell>
        </row>
        <row r="1101">
          <cell r="C1101" t="str">
            <v>AMAALA Yacht Club</v>
          </cell>
          <cell r="F1101" t="str">
            <v>1TB01003C42</v>
          </cell>
          <cell r="G1101" t="str">
            <v>1.TB.01.003.01</v>
          </cell>
          <cell r="J1101" t="str">
            <v>Saad Al Easa - Metal Industry</v>
          </cell>
          <cell r="K1101" t="str">
            <v>Payment On Behalf Of Saudi Arabian Baytur (Jan/Feb)</v>
          </cell>
        </row>
        <row r="1102">
          <cell r="C1102" t="str">
            <v>AMAALA Yacht Club</v>
          </cell>
          <cell r="F1102" t="str">
            <v>1TB01003C70</v>
          </cell>
          <cell r="G1102" t="str">
            <v>1.TB.01.003.01</v>
          </cell>
          <cell r="J1102" t="str">
            <v>Al Drees Petroleum</v>
          </cell>
          <cell r="K1102" t="str">
            <v>Payment On Behalf Of Saudi Arabian Baytur (Jan/Feb)</v>
          </cell>
        </row>
        <row r="1103">
          <cell r="C1103" t="str">
            <v>AMAALA Yacht Club</v>
          </cell>
          <cell r="F1103" t="str">
            <v>1TB01003C69</v>
          </cell>
          <cell r="G1103" t="str">
            <v>1.TB.01.003.01</v>
          </cell>
          <cell r="J1103" t="str">
            <v>Salim Hameed Cleaning</v>
          </cell>
          <cell r="K1103" t="str">
            <v>Payment On Behalf Of Saudi Arabian Baytur (Jan/Feb)</v>
          </cell>
        </row>
        <row r="1104">
          <cell r="C1104" t="str">
            <v>AMAALA Yacht Club</v>
          </cell>
          <cell r="F1104" t="str">
            <v>1TB01003C65</v>
          </cell>
          <cell r="G1104" t="str">
            <v>1.TB.01.003.01</v>
          </cell>
          <cell r="J1104" t="str">
            <v>Eastern Horizon Foundation Transportation Comp.</v>
          </cell>
          <cell r="K1104" t="str">
            <v>Payment On Behalf Of Saudi Arabian Baytur (Jan/Feb)</v>
          </cell>
        </row>
        <row r="1105">
          <cell r="C1105" t="str">
            <v>AMAALA Yacht Club</v>
          </cell>
          <cell r="F1105" t="str">
            <v>1TB01003C64</v>
          </cell>
          <cell r="G1105" t="str">
            <v>1.TB.01.003.01</v>
          </cell>
          <cell r="J1105" t="str">
            <v>JAK Generation Cont. Co. LLC</v>
          </cell>
          <cell r="K1105" t="str">
            <v>Payment On Behalf Of Saudi Arabian Baytur (Jan/Feb)</v>
          </cell>
        </row>
        <row r="1106">
          <cell r="C1106" t="str">
            <v>AMAALA Yacht Club</v>
          </cell>
          <cell r="F1106" t="str">
            <v>1TB01003C67</v>
          </cell>
          <cell r="G1106" t="str">
            <v>1.TB.01.003.01</v>
          </cell>
          <cell r="J1106" t="str">
            <v>Clean Coast For Contracting</v>
          </cell>
          <cell r="K1106" t="str">
            <v>Payment On Behalf Of Saudi Arabian Baytur (Jan/Feb)</v>
          </cell>
        </row>
        <row r="1107">
          <cell r="C1107" t="str">
            <v>AMAALA Yacht Club</v>
          </cell>
          <cell r="F1107" t="str">
            <v>1TB01003C61</v>
          </cell>
          <cell r="G1107" t="str">
            <v>1.TB.01.003.01</v>
          </cell>
          <cell r="J1107" t="str">
            <v>Al Rai Modern Water Factory</v>
          </cell>
          <cell r="K1107" t="str">
            <v>Payment On Behalf Of Saudi Arabian Baytur (Jan/Feb)</v>
          </cell>
        </row>
        <row r="1108">
          <cell r="C1108" t="str">
            <v>AMAALA Yacht Club</v>
          </cell>
          <cell r="F1108" t="str">
            <v>1TB01003C57</v>
          </cell>
          <cell r="G1108" t="str">
            <v>1.TB.01.003.01</v>
          </cell>
          <cell r="J1108" t="str">
            <v>Juffali Technical Equipment Company</v>
          </cell>
          <cell r="K1108" t="str">
            <v>Payment On Behalf Of Saudi Arabian Baytur (Jan/Feb)</v>
          </cell>
        </row>
        <row r="1109">
          <cell r="C1109" t="str">
            <v>AMAALA Yacht Club</v>
          </cell>
          <cell r="F1109" t="str">
            <v>1TB01003C63</v>
          </cell>
          <cell r="G1109" t="str">
            <v>1.TB.01.003.01</v>
          </cell>
          <cell r="J1109" t="str">
            <v>Intelligent General Cont. Co - Equipment - Industrial Forklift &amp; 5ton</v>
          </cell>
          <cell r="K1109" t="str">
            <v>Payment On Behalf Of Saudi Arabian Baytur (Jan/Feb)</v>
          </cell>
        </row>
        <row r="1110">
          <cell r="C1110" t="str">
            <v>AMAALA Yacht Club</v>
          </cell>
          <cell r="F1110" t="str">
            <v>1TB01003C71</v>
          </cell>
          <cell r="G1110" t="str">
            <v>1.TB.01.003.01</v>
          </cell>
          <cell r="J1110" t="str">
            <v>Al-Anan Travels and Tours</v>
          </cell>
          <cell r="K1110" t="str">
            <v>Payment On Behalf Of Saudi Arabian Baytur (Jan/Feb)</v>
          </cell>
        </row>
        <row r="1111">
          <cell r="C1111" t="str">
            <v>AMAALA Yacht Club</v>
          </cell>
          <cell r="F1111" t="str">
            <v>1TB01003C58</v>
          </cell>
          <cell r="G1111" t="str">
            <v>1.TB.01.003.01</v>
          </cell>
          <cell r="J1111" t="str">
            <v>Madar Building Material Co.</v>
          </cell>
          <cell r="K1111" t="str">
            <v>Payment On Behalf Of Saudi Arabian Baytur (Jan/Feb)</v>
          </cell>
        </row>
        <row r="1112">
          <cell r="C1112" t="str">
            <v>AMAALA Yacht Club</v>
          </cell>
          <cell r="F1112" t="str">
            <v>1TB01003C53</v>
          </cell>
          <cell r="G1112" t="str">
            <v>1.TB.01.003.01</v>
          </cell>
          <cell r="J1112" t="str">
            <v>Factory Of USG Middle East Ltd. Co.</v>
          </cell>
          <cell r="K1112" t="str">
            <v>Payment On Behalf Of Saudi Arabian Baytur (Jan/Feb)</v>
          </cell>
        </row>
        <row r="1113">
          <cell r="C1113" t="str">
            <v>AMAALA Yacht Club</v>
          </cell>
          <cell r="F1113" t="str">
            <v>1TB01003C73</v>
          </cell>
          <cell r="G1113" t="str">
            <v>1.TB.01.003.01</v>
          </cell>
          <cell r="J1113" t="str">
            <v>M Mohammad Alharbi Medical Company</v>
          </cell>
          <cell r="K1113" t="str">
            <v>Payment On Behalf Of Saudi Arabian Baytur (Jan/Feb)</v>
          </cell>
        </row>
        <row r="1114">
          <cell r="C1114" t="str">
            <v>Village Boutique Hotel</v>
          </cell>
          <cell r="F1114" t="str">
            <v>1TB01006C52</v>
          </cell>
          <cell r="G1114" t="str">
            <v>1.TB.01.006.99</v>
          </cell>
          <cell r="J1114" t="str">
            <v>Aluminum Construction Systems Factory Company Limited</v>
          </cell>
          <cell r="K1114" t="str">
            <v>Aluminum &amp; Glazing Works for Village Boutique Hotel</v>
          </cell>
        </row>
        <row r="1115">
          <cell r="C1115" t="str">
            <v>Ocean Golf - Wide</v>
          </cell>
          <cell r="F1115" t="str">
            <v>1TB05500F05</v>
          </cell>
          <cell r="G1115" t="str">
            <v>1.TB.05.500.00</v>
          </cell>
          <cell r="J1115" t="str">
            <v>Fajr Construction Company</v>
          </cell>
          <cell r="K1115" t="str">
            <v>Supply, Installation and Maintenance of AMAALA Triple Bay Site-Wide Logistics Works (Call off Order No: 021)</v>
          </cell>
        </row>
        <row r="1116">
          <cell r="C1116" t="str">
            <v>Numan Island Side wide</v>
          </cell>
          <cell r="F1116" t="str">
            <v>AIL00O00C09</v>
          </cell>
          <cell r="G1116" t="str">
            <v>A.IL.00.O00.00</v>
          </cell>
          <cell r="J1116" t="str">
            <v>Muslim AI-Bouri Agricultural Nurseries Company</v>
          </cell>
          <cell r="K1116" t="str">
            <v>Plant Supply Package</v>
          </cell>
        </row>
        <row r="1117">
          <cell r="C1117" t="str">
            <v>Numan Island Side wide</v>
          </cell>
          <cell r="F1117" t="str">
            <v>AIL00O00C10</v>
          </cell>
          <cell r="G1117" t="str">
            <v>A.IL.00.O00.00</v>
          </cell>
          <cell r="J1117" t="str">
            <v>Muslim AI-Bouri Agricultural Nurseries Company</v>
          </cell>
          <cell r="K1117" t="str">
            <v>Plant Supply Package</v>
          </cell>
        </row>
        <row r="1118">
          <cell r="C1118" t="str">
            <v>Numan Island Side wide</v>
          </cell>
          <cell r="F1118" t="str">
            <v>AIL00O00C11</v>
          </cell>
          <cell r="G1118" t="str">
            <v>A.IL.00.O00.00</v>
          </cell>
          <cell r="J1118" t="str">
            <v>Muslim AI-Bouri Agricultural Nurseries Company</v>
          </cell>
          <cell r="K1118" t="str">
            <v>Plant Supply Package</v>
          </cell>
        </row>
        <row r="1119">
          <cell r="C1119" t="str">
            <v>Numan Island Side wide</v>
          </cell>
          <cell r="F1119" t="str">
            <v>AIL00O00C12</v>
          </cell>
          <cell r="G1119" t="str">
            <v>A.IL.00.O00.00</v>
          </cell>
          <cell r="J1119" t="str">
            <v>Muslim AI-Bouri Agricultural Nurseries Company</v>
          </cell>
          <cell r="K1119" t="str">
            <v>Plant Supply Package</v>
          </cell>
        </row>
        <row r="1120">
          <cell r="C1120" t="str">
            <v>Numan Island Side wide</v>
          </cell>
          <cell r="F1120" t="str">
            <v>AIL00O00C13</v>
          </cell>
          <cell r="G1120" t="str">
            <v>A.IL.00.O00.00</v>
          </cell>
          <cell r="J1120" t="str">
            <v>Muslim AI-Bouri Agricultural Nurseries Company</v>
          </cell>
          <cell r="K1120" t="str">
            <v>Plant Supply Package</v>
          </cell>
        </row>
        <row r="1121">
          <cell r="C1121" t="str">
            <v>Ridge Residences</v>
          </cell>
          <cell r="F1121" t="str">
            <v>1TB06024B01</v>
          </cell>
          <cell r="G1121" t="str">
            <v>1.TB.06.024.01</v>
          </cell>
          <cell r="J1121" t="str">
            <v>System Security Solutions Co.</v>
          </cell>
          <cell r="K1121" t="str">
            <v>Construction of Sales Center</v>
          </cell>
        </row>
        <row r="1122">
          <cell r="C1122" t="str">
            <v>AMAALA Yacht Club</v>
          </cell>
          <cell r="F1122" t="str">
            <v>1TB01003C39</v>
          </cell>
          <cell r="G1122" t="str">
            <v>1.TB.01.003.01</v>
          </cell>
          <cell r="J1122" t="str">
            <v>Isam Kabani &amp; Partners</v>
          </cell>
          <cell r="K1122" t="str">
            <v>Payment On Behalf Of Saudi Arabian Baytur (Jan/Feb)</v>
          </cell>
        </row>
        <row r="1123">
          <cell r="C1123" t="str">
            <v>AMAALA Yacht Club</v>
          </cell>
          <cell r="F1123" t="str">
            <v>1TB01003C43</v>
          </cell>
          <cell r="G1123" t="str">
            <v>1.TB.01.003.01</v>
          </cell>
          <cell r="J1123" t="str">
            <v>Abu Dhabi Precast LLC</v>
          </cell>
          <cell r="K1123" t="str">
            <v>Payment On Behalf Of Saudi Arabian Baytur (Jan/Feb)</v>
          </cell>
        </row>
        <row r="1124">
          <cell r="C1124" t="str">
            <v>AMAALA Yacht Club</v>
          </cell>
          <cell r="F1124" t="str">
            <v>1TB01003C115</v>
          </cell>
          <cell r="G1124" t="str">
            <v>1.TB.01.003.01</v>
          </cell>
          <cell r="J1124" t="str">
            <v>Ahmed Bin Salem Bin Dagher Al-Balawi Est</v>
          </cell>
          <cell r="K1124" t="str">
            <v>Payment On Behalf Of Saudi Arabian Baytur (Jan/Feb)</v>
          </cell>
        </row>
        <row r="1125">
          <cell r="C1125" t="str">
            <v>AMAALA Yacht Club</v>
          </cell>
          <cell r="F1125" t="str">
            <v>1TB01003C87</v>
          </cell>
          <cell r="G1125" t="str">
            <v>1.TB.01.003.01</v>
          </cell>
          <cell r="J1125" t="str">
            <v>Bahamdoon Trading Co</v>
          </cell>
          <cell r="K1125" t="str">
            <v>Payment On Behalf Of Saudi Arabian Baytur (Jan/Feb)</v>
          </cell>
        </row>
        <row r="1126">
          <cell r="C1126" t="str">
            <v>AMAALA Yacht Club</v>
          </cell>
          <cell r="F1126" t="str">
            <v>1TB01003C84</v>
          </cell>
          <cell r="G1126" t="str">
            <v>1.TB.01.003.01</v>
          </cell>
          <cell r="J1126" t="str">
            <v>Energy &amp; Building Masters</v>
          </cell>
          <cell r="K1126" t="str">
            <v>Payment On Behalf Of Saudi Arabian Baytur (Jan/Feb)</v>
          </cell>
        </row>
        <row r="1127">
          <cell r="C1127" t="str">
            <v>AMAALA Yacht Club</v>
          </cell>
          <cell r="F1127" t="str">
            <v>1TB01003C59</v>
          </cell>
          <cell r="G1127" t="str">
            <v>1.TB.01.003.01</v>
          </cell>
          <cell r="J1127" t="str">
            <v>Fosam Company LTD</v>
          </cell>
          <cell r="K1127" t="str">
            <v>Payment On Behalf Of Saudi Arabian Baytur (Jan/Feb)</v>
          </cell>
        </row>
        <row r="1128">
          <cell r="C1128" t="str">
            <v>AMAALA Yacht Club</v>
          </cell>
          <cell r="F1128" t="str">
            <v>1TB01003C56</v>
          </cell>
          <cell r="G1128" t="str">
            <v>1.TB.01.003.01</v>
          </cell>
          <cell r="J1128" t="str">
            <v>Glow Arabia Trading</v>
          </cell>
          <cell r="K1128" t="str">
            <v>Payment On Behalf Of Saudi Arabian Baytur (Jan/Feb)</v>
          </cell>
        </row>
        <row r="1129">
          <cell r="C1129" t="str">
            <v>AMAALA Yacht Club</v>
          </cell>
          <cell r="F1129" t="str">
            <v>1TB01003C54</v>
          </cell>
          <cell r="G1129" t="str">
            <v>1.TB.01.003.01</v>
          </cell>
          <cell r="J1129" t="str">
            <v>Nextware International Supply</v>
          </cell>
          <cell r="K1129" t="str">
            <v>Payment On Behalf Of Saudi Arabian Baytur (Jan/Feb)</v>
          </cell>
        </row>
        <row r="1130">
          <cell r="C1130" t="str">
            <v>AMAALA Yacht Club</v>
          </cell>
          <cell r="F1130" t="str">
            <v>1TB01003C86</v>
          </cell>
          <cell r="G1130" t="str">
            <v>1.TB.01.003.01</v>
          </cell>
          <cell r="J1130" t="str">
            <v>Wood Expert</v>
          </cell>
          <cell r="K1130" t="str">
            <v>Payment On Behalf Of Saudi Arabian Baytur (Jan/Feb)</v>
          </cell>
        </row>
        <row r="1131">
          <cell r="C1131" t="str">
            <v>AMAALA Yacht Club</v>
          </cell>
          <cell r="F1131" t="str">
            <v>1TB01003C85</v>
          </cell>
          <cell r="G1131" t="str">
            <v>1.TB.01.003.01</v>
          </cell>
          <cell r="J1131" t="str">
            <v>Lumi Rental Co.</v>
          </cell>
          <cell r="K1131" t="str">
            <v>Payment On Behalf Of Saudi Arabian Baytur (Jan/Feb)</v>
          </cell>
        </row>
        <row r="1132">
          <cell r="C1132" t="str">
            <v>Staff Village - Wide</v>
          </cell>
          <cell r="F1132" t="str">
            <v>1SV10110C71</v>
          </cell>
          <cell r="G1132" t="str">
            <v>1.SV.10.110.00</v>
          </cell>
          <cell r="J1132" t="str">
            <v>Astra Construction Company Ltd</v>
          </cell>
          <cell r="K1132" t="str">
            <v>Zone 4 &amp; 6 - Beach Club F&amp;B Facilities Fit-out Works at AMAALA Staff Village</v>
          </cell>
        </row>
        <row r="1133">
          <cell r="C1133" t="str">
            <v>Staff Village - Wide</v>
          </cell>
          <cell r="F1133" t="str">
            <v>1SV10110F65</v>
          </cell>
          <cell r="G1133" t="str">
            <v>1.SV.10.110.00</v>
          </cell>
          <cell r="J1133" t="str">
            <v>Reef Hospitality Solutions &amp; Trading Co.</v>
          </cell>
          <cell r="K1133" t="str">
            <v>Supply, Delivery of OSE Items (Call off Order No: 001)</v>
          </cell>
        </row>
        <row r="1134">
          <cell r="C1134" t="str">
            <v>Staff Village - Wide</v>
          </cell>
          <cell r="F1134" t="str">
            <v>1SV10110F67</v>
          </cell>
          <cell r="G1134" t="str">
            <v>1.SV.10.110.00</v>
          </cell>
          <cell r="J1134" t="str">
            <v>Gentelle Hotel Supplies Co. Ltd</v>
          </cell>
          <cell r="K1134" t="str">
            <v>Supply of OSE Items (Call Off Order No:  001)</v>
          </cell>
        </row>
        <row r="1135">
          <cell r="C1135" t="str">
            <v>Marina Village - Wide</v>
          </cell>
          <cell r="F1135" t="str">
            <v>1TB01100C41</v>
          </cell>
          <cell r="G1135" t="str">
            <v>1.TB.01.100.00</v>
          </cell>
          <cell r="J1135" t="str">
            <v>Rawabi Specialized Contracting Company</v>
          </cell>
          <cell r="K1135" t="str">
            <v>Construction of Additional Fuel Line for Super Yacht</v>
          </cell>
        </row>
        <row r="1136">
          <cell r="C1136" t="str">
            <v>Staff Village - Wide</v>
          </cell>
          <cell r="F1136" t="str">
            <v>1SV10110C119</v>
          </cell>
          <cell r="G1136" t="str">
            <v>1.SV.10.110.00</v>
          </cell>
          <cell r="J1136" t="str">
            <v>Al Mutlaq Furniture</v>
          </cell>
          <cell r="K1136" t="str">
            <v>Supply, Delivery and Installation of FFE Items</v>
          </cell>
        </row>
        <row r="1137">
          <cell r="C1137" t="str">
            <v>AMAALA Yacht Club</v>
          </cell>
          <cell r="F1137" t="str">
            <v>1TB01003C40</v>
          </cell>
          <cell r="G1137" t="str">
            <v>1.TB.01.003.01</v>
          </cell>
          <cell r="J1137" t="str">
            <v>Noreom</v>
          </cell>
          <cell r="K1137" t="str">
            <v>Payment On Behalf Of Saudi Arabian Baytur (Jan/Feb)</v>
          </cell>
        </row>
        <row r="1138">
          <cell r="C1138" t="str">
            <v>AMAALA Yacht Club</v>
          </cell>
          <cell r="F1138" t="str">
            <v>1TB01003C41</v>
          </cell>
          <cell r="G1138" t="str">
            <v>1.TB.01.003.01</v>
          </cell>
          <cell r="J1138" t="str">
            <v>Raddad Al Madinah for General
Contracting</v>
          </cell>
          <cell r="K1138" t="str">
            <v>Payment On Behalf Of Saudi Arabian Baytur (Jan/Feb)</v>
          </cell>
        </row>
        <row r="1139">
          <cell r="C1139" t="str">
            <v>AMAALA Yacht Club</v>
          </cell>
          <cell r="F1139" t="str">
            <v>1TB01003C44</v>
          </cell>
          <cell r="G1139" t="str">
            <v>1.TB.01.003.01</v>
          </cell>
          <cell r="J1139" t="str">
            <v>Medtel W.N</v>
          </cell>
          <cell r="K1139" t="str">
            <v>Payment On Behalf Of Saudi Arabian Baytur (Jan/Feb)</v>
          </cell>
        </row>
        <row r="1140">
          <cell r="C1140" t="str">
            <v>AMAALA Yacht Club</v>
          </cell>
          <cell r="F1140" t="str">
            <v>1TB01003C45</v>
          </cell>
          <cell r="G1140" t="str">
            <v>1.TB.01.003.01</v>
          </cell>
          <cell r="J1140" t="str">
            <v>Virtual Projects DMCC</v>
          </cell>
          <cell r="K1140" t="str">
            <v>Payment On Behalf Of Saudi Arabian Baytur (Jan/Feb)</v>
          </cell>
        </row>
        <row r="1141">
          <cell r="C1141" t="str">
            <v>AMAALA Yacht Club</v>
          </cell>
          <cell r="F1141" t="str">
            <v>1TB01003C46</v>
          </cell>
          <cell r="G1141" t="str">
            <v>1.TB.01.003.01</v>
          </cell>
          <cell r="J1141" t="str">
            <v>Jameel Mohammed Hussain Alqatafa Cont.Est.</v>
          </cell>
          <cell r="K1141" t="str">
            <v>Payment On Behalf Of Saudi Arabian Baytur (Jan/Feb)</v>
          </cell>
        </row>
        <row r="1142">
          <cell r="C1142" t="str">
            <v>AMAALA Yacht Club</v>
          </cell>
          <cell r="F1142" t="str">
            <v>1TB01003C47</v>
          </cell>
          <cell r="G1142" t="str">
            <v>1.TB.01.003.01</v>
          </cell>
          <cell r="J1142" t="str">
            <v>Gesr Alarab</v>
          </cell>
          <cell r="K1142" t="str">
            <v>Payment On Behalf Of Saudi Arabian Baytur (Jan/Feb)</v>
          </cell>
        </row>
        <row r="1143">
          <cell r="C1143" t="str">
            <v>AMAALA Yacht Club</v>
          </cell>
          <cell r="F1143" t="str">
            <v>1TB01003C48</v>
          </cell>
          <cell r="G1143" t="str">
            <v>1.TB.01.003.01</v>
          </cell>
          <cell r="J1143" t="str">
            <v>National Fire Fighting Manufacturing Company - NAFFCO</v>
          </cell>
          <cell r="K1143" t="str">
            <v>Payment On Behalf Of Saudi Arabian Baytur (Jan/Feb)</v>
          </cell>
        </row>
        <row r="1144">
          <cell r="C1144" t="str">
            <v>AMAALA Yacht Club</v>
          </cell>
          <cell r="F1144" t="str">
            <v>1TB01003C49</v>
          </cell>
          <cell r="G1144" t="str">
            <v>1.TB.01.003.01</v>
          </cell>
          <cell r="J1144" t="str">
            <v>Yaz Development Contracting</v>
          </cell>
          <cell r="K1144" t="str">
            <v>Payment On Behalf Of Saudi Arabian Baytur (Jan/Feb)</v>
          </cell>
        </row>
        <row r="1145">
          <cell r="C1145" t="str">
            <v>AMAALA Yacht Club</v>
          </cell>
          <cell r="F1145" t="str">
            <v>1TB01003C50</v>
          </cell>
          <cell r="G1145" t="str">
            <v>1.TB.01.003.01</v>
          </cell>
          <cell r="J1145" t="str">
            <v>Abeer Manawer Al-Shamari Contracting Est.</v>
          </cell>
          <cell r="K1145" t="str">
            <v>Payment On Behalf Of Saudi Arabian Baytur (Jan/Feb)</v>
          </cell>
        </row>
        <row r="1146">
          <cell r="C1146" t="str">
            <v>AMAALA Yacht Club</v>
          </cell>
          <cell r="F1146" t="str">
            <v>1TB01003C51</v>
          </cell>
          <cell r="G1146" t="str">
            <v>1.TB.01.003.01</v>
          </cell>
          <cell r="J1146" t="str">
            <v>Brooq Alamaan Trad Company</v>
          </cell>
          <cell r="K1146" t="str">
            <v>Payment On Behalf Of Saudi Arabian Baytur (Jan/Feb)</v>
          </cell>
        </row>
        <row r="1147">
          <cell r="C1147" t="str">
            <v>AMAALA Yacht Club</v>
          </cell>
          <cell r="F1147" t="str">
            <v>1TB01003C83</v>
          </cell>
          <cell r="G1147" t="str">
            <v>1.TB.01.003.01</v>
          </cell>
          <cell r="J1147" t="str">
            <v>Yaz Development Contracting</v>
          </cell>
          <cell r="K1147" t="str">
            <v>Payment On Behalf Of Saudi Arabian Baytur (Jan/Feb)</v>
          </cell>
        </row>
        <row r="1148">
          <cell r="C1148" t="str">
            <v>AMAALA Yacht Club</v>
          </cell>
          <cell r="F1148" t="str">
            <v>1TB01003C116</v>
          </cell>
          <cell r="G1148" t="str">
            <v>1.TB.01.003.01</v>
          </cell>
          <cell r="J1148" t="str">
            <v>Arabian Testing Evolution Company</v>
          </cell>
          <cell r="K1148" t="str">
            <v>Payment On Behalf Of Saudi Arabian Baytur (Jan/Feb)</v>
          </cell>
        </row>
        <row r="1149">
          <cell r="C1149" t="str">
            <v>AMAALA Yacht Club</v>
          </cell>
          <cell r="F1149" t="str">
            <v>1TB01003C74</v>
          </cell>
          <cell r="G1149" t="str">
            <v>1.TB.01.003.01</v>
          </cell>
          <cell r="J1149" t="str">
            <v>Abu Nayyan Trading</v>
          </cell>
          <cell r="K1149" t="str">
            <v>Payment On Behalf Of Saudi Arabian Baytur (Jan/Feb)</v>
          </cell>
        </row>
        <row r="1150">
          <cell r="C1150" t="str">
            <v>AMAALA Yacht Club</v>
          </cell>
          <cell r="F1150" t="str">
            <v>1TB01003C75</v>
          </cell>
          <cell r="G1150" t="str">
            <v>1.TB.01.003.01</v>
          </cell>
          <cell r="J1150" t="str">
            <v>Filter Expert Trading</v>
          </cell>
          <cell r="K1150" t="str">
            <v>Payment On Behalf Of Saudi Arabian Baytur (Jan/Feb)</v>
          </cell>
        </row>
        <row r="1151">
          <cell r="C1151" t="str">
            <v>AMAALA Yacht Club</v>
          </cell>
          <cell r="F1151" t="str">
            <v>1TB01003C77</v>
          </cell>
          <cell r="G1151" t="str">
            <v>1.TB.01.003.01</v>
          </cell>
          <cell r="J1151" t="str">
            <v>Arab Company for Laboratories and Soil Branch (ACES)</v>
          </cell>
          <cell r="K1151" t="str">
            <v>Payment On Behalf Of Saudi Arabian Baytur (Jan/Feb)</v>
          </cell>
        </row>
        <row r="1152">
          <cell r="C1152" t="str">
            <v>AMAALA Yacht Club</v>
          </cell>
          <cell r="F1152" t="str">
            <v>1TB01003C92</v>
          </cell>
          <cell r="G1152" t="str">
            <v>1.TB.01.003.01</v>
          </cell>
          <cell r="J1152" t="str">
            <v>Al Hayat Investment</v>
          </cell>
          <cell r="K1152" t="str">
            <v>Payment On Behalf Of Saudi Arabian Baytur (Mar)</v>
          </cell>
        </row>
        <row r="1153">
          <cell r="C1153" t="str">
            <v>AMAALA Yacht Club</v>
          </cell>
          <cell r="F1153" t="str">
            <v>1TB01003C93</v>
          </cell>
          <cell r="G1153" t="str">
            <v>1.TB.01.003.01</v>
          </cell>
          <cell r="J1153" t="str">
            <v>Gesr Alarab</v>
          </cell>
          <cell r="K1153" t="str">
            <v>Payment On Behalf Of Saudi Arabian Baytur (Mar)</v>
          </cell>
        </row>
        <row r="1154">
          <cell r="C1154" t="str">
            <v>AMAALA Yacht Club</v>
          </cell>
          <cell r="F1154" t="str">
            <v>1TB01003C94</v>
          </cell>
          <cell r="G1154" t="str">
            <v>1.TB.01.003.01</v>
          </cell>
          <cell r="J1154" t="str">
            <v>National Fire Fighting Manufacturing Company - NAFFCO</v>
          </cell>
          <cell r="K1154" t="str">
            <v>Payment On Behalf Of Saudi Arabian Baytur (Mar)</v>
          </cell>
        </row>
        <row r="1155">
          <cell r="C1155" t="str">
            <v>AMAALA Yacht Club</v>
          </cell>
          <cell r="F1155" t="str">
            <v>1TB01003C95</v>
          </cell>
          <cell r="G1155" t="str">
            <v>1.TB.01.003.01</v>
          </cell>
          <cell r="J1155" t="str">
            <v>Yaz Development Contracting</v>
          </cell>
          <cell r="K1155" t="str">
            <v>Payment On Behalf Of Saudi Arabian Baytur (Mar)</v>
          </cell>
        </row>
        <row r="1156">
          <cell r="C1156" t="str">
            <v>AMAALA Yacht Club</v>
          </cell>
          <cell r="F1156" t="str">
            <v>1TB01003C96</v>
          </cell>
          <cell r="G1156" t="str">
            <v>1.TB.01.003.01</v>
          </cell>
          <cell r="J1156" t="str">
            <v>Factory Of USG Middle East Ltd. Co.</v>
          </cell>
          <cell r="K1156" t="str">
            <v>Payment On Behalf Of Saudi Arabian Baytur (Mar)</v>
          </cell>
        </row>
        <row r="1157">
          <cell r="C1157" t="str">
            <v>AMAALA Yacht Club</v>
          </cell>
          <cell r="F1157" t="str">
            <v>1TB01003C97</v>
          </cell>
          <cell r="G1157" t="str">
            <v>1.TB.01.003.01</v>
          </cell>
          <cell r="J1157" t="str">
            <v>Glow Arabia Trading</v>
          </cell>
          <cell r="K1157" t="str">
            <v>Payment On Behalf Of Saudi Arabian Baytur (Mar)</v>
          </cell>
        </row>
        <row r="1158">
          <cell r="C1158" t="str">
            <v>AMAALA Yacht Club</v>
          </cell>
          <cell r="F1158" t="str">
            <v>1TB01003C98</v>
          </cell>
          <cell r="G1158" t="str">
            <v>1.TB.01.003.01</v>
          </cell>
          <cell r="J1158" t="str">
            <v>Juffali Technical Equipment Company</v>
          </cell>
          <cell r="K1158" t="str">
            <v>Payment On Behalf Of Saudi Arabian Baytur (Mar)</v>
          </cell>
        </row>
        <row r="1159">
          <cell r="C1159" t="str">
            <v>AMAALA Yacht Club</v>
          </cell>
          <cell r="F1159" t="str">
            <v>1TB01003C99</v>
          </cell>
          <cell r="G1159" t="str">
            <v>1.TB.01.003.01</v>
          </cell>
          <cell r="J1159" t="str">
            <v>The International Company For Building Materials LTD Binex</v>
          </cell>
          <cell r="K1159" t="str">
            <v>Payment On Behalf Of Saudi Arabian Baytur (Mar)</v>
          </cell>
        </row>
        <row r="1160">
          <cell r="C1160" t="str">
            <v>AMAALA Yacht Club</v>
          </cell>
          <cell r="F1160" t="str">
            <v>1TB01003C100</v>
          </cell>
          <cell r="G1160" t="str">
            <v>1.TB.01.003.01</v>
          </cell>
          <cell r="J1160" t="str">
            <v>Fosam Company LTD</v>
          </cell>
          <cell r="K1160" t="str">
            <v>Payment On Behalf Of Saudi Arabian Baytur (Mar)</v>
          </cell>
        </row>
        <row r="1161">
          <cell r="C1161" t="str">
            <v>AMAALA Yacht Club</v>
          </cell>
          <cell r="F1161" t="str">
            <v>1TB01003C101</v>
          </cell>
          <cell r="G1161" t="str">
            <v>1.TB.01.003.01</v>
          </cell>
          <cell r="J1161" t="str">
            <v>Al Rai Modern Water Factory</v>
          </cell>
          <cell r="K1161" t="str">
            <v>Payment On Behalf Of Saudi Arabian Baytur (Mar)</v>
          </cell>
        </row>
        <row r="1162">
          <cell r="C1162" t="str">
            <v>AMAALA Yacht Club</v>
          </cell>
          <cell r="F1162" t="str">
            <v>1TB01003C102</v>
          </cell>
          <cell r="G1162" t="str">
            <v>1.TB.01.003.01</v>
          </cell>
          <cell r="J1162" t="str">
            <v>Intelligent General Cont. Co - Equipment - Industrial Forklift &amp; 5ton</v>
          </cell>
          <cell r="K1162" t="str">
            <v>Payment On Behalf Of Saudi Arabian Baytur (Mar)</v>
          </cell>
        </row>
        <row r="1163">
          <cell r="C1163" t="str">
            <v>AMAALA Yacht Club</v>
          </cell>
          <cell r="F1163" t="str">
            <v>1TB01003C103</v>
          </cell>
          <cell r="G1163" t="str">
            <v>1.TB.01.003.01</v>
          </cell>
          <cell r="J1163" t="str">
            <v>JAK Generation Cont. Co. LLC</v>
          </cell>
          <cell r="K1163" t="str">
            <v>Payment On Behalf Of Saudi Arabian Baytur (Mar)</v>
          </cell>
        </row>
        <row r="1164">
          <cell r="C1164" t="str">
            <v>AMAALA Yacht Club</v>
          </cell>
          <cell r="F1164" t="str">
            <v>1TB01003C104</v>
          </cell>
          <cell r="G1164" t="str">
            <v>1.TB.01.003.01</v>
          </cell>
          <cell r="J1164" t="str">
            <v>Sami General Contracting Est.</v>
          </cell>
          <cell r="K1164" t="str">
            <v>Payment On Behalf Of Saudi Arabian Baytur (Mar)</v>
          </cell>
        </row>
        <row r="1165">
          <cell r="C1165" t="str">
            <v>AMAALA Yacht Club</v>
          </cell>
          <cell r="F1165" t="str">
            <v>1TB01003C105</v>
          </cell>
          <cell r="G1165" t="str">
            <v>1.TB.01.003.01</v>
          </cell>
          <cell r="J1165" t="str">
            <v>Clean Coast For Contracting</v>
          </cell>
          <cell r="K1165" t="str">
            <v>Payment On Behalf Of Saudi Arabian Baytur (Mar)</v>
          </cell>
        </row>
        <row r="1166">
          <cell r="C1166" t="str">
            <v>AMAALA Yacht Club</v>
          </cell>
          <cell r="F1166" t="str">
            <v>1TB01003C108</v>
          </cell>
          <cell r="G1166" t="str">
            <v>1.TB.01.003.01</v>
          </cell>
          <cell r="J1166" t="str">
            <v>M Mohammad Alharbi Medical Company</v>
          </cell>
          <cell r="K1166" t="str">
            <v>Payment On Behalf Of Saudi Arabian Baytur (Mar)</v>
          </cell>
        </row>
        <row r="1167">
          <cell r="C1167" t="str">
            <v>AMAALA Yacht Club</v>
          </cell>
          <cell r="F1167" t="str">
            <v>1TB01003C110</v>
          </cell>
          <cell r="G1167" t="str">
            <v>1.TB.01.003.01</v>
          </cell>
          <cell r="J1167" t="str">
            <v>AAMTAC Company LTD</v>
          </cell>
          <cell r="K1167" t="str">
            <v>Payment On Behalf Of Saudi Arabian Baytur (Mar)</v>
          </cell>
        </row>
        <row r="1168">
          <cell r="C1168" t="str">
            <v>AMAALA Yacht Club</v>
          </cell>
          <cell r="F1168" t="str">
            <v>1TB01003C111</v>
          </cell>
          <cell r="G1168" t="str">
            <v>1.TB.01.003.01</v>
          </cell>
          <cell r="J1168" t="str">
            <v>Ramzi Abbas Mohd Sayed Est</v>
          </cell>
          <cell r="K1168" t="str">
            <v>Payment On Behalf Of Saudi Arabian Baytur (Mar)</v>
          </cell>
        </row>
        <row r="1169">
          <cell r="C1169" t="str">
            <v>AMAALA Yacht Club</v>
          </cell>
          <cell r="F1169" t="str">
            <v>1TB01003C112</v>
          </cell>
          <cell r="G1169" t="str">
            <v>1.TB.01.003.01</v>
          </cell>
          <cell r="J1169" t="str">
            <v>Ihsan Muhammed Thakir Idress Trading</v>
          </cell>
          <cell r="K1169" t="str">
            <v>Payment On Behalf Of Saudi Arabian Baytur (Mar)</v>
          </cell>
        </row>
        <row r="1170">
          <cell r="C1170" t="str">
            <v>AMAALA Yacht Club</v>
          </cell>
          <cell r="F1170" t="str">
            <v>1TB01003C113</v>
          </cell>
          <cell r="G1170" t="str">
            <v>1.TB.01.003.01</v>
          </cell>
          <cell r="J1170" t="str">
            <v>Saint Gobain - Sodamco Industrial</v>
          </cell>
          <cell r="K1170" t="str">
            <v>Payment On Behalf Of Saudi Arabian Baytur (Mar)</v>
          </cell>
        </row>
        <row r="1171">
          <cell r="C1171" t="str">
            <v>Ocean Golf Private Residences - Phase 1</v>
          </cell>
          <cell r="F1171" t="str">
            <v>1TB05039C03</v>
          </cell>
          <cell r="G1171" t="str">
            <v>1.TB.05.039.01</v>
          </cell>
          <cell r="J1171" t="str">
            <v>Fatayerji Contracting Company Ltd</v>
          </cell>
          <cell r="K1171" t="str">
            <v>MEP &amp; ELV Works for a Ocean Golf Residences and Ocean Golf Clubhouse and Associated Buildings</v>
          </cell>
        </row>
        <row r="1172">
          <cell r="C1172" t="str">
            <v>AMAALA Yacht Club</v>
          </cell>
          <cell r="F1172" t="str">
            <v>1TB01003C79</v>
          </cell>
          <cell r="G1172" t="str">
            <v>1.TB.01.003.01</v>
          </cell>
          <cell r="J1172" t="str">
            <v>Glsan Contracting Company</v>
          </cell>
          <cell r="K1172" t="str">
            <v>Payment On Behalf Of Saudi Arabian Baytur (Mar)</v>
          </cell>
        </row>
        <row r="1173">
          <cell r="C1173" t="str">
            <v>AMAALA Yacht Club</v>
          </cell>
          <cell r="F1173" t="str">
            <v>1TB01003C81</v>
          </cell>
          <cell r="G1173" t="str">
            <v>1.TB.01.003.01</v>
          </cell>
          <cell r="J1173" t="str">
            <v>Jameel Mohammed Hussain Alqatafa Cont.Est.</v>
          </cell>
          <cell r="K1173" t="str">
            <v>Payment On Behalf Of Saudi Arabian Baytur (Mar)</v>
          </cell>
        </row>
        <row r="1174">
          <cell r="C1174" t="str">
            <v>AMAALA Yacht Club</v>
          </cell>
          <cell r="F1174" t="str">
            <v>1TB01003C89</v>
          </cell>
          <cell r="G1174" t="str">
            <v>1.TB.01.003.01</v>
          </cell>
          <cell r="J1174" t="str">
            <v>Issam Kabani and Partners</v>
          </cell>
          <cell r="K1174" t="str">
            <v>Payment On Behalf Of Saudi Arabian Baytur (Mar)</v>
          </cell>
        </row>
        <row r="1175">
          <cell r="C1175" t="str">
            <v>Rosewood Resort</v>
          </cell>
          <cell r="F1175" t="str">
            <v>1TB02011C89</v>
          </cell>
          <cell r="G1175" t="str">
            <v>1.TB.02.011.01</v>
          </cell>
          <cell r="J1175" t="str">
            <v>Shandong Tiejun Electric Power Engineering Co. LTD. Branch</v>
          </cell>
          <cell r="K1175" t="str">
            <v>Construction of External Wall Cladding &amp; External Privacy Screens</v>
          </cell>
        </row>
        <row r="1176">
          <cell r="C1176" t="str">
            <v>Rosewood Resort</v>
          </cell>
          <cell r="F1176" t="str">
            <v>1TB02011C107</v>
          </cell>
          <cell r="G1176" t="str">
            <v>1.TB.02.011.01</v>
          </cell>
          <cell r="J1176" t="str">
            <v>Quality World Company Limited</v>
          </cell>
          <cell r="K1176" t="str">
            <v>Payment On Behalf Of BAFCO</v>
          </cell>
        </row>
        <row r="1177">
          <cell r="C1177" t="str">
            <v>Rosewood Resort</v>
          </cell>
          <cell r="F1177" t="str">
            <v>1TB02011C102</v>
          </cell>
          <cell r="G1177" t="str">
            <v>1.TB.02.011.01</v>
          </cell>
          <cell r="J1177" t="str">
            <v>Accurate Services Co(Asco) LLC</v>
          </cell>
          <cell r="K1177" t="str">
            <v>Payment On Behalf Of BAFCO</v>
          </cell>
        </row>
        <row r="1178">
          <cell r="C1178" t="str">
            <v>Rosewood Resort</v>
          </cell>
          <cell r="F1178" t="str">
            <v>1TB02011C101</v>
          </cell>
          <cell r="G1178" t="str">
            <v>1.TB.02.011.01</v>
          </cell>
          <cell r="J1178" t="str">
            <v>Accurate Services Co(Asco) LLC</v>
          </cell>
          <cell r="K1178" t="str">
            <v>Payment On Behalf Of BAFCO</v>
          </cell>
        </row>
        <row r="1179">
          <cell r="C1179" t="str">
            <v>Rosewood Resort</v>
          </cell>
          <cell r="F1179" t="str">
            <v>1TB02011C97</v>
          </cell>
          <cell r="G1179" t="str">
            <v>1.TB.02.011.01</v>
          </cell>
          <cell r="J1179" t="str">
            <v>Building Systems Middle East W.L.L</v>
          </cell>
          <cell r="K1179" t="str">
            <v>Payment On Behalf Of BAFCO</v>
          </cell>
        </row>
        <row r="1180">
          <cell r="C1180" t="str">
            <v>Marina Lifestyle Hotel &amp; Village</v>
          </cell>
          <cell r="F1180" t="str">
            <v>1TB01002C61</v>
          </cell>
          <cell r="G1180" t="str">
            <v>1.TB.01.002.02</v>
          </cell>
          <cell r="J1180" t="str">
            <v>Havelock One Interiors Company</v>
          </cell>
          <cell r="K1180" t="str">
            <v>Fit-Out works of AMAALA Residences/Non-Branded (49 Nos)
for Marina Lifestyle Hotel</v>
          </cell>
        </row>
        <row r="1181">
          <cell r="C1181" t="str">
            <v>Staff Village - Wide</v>
          </cell>
          <cell r="F1181" t="str">
            <v>1SV10110F74</v>
          </cell>
          <cell r="G1181" t="str">
            <v>1.SV.10.110.00</v>
          </cell>
          <cell r="J1181" t="str">
            <v>Gentelle Hotel Supplies Co. Ltd</v>
          </cell>
          <cell r="K1181" t="str">
            <v>Supply of OSE Items (Call Off Order No:  XXX)</v>
          </cell>
        </row>
        <row r="1182">
          <cell r="C1182" t="str">
            <v>Staff Village - Wide</v>
          </cell>
          <cell r="F1182" t="str">
            <v>1SV10110F68</v>
          </cell>
          <cell r="G1182" t="str">
            <v>1.SV.10.110.00</v>
          </cell>
          <cell r="J1182" t="str">
            <v>Chbib Environmental Care Co. Ltd</v>
          </cell>
          <cell r="K1182" t="str">
            <v>Supply of Waste Bins (Call Off Order:001)</v>
          </cell>
        </row>
        <row r="1183">
          <cell r="C1183" t="str">
            <v>Staff Village - Wide</v>
          </cell>
          <cell r="F1183" t="str">
            <v>1SV10110F75</v>
          </cell>
          <cell r="G1183" t="str">
            <v>1.SV.10.110.00</v>
          </cell>
          <cell r="J1183" t="str">
            <v>Hamad Al Rugaib and Sons Trading Company</v>
          </cell>
          <cell r="K1183" t="str">
            <v>Supply and Installation of FFE Items for Zone 2</v>
          </cell>
        </row>
        <row r="1184">
          <cell r="C1184" t="str">
            <v>AMAALA Yacht Club</v>
          </cell>
          <cell r="F1184" t="str">
            <v>1TB01003C90</v>
          </cell>
          <cell r="G1184" t="str">
            <v>1.TB.01.003.01</v>
          </cell>
          <cell r="J1184" t="str">
            <v>Saad Al Easa - Metal Industry</v>
          </cell>
          <cell r="K1184" t="str">
            <v>Payment On Behalf Of Saudi Arabian Baytur (Mar)</v>
          </cell>
        </row>
        <row r="1185">
          <cell r="C1185" t="str">
            <v>AMAALA Yacht Club</v>
          </cell>
          <cell r="F1185" t="str">
            <v>1TB01003C91</v>
          </cell>
          <cell r="G1185" t="str">
            <v>1.TB.01.003.01</v>
          </cell>
          <cell r="J1185" t="str">
            <v>Medtel W.N</v>
          </cell>
          <cell r="K1185" t="str">
            <v>Payment On Behalf Of Saudi Arabian Baytur (Mar)</v>
          </cell>
        </row>
        <row r="1186">
          <cell r="C1186" t="str">
            <v>Rosewood Resort</v>
          </cell>
          <cell r="F1186" t="str">
            <v>1TB02011C104</v>
          </cell>
          <cell r="G1186" t="str">
            <v>1.TB.02.011.01</v>
          </cell>
          <cell r="J1186" t="str">
            <v>Alumil Middle East DMCC</v>
          </cell>
          <cell r="K1186" t="str">
            <v>Payment On Behalf Of BAFCO</v>
          </cell>
        </row>
        <row r="1187">
          <cell r="C1187" t="str">
            <v>Rosewood Resort</v>
          </cell>
          <cell r="F1187" t="str">
            <v>1TB02011C113</v>
          </cell>
          <cell r="G1187" t="str">
            <v>1.TB.02.011.01</v>
          </cell>
          <cell r="J1187" t="str">
            <v>Smart Access Solutions Co. Limited</v>
          </cell>
          <cell r="K1187" t="str">
            <v>Payment On Behalf Of BAFCO</v>
          </cell>
        </row>
        <row r="1188">
          <cell r="C1188" t="str">
            <v>Rosewood Resort</v>
          </cell>
          <cell r="F1188" t="str">
            <v>1TB02011C112</v>
          </cell>
          <cell r="G1188" t="str">
            <v>1.TB.02.011.01</v>
          </cell>
          <cell r="J1188" t="str">
            <v>Zoom Shipping LLC</v>
          </cell>
          <cell r="K1188" t="str">
            <v>Payment On Behalf Of BAFCO</v>
          </cell>
        </row>
        <row r="1189">
          <cell r="C1189" t="str">
            <v>Rosewood Resort</v>
          </cell>
          <cell r="F1189" t="str">
            <v>1TB02011C111</v>
          </cell>
          <cell r="G1189" t="str">
            <v>1.TB.02.011.01</v>
          </cell>
          <cell r="J1189" t="str">
            <v>Andalus Towers Company for Industry</v>
          </cell>
          <cell r="K1189" t="str">
            <v>Payment On Behalf Of BAFCO</v>
          </cell>
        </row>
        <row r="1190">
          <cell r="C1190" t="str">
            <v>Rosewood Resort</v>
          </cell>
          <cell r="F1190" t="str">
            <v>1TB02011C110</v>
          </cell>
          <cell r="G1190" t="str">
            <v>1.TB.02.011.01</v>
          </cell>
          <cell r="J1190" t="str">
            <v>Sika Saudi Arabia Limited</v>
          </cell>
          <cell r="K1190" t="str">
            <v>Payment On Behalf Of BAFCO</v>
          </cell>
        </row>
        <row r="1191">
          <cell r="C1191" t="str">
            <v>Rosewood Resort</v>
          </cell>
          <cell r="F1191" t="str">
            <v>1TB02011C105</v>
          </cell>
          <cell r="G1191" t="str">
            <v>1.TB.02.011.01</v>
          </cell>
          <cell r="J1191" t="str">
            <v>Hilti Saudi Arabia For Construction Tools LLC</v>
          </cell>
          <cell r="K1191" t="str">
            <v>Payment On Behalf Of BAFCO</v>
          </cell>
        </row>
        <row r="1192">
          <cell r="C1192" t="str">
            <v>Rosewood Resort</v>
          </cell>
          <cell r="F1192" t="str">
            <v>1TB02011C103</v>
          </cell>
          <cell r="G1192" t="str">
            <v>1.TB.02.011.01</v>
          </cell>
          <cell r="J1192" t="str">
            <v>Klima International Company</v>
          </cell>
          <cell r="K1192" t="str">
            <v>Payment On Behalf Of BAFCO</v>
          </cell>
        </row>
        <row r="1193">
          <cell r="C1193" t="str">
            <v>Rosewood Resort</v>
          </cell>
          <cell r="F1193" t="str">
            <v>1TB02011C96</v>
          </cell>
          <cell r="G1193" t="str">
            <v>1.TB.02.011.01</v>
          </cell>
          <cell r="J1193" t="str">
            <v>HongKong Mulin Trading Co., Ltd</v>
          </cell>
          <cell r="K1193" t="str">
            <v>Payment On Behalf Of BAFCO</v>
          </cell>
        </row>
        <row r="1194">
          <cell r="C1194" t="str">
            <v>Rosewood Resort</v>
          </cell>
          <cell r="F1194" t="str">
            <v>1TB02011C95</v>
          </cell>
          <cell r="G1194" t="str">
            <v>1.TB.02.011.01</v>
          </cell>
          <cell r="J1194" t="str">
            <v>HongKong Mulin Trading Co., Ltd</v>
          </cell>
          <cell r="K1194" t="str">
            <v>Payment On Behalf Of BAFCO</v>
          </cell>
        </row>
        <row r="1195">
          <cell r="C1195" t="str">
            <v>Rosewood Resort</v>
          </cell>
          <cell r="F1195" t="str">
            <v>1TB02011C94</v>
          </cell>
          <cell r="G1195" t="str">
            <v>1.TB.02.011.01</v>
          </cell>
          <cell r="J1195" t="str">
            <v>HongKong Mulin Trading Co., Ltd</v>
          </cell>
          <cell r="K1195" t="str">
            <v>Payment On Behalf Of BAFCO</v>
          </cell>
        </row>
        <row r="1196">
          <cell r="C1196" t="str">
            <v>Rosewood Resort</v>
          </cell>
          <cell r="F1196" t="str">
            <v>1TB02011C93</v>
          </cell>
          <cell r="G1196" t="str">
            <v>1.TB.02.011.01</v>
          </cell>
          <cell r="J1196" t="str">
            <v>United Glass Industries Company</v>
          </cell>
          <cell r="K1196" t="str">
            <v>Payment On Behalf Of BAFCO</v>
          </cell>
        </row>
        <row r="1197">
          <cell r="C1197" t="str">
            <v>AMAALA Yacht Club</v>
          </cell>
          <cell r="F1197" t="str">
            <v>1TB01003C82</v>
          </cell>
          <cell r="G1197" t="str">
            <v>1.TB.01.003.01</v>
          </cell>
          <cell r="J1197" t="str">
            <v>Gesr Alarab</v>
          </cell>
          <cell r="K1197" t="str">
            <v>Payment On Behalf Of Saudi Arabian Baytur (Mar)</v>
          </cell>
        </row>
        <row r="1198">
          <cell r="C1198" t="str">
            <v>AMAALA Yacht Club</v>
          </cell>
          <cell r="F1198" t="str">
            <v>1TB01003C80</v>
          </cell>
          <cell r="G1198" t="str">
            <v>1.TB.01.003.01</v>
          </cell>
          <cell r="J1198" t="str">
            <v>Glsan Contracting Company</v>
          </cell>
          <cell r="K1198" t="str">
            <v>Payment On Behalf Of Saudi Arabian Baytur (Mar)</v>
          </cell>
        </row>
        <row r="1199">
          <cell r="C1199" t="str">
            <v>Integrative Wellness</v>
          </cell>
          <cell r="F1199" t="str">
            <v>1TB03007C62</v>
          </cell>
          <cell r="G1199" t="str">
            <v>1.TB.03.007.01</v>
          </cell>
          <cell r="J1199" t="str">
            <v>Astra Construction Company Ltd</v>
          </cell>
          <cell r="K1199" t="str">
            <v>MEP Works For SPA AMAALA Integrative Wellness</v>
          </cell>
        </row>
        <row r="1200">
          <cell r="C1200" t="str">
            <v>Integrative Wellness</v>
          </cell>
          <cell r="F1200" t="str">
            <v>1TB03007C55</v>
          </cell>
          <cell r="G1200" t="str">
            <v>1.TB.03.007.99</v>
          </cell>
          <cell r="J1200" t="str">
            <v xml:space="preserve"> Al Salama Company for Aluminum and Plastics</v>
          </cell>
          <cell r="K1200" t="str">
            <v>External Aluminium/Metal Doors For Integrative Wellness</v>
          </cell>
        </row>
        <row r="1201">
          <cell r="C1201" t="str">
            <v>AMAALA Yacht Club</v>
          </cell>
          <cell r="F1201" t="str">
            <v>1TB01003CXX</v>
          </cell>
          <cell r="G1201" t="str">
            <v>1.TB.01.003.01</v>
          </cell>
          <cell r="J1201" t="str">
            <v>Ahmed Bin Salem Bin Dagher Al-Balawi Est</v>
          </cell>
          <cell r="K1201" t="str">
            <v>Payment On Behalf Of Saudi Arabian Baytur (Mar)_CONTRACT CANCELLED_CONTRACT VALUE SAR 22,058.81</v>
          </cell>
        </row>
        <row r="1202">
          <cell r="C1202" t="str">
            <v>Staff Village - Wide</v>
          </cell>
          <cell r="F1202" t="str">
            <v>1SV10110C78</v>
          </cell>
          <cell r="G1202" t="str">
            <v>1.SV.10.110.00</v>
          </cell>
          <cell r="J1202" t="str">
            <v>Hamad Al Rugaib and Sons Trading Company</v>
          </cell>
          <cell r="K1202" t="str">
            <v>Supply, Delivery and Installation of FFE Items (Zone 6)</v>
          </cell>
        </row>
        <row r="1203">
          <cell r="C1203" t="str">
            <v>Triple Bay Construction Logistics</v>
          </cell>
          <cell r="F1203" t="str">
            <v>1TB04034C44</v>
          </cell>
          <cell r="G1203" t="str">
            <v>1.TB.04.034.01</v>
          </cell>
          <cell r="J1203" t="str">
            <v>The Helicopter &amp; Jet Company (THC)</v>
          </cell>
          <cell r="K1203" t="str">
            <v>Helicopter Services Agreement - THC-LCD-2025-0018-JA</v>
          </cell>
        </row>
        <row r="1204">
          <cell r="C1204" t="str">
            <v>Staff Village - Wide</v>
          </cell>
          <cell r="F1204" t="str">
            <v>1SV10110C125</v>
          </cell>
          <cell r="G1204" t="str">
            <v>1.SV.10.110.00</v>
          </cell>
          <cell r="J1204" t="str">
            <v>Yusuf Bin Ahmed Kanoo Co. Ltd</v>
          </cell>
          <cell r="K1204" t="str">
            <v>Supply of Safe Lockers</v>
          </cell>
        </row>
        <row r="1205">
          <cell r="C1205" t="str">
            <v>Rosewood Resort</v>
          </cell>
          <cell r="F1205" t="str">
            <v>1TB02011C92</v>
          </cell>
          <cell r="G1205" t="str">
            <v>1.TB.02.011.01</v>
          </cell>
          <cell r="J1205" t="str">
            <v>Hamad Bin Khalid Contracting Company W.L.L</v>
          </cell>
          <cell r="K1205" t="str">
            <v>Fixed Furniture, Internal Timber Finishes and Doors Works</v>
          </cell>
        </row>
        <row r="1206">
          <cell r="C1206" t="str">
            <v>Triple Bay Construction Logistics</v>
          </cell>
          <cell r="F1206" t="str">
            <v>1TB04034C48</v>
          </cell>
          <cell r="G1206" t="str">
            <v>1.TB.04.034.01</v>
          </cell>
          <cell r="J1206" t="str">
            <v>Establishment BOLD ANSHAIYA For reconstruction</v>
          </cell>
          <cell r="K1206" t="str">
            <v>Labour Supply For Construction Supply</v>
          </cell>
        </row>
        <row r="1207">
          <cell r="C1207" t="str">
            <v>Triple Bay Construction Logistics</v>
          </cell>
          <cell r="F1207" t="str">
            <v>1TB04034C47</v>
          </cell>
          <cell r="G1207" t="str">
            <v>1.TB.04.034.01</v>
          </cell>
          <cell r="J1207" t="str">
            <v>SRACO Company</v>
          </cell>
          <cell r="K1207" t="str">
            <v>Labour Supply For Construction Supply</v>
          </cell>
        </row>
        <row r="1208">
          <cell r="C1208" t="str">
            <v>AMAALA Yacht Club</v>
          </cell>
          <cell r="F1208" t="str">
            <v>1TB01003C149</v>
          </cell>
          <cell r="G1208" t="str">
            <v>1.TB.01.003.01</v>
          </cell>
          <cell r="J1208" t="str">
            <v>Clean Coast For Contracting</v>
          </cell>
          <cell r="K1208" t="str">
            <v>Payment On Behalf Of Saudi Arabian Baytur (Mar)</v>
          </cell>
        </row>
        <row r="1209">
          <cell r="C1209" t="str">
            <v>Triple Bay Construction Logistics</v>
          </cell>
          <cell r="F1209" t="str">
            <v>1TB04034C39</v>
          </cell>
          <cell r="G1209" t="str">
            <v>1.TB.04.034.01</v>
          </cell>
          <cell r="J1209" t="str">
            <v>Tamimi Global Co. Ltd. Services &amp; Maintenance (TGC)</v>
          </cell>
          <cell r="K1209" t="str">
            <v>Labour Supply For Construction Supply</v>
          </cell>
        </row>
        <row r="1210">
          <cell r="C1210" t="str">
            <v>Integrative Wellness</v>
          </cell>
          <cell r="F1210" t="str">
            <v>1TB03007C54</v>
          </cell>
          <cell r="G1210" t="str">
            <v>1.TB.03.007.99</v>
          </cell>
          <cell r="J1210" t="str">
            <v>Rawabi Specialized Construction Company</v>
          </cell>
          <cell r="K1210" t="str">
            <v>Interior Timber Works (Joinery) - First in Place (FIP) for
Integrative Wellness Project</v>
          </cell>
        </row>
        <row r="1211">
          <cell r="C1211" t="str">
            <v>Triple Bay Construction Logistics</v>
          </cell>
          <cell r="F1211" t="str">
            <v>1TB04034C46</v>
          </cell>
          <cell r="G1211" t="str">
            <v>1.TB.04.034.01</v>
          </cell>
          <cell r="J1211" t="str">
            <v>Jawa Human Resources Company</v>
          </cell>
          <cell r="K1211" t="str">
            <v>Labour Supply For Construction Supply</v>
          </cell>
        </row>
        <row r="1212">
          <cell r="C1212" t="str">
            <v>Staff Village - Wide</v>
          </cell>
          <cell r="F1212" t="str">
            <v>1SV10110F70</v>
          </cell>
          <cell r="G1212" t="str">
            <v>1.SV.10.110.00</v>
          </cell>
          <cell r="J1212" t="str">
            <v>Delta Marketing Co</v>
          </cell>
          <cell r="K1212" t="str">
            <v xml:space="preserve"> Supply of Gym Equipment for Beach Club A1</v>
          </cell>
        </row>
        <row r="1213">
          <cell r="C1213" t="str">
            <v>Staff Village - Wide</v>
          </cell>
          <cell r="F1213" t="str">
            <v>1SV10110C128</v>
          </cell>
          <cell r="G1213" t="str">
            <v>1.SV.10.110.00</v>
          </cell>
          <cell r="J1213" t="str">
            <v>Hamad Al Rugaib and Sons Trading Company</v>
          </cell>
          <cell r="K1213" t="str">
            <v>Supply, Delivery and Installation of FFE Items (Zone 2)</v>
          </cell>
        </row>
        <row r="1214">
          <cell r="C1214" t="str">
            <v>Staff Village - Wide</v>
          </cell>
          <cell r="F1214" t="str">
            <v>1SV10110C123</v>
          </cell>
          <cell r="G1214" t="str">
            <v>1.SV.10.110.00</v>
          </cell>
          <cell r="J1214" t="str">
            <v>Hamad Al Rugaib and Sons Trading Company</v>
          </cell>
          <cell r="K1214" t="str">
            <v>Supply, Delivery and Installation of FFE Items (Zone 3)</v>
          </cell>
        </row>
        <row r="1215">
          <cell r="C1215" t="str">
            <v>Staff Village - Wide</v>
          </cell>
          <cell r="F1215" t="str">
            <v>1SV10110C133</v>
          </cell>
          <cell r="G1215" t="str">
            <v>1.SV.10.110.00</v>
          </cell>
          <cell r="J1215" t="str">
            <v>Hamad Al Rugaib and Sons Trading Company</v>
          </cell>
          <cell r="K1215" t="str">
            <v>Supply, Delivery and Installation of FFE Items (Zone 2)</v>
          </cell>
        </row>
        <row r="1216">
          <cell r="C1216" t="str">
            <v>Staff Village - Wide</v>
          </cell>
          <cell r="F1216" t="str">
            <v>1SV10110C87</v>
          </cell>
          <cell r="G1216" t="str">
            <v>1.SV.10.110.00</v>
          </cell>
          <cell r="J1216" t="str">
            <v>Aardee Group FZE</v>
          </cell>
          <cell r="K1216" t="str">
            <v>Palletization and Additional Trucking Cost</v>
          </cell>
        </row>
        <row r="1217">
          <cell r="C1217" t="str">
            <v>Triple Bay Construction Logistics</v>
          </cell>
          <cell r="F1217" t="str">
            <v>1TB04034C49</v>
          </cell>
          <cell r="G1217" t="str">
            <v>1.TB.04.034.01</v>
          </cell>
          <cell r="J1217" t="str">
            <v>Initial Saudi Arabia Company Limited</v>
          </cell>
          <cell r="K1217" t="str">
            <v>Labour Supply For Construction Supply</v>
          </cell>
        </row>
        <row r="1218">
          <cell r="C1218" t="str">
            <v>AMAALA Yacht Club</v>
          </cell>
          <cell r="F1218" t="str">
            <v>1TB01003C125</v>
          </cell>
          <cell r="G1218" t="str">
            <v>1.TB.01.003.01</v>
          </cell>
          <cell r="J1218" t="str">
            <v>Yaz Development Contracting</v>
          </cell>
          <cell r="K1218" t="str">
            <v>Payment On Behalf Of Saudi Arabian Baytur (Apr)</v>
          </cell>
        </row>
        <row r="1219">
          <cell r="C1219" t="str">
            <v>AMAALA Yacht Club</v>
          </cell>
          <cell r="F1219" t="str">
            <v>1TB01003C124</v>
          </cell>
          <cell r="G1219" t="str">
            <v>1.TB.01.003.01</v>
          </cell>
          <cell r="J1219" t="str">
            <v>Gesr Alarab</v>
          </cell>
          <cell r="K1219" t="str">
            <v>Payment On Behalf Of Saudi Arabian Baytur (Apr)</v>
          </cell>
        </row>
        <row r="1220">
          <cell r="C1220" t="str">
            <v>AMAALA Yacht Club</v>
          </cell>
          <cell r="F1220" t="str">
            <v>1TB01003C117</v>
          </cell>
          <cell r="G1220" t="str">
            <v>1.TB.01.003.01</v>
          </cell>
          <cell r="J1220" t="str">
            <v>Abeer Munawer Al Shamari</v>
          </cell>
          <cell r="K1220" t="str">
            <v>Payment On Behalf Of Saudi Arabian Baytur (Apr)</v>
          </cell>
        </row>
        <row r="1221">
          <cell r="C1221" t="str">
            <v>AMAALA Yacht Club</v>
          </cell>
          <cell r="F1221" t="str">
            <v>1TB01003C109</v>
          </cell>
          <cell r="G1221" t="str">
            <v>1.TB.01.003.01</v>
          </cell>
          <cell r="J1221" t="str">
            <v>Glsan Contracting Company</v>
          </cell>
          <cell r="K1221" t="str">
            <v>Payment On Behalf Of Saudi Arabian Baytur (Apr)</v>
          </cell>
        </row>
        <row r="1222">
          <cell r="C1222" t="str">
            <v>AMAALA Yacht Club</v>
          </cell>
          <cell r="F1222" t="str">
            <v>1TB01003C76</v>
          </cell>
          <cell r="G1222" t="str">
            <v>1.TB.01.003.01</v>
          </cell>
          <cell r="J1222" t="str">
            <v>Wood Expert</v>
          </cell>
          <cell r="K1222" t="str">
            <v>Payment On Behalf Of Saudi Arabian Baytur (Apr)</v>
          </cell>
        </row>
        <row r="1223">
          <cell r="C1223" t="str">
            <v>AMAALA Yacht Club</v>
          </cell>
          <cell r="F1223" t="str">
            <v>1TB01003C146</v>
          </cell>
          <cell r="G1223" t="str">
            <v>1.TB.01.003.01</v>
          </cell>
          <cell r="J1223" t="str">
            <v>Al Tala'a International Transportation Co.</v>
          </cell>
          <cell r="K1223" t="str">
            <v>Payment On Behalf Of Saudi Arabian Baytur (Apr)</v>
          </cell>
        </row>
        <row r="1224">
          <cell r="C1224" t="str">
            <v>AMAALA Yacht Club</v>
          </cell>
          <cell r="F1224" t="str">
            <v>1TB01003C144</v>
          </cell>
          <cell r="G1224" t="str">
            <v>1.TB.01.003.01</v>
          </cell>
          <cell r="J1224" t="str">
            <v>Glsan Contracting Company</v>
          </cell>
          <cell r="K1224" t="str">
            <v>Payment On Behalf Of Saudi Arabian Baytur (Apr)</v>
          </cell>
        </row>
        <row r="1225">
          <cell r="C1225" t="str">
            <v>AMAALA Yacht Club</v>
          </cell>
          <cell r="F1225" t="str">
            <v>1TB01003C143</v>
          </cell>
          <cell r="G1225" t="str">
            <v>1.TB.01.003.01</v>
          </cell>
          <cell r="J1225" t="str">
            <v>M Mohammad Alharbi Medical Company</v>
          </cell>
          <cell r="K1225" t="str">
            <v>Payment On Behalf Of Saudi Arabian Baytur (Apr)</v>
          </cell>
        </row>
        <row r="1226">
          <cell r="C1226" t="str">
            <v>AMAALA Yacht Club</v>
          </cell>
          <cell r="F1226" t="str">
            <v>1TB01003C139</v>
          </cell>
          <cell r="G1226" t="str">
            <v>1.TB.01.003.01</v>
          </cell>
          <cell r="J1226" t="str">
            <v>Clean Coast For Contracting</v>
          </cell>
          <cell r="K1226" t="str">
            <v>Payment On Behalf Of Saudi Arabian Baytur (Apr)</v>
          </cell>
        </row>
        <row r="1227">
          <cell r="C1227" t="str">
            <v>AMAALA Yacht Club</v>
          </cell>
          <cell r="F1227" t="str">
            <v>1TB01003C137</v>
          </cell>
          <cell r="G1227" t="str">
            <v>1.TB.01.003.01</v>
          </cell>
          <cell r="J1227" t="str">
            <v>JAK Generation Cont. Co. LLC</v>
          </cell>
          <cell r="K1227" t="str">
            <v>Payment On Behalf Of Saudi Arabian Baytur (Apr)</v>
          </cell>
        </row>
        <row r="1228">
          <cell r="C1228" t="str">
            <v>AMAALA Yacht Club</v>
          </cell>
          <cell r="F1228" t="str">
            <v>1TB01003C138</v>
          </cell>
          <cell r="G1228" t="str">
            <v>1.TB.01.003.01</v>
          </cell>
          <cell r="J1228" t="str">
            <v>Sami General Contracting Est.</v>
          </cell>
          <cell r="K1228" t="str">
            <v>Payment On Behalf Of Saudi Arabian Baytur (Apr)</v>
          </cell>
        </row>
        <row r="1229">
          <cell r="C1229" t="str">
            <v>AMAALA Yacht Club</v>
          </cell>
          <cell r="F1229" t="str">
            <v>1TB01003C135</v>
          </cell>
          <cell r="G1229" t="str">
            <v>1.TB.01.003.01</v>
          </cell>
          <cell r="J1229" t="str">
            <v>Al Rai Modern Water Factory</v>
          </cell>
          <cell r="K1229" t="str">
            <v>Payment On Behalf Of Saudi Arabian Baytur (Apr)</v>
          </cell>
        </row>
        <row r="1230">
          <cell r="C1230" t="str">
            <v>AMAALA Yacht Club</v>
          </cell>
          <cell r="F1230" t="str">
            <v>1TB01003C134</v>
          </cell>
          <cell r="G1230" t="str">
            <v>1.TB.01.003.01</v>
          </cell>
          <cell r="J1230" t="str">
            <v>The International Company For Building Materials LTD Binex</v>
          </cell>
          <cell r="K1230" t="str">
            <v>Payment On Behalf Of Saudi Arabian Baytur (Apr)</v>
          </cell>
        </row>
        <row r="1231">
          <cell r="C1231" t="str">
            <v>AMAALA Yacht Club</v>
          </cell>
          <cell r="F1231" t="str">
            <v>1TB01003C133</v>
          </cell>
          <cell r="G1231" t="str">
            <v>1.TB.01.003.01</v>
          </cell>
          <cell r="J1231" t="str">
            <v>Madar Building Material Co.</v>
          </cell>
          <cell r="K1231" t="str">
            <v>Payment On Behalf Of Saudi Arabian Baytur (Apr)</v>
          </cell>
        </row>
        <row r="1232">
          <cell r="C1232" t="str">
            <v>AMAALA Yacht Club</v>
          </cell>
          <cell r="F1232" t="str">
            <v>1TB01003C132</v>
          </cell>
          <cell r="G1232" t="str">
            <v>1.TB.01.003.01</v>
          </cell>
          <cell r="J1232" t="str">
            <v>Glow Arabia Trading</v>
          </cell>
          <cell r="K1232" t="str">
            <v>Payment On Behalf Of Saudi Arabian Baytur (Apr)</v>
          </cell>
        </row>
        <row r="1233">
          <cell r="C1233" t="str">
            <v>AMAALA Yacht Club</v>
          </cell>
          <cell r="F1233" t="str">
            <v>1TB01003C131</v>
          </cell>
          <cell r="G1233" t="str">
            <v>1.TB.01.003.01</v>
          </cell>
          <cell r="J1233" t="str">
            <v>Masa Equipments Est</v>
          </cell>
          <cell r="K1233" t="str">
            <v>Payment On Behalf Of Saudi Arabian Baytur (Apr)</v>
          </cell>
        </row>
        <row r="1234">
          <cell r="C1234" t="str">
            <v>AMAALA Yacht Club</v>
          </cell>
          <cell r="F1234" t="str">
            <v>1TB01003C127</v>
          </cell>
          <cell r="G1234" t="str">
            <v>1.TB.01.003.01</v>
          </cell>
          <cell r="J1234" t="str">
            <v>Brooq Alamaan Trading Company</v>
          </cell>
          <cell r="K1234" t="str">
            <v>Payment On Behalf Of Saudi Arabian Baytur (Apr)</v>
          </cell>
        </row>
        <row r="1235">
          <cell r="C1235" t="str">
            <v>AMAALA Yacht Club</v>
          </cell>
          <cell r="F1235" t="str">
            <v>1TB01003C145</v>
          </cell>
          <cell r="G1235" t="str">
            <v>1.TB.01.003.01</v>
          </cell>
          <cell r="J1235" t="str">
            <v>Saint Gobain - Sodamco Industrial</v>
          </cell>
          <cell r="K1235" t="str">
            <v>Payment On Behalf Of Saudi Arabian Baytur (Apr)</v>
          </cell>
        </row>
        <row r="1236">
          <cell r="C1236" t="str">
            <v>AMAALA Yacht Club</v>
          </cell>
          <cell r="F1236" t="str">
            <v>1TB01003C120</v>
          </cell>
          <cell r="G1236" t="str">
            <v>1.TB.01.003.01</v>
          </cell>
          <cell r="J1236" t="str">
            <v>Issam Kabani and Partners</v>
          </cell>
          <cell r="K1236" t="str">
            <v>Payment On Behalf Of Saudi Arabian Baytur (Apr)</v>
          </cell>
        </row>
        <row r="1237">
          <cell r="C1237" t="str">
            <v>AMAALA Yacht Club</v>
          </cell>
          <cell r="F1237" t="str">
            <v>1TB01003C123</v>
          </cell>
          <cell r="G1237" t="str">
            <v>1.TB.01.003.01</v>
          </cell>
          <cell r="J1237" t="str">
            <v>Medtel</v>
          </cell>
          <cell r="K1237" t="str">
            <v>Payment On Behalf Of Saudi Arabian Baytur (Apr)</v>
          </cell>
        </row>
        <row r="1238">
          <cell r="C1238" t="str">
            <v>AMAALA Yacht Club</v>
          </cell>
          <cell r="F1238" t="str">
            <v>1TB01003C121</v>
          </cell>
          <cell r="G1238" t="str">
            <v>1.TB.01.003.01</v>
          </cell>
          <cell r="J1238" t="str">
            <v>Abu Dhabi Precast</v>
          </cell>
          <cell r="K1238" t="str">
            <v>Payment On Behalf Of Saudi Arabian Baytur (Apr)</v>
          </cell>
        </row>
        <row r="1239">
          <cell r="C1239" t="str">
            <v>AMAALA Yacht Club</v>
          </cell>
          <cell r="F1239" t="str">
            <v>1TB01003C136</v>
          </cell>
          <cell r="G1239" t="str">
            <v>1.TB.01.003.01</v>
          </cell>
          <cell r="J1239" t="str">
            <v>Intelligent General Cont. Co - Equipment - Industrial Forklift &amp; 5ton</v>
          </cell>
          <cell r="K1239" t="str">
            <v>Payment On Behalf Of Saudi Arabian Baytur (Apr)</v>
          </cell>
        </row>
        <row r="1240">
          <cell r="C1240" t="str">
            <v>AMAALA Yacht Club</v>
          </cell>
          <cell r="F1240" t="str">
            <v>1TB01003C148</v>
          </cell>
          <cell r="G1240" t="str">
            <v>1.TB.01.003.01</v>
          </cell>
          <cell r="J1240" t="str">
            <v>Top Construction Co. Ltd.</v>
          </cell>
          <cell r="K1240" t="str">
            <v>Payment On Behalf Of Saudi Arabian Baytur (Apr)</v>
          </cell>
        </row>
        <row r="1241">
          <cell r="C1241" t="str">
            <v>AMAALA Yacht Club</v>
          </cell>
          <cell r="F1241" t="str">
            <v>1TB01003C119</v>
          </cell>
          <cell r="G1241" t="str">
            <v>1.TB.01.003.01</v>
          </cell>
          <cell r="J1241" t="str">
            <v>Glsan Contracting Company</v>
          </cell>
          <cell r="K1241" t="str">
            <v>Payment On Behalf Of Saudi Arabian Baytur (Apr)</v>
          </cell>
        </row>
        <row r="1242">
          <cell r="C1242" t="str">
            <v>AMAALA Yacht Club</v>
          </cell>
          <cell r="F1242" t="str">
            <v>1TB01003C140</v>
          </cell>
          <cell r="G1242" t="str">
            <v>1.TB.01.003.01</v>
          </cell>
          <cell r="J1242" t="str">
            <v>Aldrees Petroleum - Fuel for Vehicles</v>
          </cell>
          <cell r="K1242" t="str">
            <v>Payment On Behalf Of Saudi Arabian Baytur (Apr)</v>
          </cell>
        </row>
        <row r="1243">
          <cell r="C1243" t="str">
            <v>AMAALA Yacht Club</v>
          </cell>
          <cell r="F1243" t="str">
            <v>1TB01003C130</v>
          </cell>
          <cell r="G1243" t="str">
            <v>1.TB.01.003.01</v>
          </cell>
          <cell r="J1243" t="str">
            <v>Aknan Al Bena - ABECO</v>
          </cell>
          <cell r="K1243" t="str">
            <v>Payment On Behalf Of Saudi Arabian Baytur (Apr)</v>
          </cell>
        </row>
        <row r="1244">
          <cell r="C1244" t="str">
            <v>AMAALA Yacht Club</v>
          </cell>
          <cell r="F1244" t="str">
            <v>1TB01003C126</v>
          </cell>
          <cell r="G1244" t="str">
            <v>1.TB.01.003.01</v>
          </cell>
          <cell r="J1244" t="str">
            <v>TBK Metal</v>
          </cell>
          <cell r="K1244" t="str">
            <v>Payment On Behalf Of Saudi Arabian Baytur (Apr)</v>
          </cell>
        </row>
        <row r="1245">
          <cell r="C1245" t="str">
            <v>Triple Bay Construction Logistics</v>
          </cell>
          <cell r="F1245" t="str">
            <v>1TB04034C31</v>
          </cell>
          <cell r="G1245" t="str">
            <v>1.TB.04.034.01</v>
          </cell>
          <cell r="J1245" t="str">
            <v>Alleanza Healthcare LLC</v>
          </cell>
          <cell r="K1245" t="str">
            <v>Integrated Medical Services at the AMAALA Project</v>
          </cell>
        </row>
        <row r="1246">
          <cell r="C1246" t="str">
            <v>AMAALA Yacht Club</v>
          </cell>
          <cell r="F1246" t="str">
            <v>1TB01003C141</v>
          </cell>
          <cell r="G1246" t="str">
            <v>1.TB.01.003.01</v>
          </cell>
          <cell r="J1246" t="str">
            <v>Al-Anan Travels and Tours</v>
          </cell>
          <cell r="K1246" t="str">
            <v>Payment On Behalf Of Saudi Arabian Baytur (Apr)</v>
          </cell>
        </row>
        <row r="1247">
          <cell r="C1247" t="str">
            <v>AMAALA Yacht Club</v>
          </cell>
          <cell r="F1247" t="str">
            <v>1TB01003C122</v>
          </cell>
          <cell r="G1247" t="str">
            <v>1.TB.01.003.01</v>
          </cell>
          <cell r="J1247" t="str">
            <v>Alcatop International Company for Building Material</v>
          </cell>
          <cell r="K1247" t="str">
            <v>Payment On Behalf Of Saudi Arabian Baytur (Apr)</v>
          </cell>
        </row>
        <row r="1248">
          <cell r="C1248" t="str">
            <v>AMAALA Yacht Club</v>
          </cell>
          <cell r="F1248" t="str">
            <v>1TB01003C147</v>
          </cell>
          <cell r="G1248" t="str">
            <v>1.TB.01.003.01</v>
          </cell>
          <cell r="J1248" t="str">
            <v>Saudi Brokers</v>
          </cell>
          <cell r="K1248" t="str">
            <v>Payment On Behalf Of Saudi Arabian Baytur (Apr)</v>
          </cell>
        </row>
        <row r="1249">
          <cell r="C1249" t="str">
            <v>AMAALA Yacht Club</v>
          </cell>
          <cell r="F1249" t="str">
            <v>1TB01003C128</v>
          </cell>
          <cell r="G1249" t="str">
            <v>1.TB.01.003.01</v>
          </cell>
          <cell r="J1249" t="str">
            <v>Saveto Saudi Vetonit Co Ltd</v>
          </cell>
          <cell r="K1249" t="str">
            <v>Payment On Behalf Of Saudi Arabian Baytur (Apr)</v>
          </cell>
        </row>
        <row r="1250">
          <cell r="C1250" t="str">
            <v>Village Boutique Hotel</v>
          </cell>
          <cell r="F1250" t="str">
            <v>1TB01006C58</v>
          </cell>
          <cell r="G1250" t="str">
            <v>1.TB.01.006.03</v>
          </cell>
          <cell r="J1250" t="str">
            <v>Nova Composite Industrial Company</v>
          </cell>
          <cell r="K1250" t="str">
            <v>Installation of Composite Panels</v>
          </cell>
        </row>
        <row r="1251">
          <cell r="C1251" t="str">
            <v>Village Boutique Hotel</v>
          </cell>
          <cell r="F1251" t="str">
            <v>1TB01006C64</v>
          </cell>
          <cell r="G1251" t="str">
            <v>1.TB.01.006.03</v>
          </cell>
          <cell r="J1251" t="str">
            <v>Nova Composites Manufcturing L.L.C</v>
          </cell>
          <cell r="K1251" t="str">
            <v>Supply of Composite Panels</v>
          </cell>
        </row>
        <row r="1252">
          <cell r="C1252" t="str">
            <v>Medical Wellness</v>
          </cell>
          <cell r="F1252" t="str">
            <v>1TB03008C48</v>
          </cell>
          <cell r="G1252" t="str">
            <v>1.TB.03.008.01</v>
          </cell>
          <cell r="J1252" t="str">
            <v>Interwood Mobel Pvt Ltd and Orient Castle Contracting Company</v>
          </cell>
          <cell r="K1252" t="str">
            <v>Exterior Timber Works (Façade)</v>
          </cell>
        </row>
        <row r="1253">
          <cell r="C1253" t="str">
            <v>Public Realm</v>
          </cell>
          <cell r="F1253" t="str">
            <v>1TB04030B01</v>
          </cell>
          <cell r="G1253" t="str">
            <v>1.TB.04.030.01</v>
          </cell>
          <cell r="J1253" t="str">
            <v>Joseph Advertisers LLC</v>
          </cell>
          <cell r="K1253" t="str">
            <v>Signage and Wayfinding Works</v>
          </cell>
        </row>
        <row r="1254">
          <cell r="C1254" t="str">
            <v>Triple Bay Construction Logistics</v>
          </cell>
          <cell r="F1254" t="str">
            <v>1TB04034C51</v>
          </cell>
          <cell r="G1254" t="str">
            <v>1.TB.04.034.01</v>
          </cell>
          <cell r="J1254" t="str">
            <v>Suqia Alanhar Company</v>
          </cell>
          <cell r="K1254" t="str">
            <v>Supply of Potable Water</v>
          </cell>
        </row>
        <row r="1255">
          <cell r="C1255" t="str">
            <v>Medical Wellness</v>
          </cell>
          <cell r="F1255" t="str">
            <v>1TB03008C47</v>
          </cell>
          <cell r="G1255" t="str">
            <v>1.TB.03.008.01</v>
          </cell>
          <cell r="J1255" t="str">
            <v>Uraqa Al-Banaa Walemar Al-Hadeeth Company for Contracting</v>
          </cell>
          <cell r="K1255" t="str">
            <v>Exterior Timber Works (Façade)</v>
          </cell>
        </row>
        <row r="1256">
          <cell r="C1256" t="str">
            <v>Four Seasons Resort</v>
          </cell>
          <cell r="F1256" t="str">
            <v>1TB02012F22</v>
          </cell>
          <cell r="G1256" t="str">
            <v>1.TB.02.012.99</v>
          </cell>
          <cell r="J1256" t="str">
            <v>Coastal Equipment Leasing Company (Celc)</v>
          </cell>
          <cell r="K1256" t="str">
            <v>Equipment Rental (Call off Order No: 001)</v>
          </cell>
        </row>
        <row r="1257">
          <cell r="C1257" t="str">
            <v>Ocean Golf Private Residences - Phase 1</v>
          </cell>
          <cell r="F1257" t="str">
            <v>1TB05039C36</v>
          </cell>
          <cell r="G1257" t="str">
            <v>1.TB.05.039.01</v>
          </cell>
          <cell r="J1257" t="str">
            <v>United Arab Aluminum Company</v>
          </cell>
          <cell r="K1257" t="str">
            <v>Aluminum and Glazing Works Package - 5 Bedroom &amp; 6 Bedroom Villas</v>
          </cell>
        </row>
        <row r="1258">
          <cell r="C1258" t="str">
            <v>Ocean Golf Private Residences - Phase 1</v>
          </cell>
          <cell r="F1258" t="str">
            <v>1TB05039C14</v>
          </cell>
          <cell r="G1258" t="str">
            <v>1.TB.05.039.01</v>
          </cell>
          <cell r="J1258" t="str">
            <v>Stal Metal Industries Company</v>
          </cell>
          <cell r="K1258" t="str">
            <v>Aluminum and Glazing Works Package - 3 Bedroom &amp; 4 Bedroom Villas</v>
          </cell>
        </row>
        <row r="1259">
          <cell r="C1259" t="str">
            <v>Rosewood Resort</v>
          </cell>
          <cell r="F1259" t="str">
            <v>1TB02011C117</v>
          </cell>
          <cell r="G1259" t="str">
            <v>1.TB.02.011.01</v>
          </cell>
          <cell r="J1259" t="str">
            <v>HongKong Mulin Trading Co., Ltd</v>
          </cell>
          <cell r="K1259" t="str">
            <v>Payment On Behalf Of BAFCO</v>
          </cell>
        </row>
        <row r="1260">
          <cell r="C1260" t="str">
            <v>Rosewood Resort</v>
          </cell>
          <cell r="F1260" t="str">
            <v>1TB02011C116</v>
          </cell>
          <cell r="G1260" t="str">
            <v>1.TB.02.011.01</v>
          </cell>
          <cell r="J1260" t="str">
            <v>Accurate Services Co(Asco) LLC</v>
          </cell>
          <cell r="K1260" t="str">
            <v>Payment On Behalf Of BAFCO</v>
          </cell>
        </row>
        <row r="1261">
          <cell r="C1261" t="str">
            <v>Rosewood Resort</v>
          </cell>
          <cell r="F1261" t="str">
            <v>1TB02011C115</v>
          </cell>
          <cell r="G1261" t="str">
            <v>1.TB.02.011.01</v>
          </cell>
          <cell r="J1261" t="str">
            <v>Accurate Services Co(Asco) LLC</v>
          </cell>
          <cell r="K1261" t="str">
            <v>Payment On Behalf Of BAFCO</v>
          </cell>
        </row>
        <row r="1262">
          <cell r="C1262" t="str">
            <v>Rosewood Resort</v>
          </cell>
          <cell r="F1262" t="str">
            <v>1TB02011C118</v>
          </cell>
          <cell r="G1262" t="str">
            <v>1.TB.02.011.01</v>
          </cell>
          <cell r="J1262" t="str">
            <v>HongKong Mulin Trading Co., Ltd</v>
          </cell>
          <cell r="K1262" t="str">
            <v>Payment On Behalf Of BAFCO</v>
          </cell>
        </row>
        <row r="1263">
          <cell r="C1263" t="str">
            <v>Rosewood Resort</v>
          </cell>
          <cell r="F1263" t="str">
            <v>1TB02011C119</v>
          </cell>
          <cell r="G1263" t="str">
            <v>1.TB.02.011.01</v>
          </cell>
          <cell r="J1263" t="str">
            <v>Alumil Middle East DMCC</v>
          </cell>
          <cell r="K1263" t="str">
            <v>Payment On Behalf Of BAFCO</v>
          </cell>
        </row>
        <row r="1264">
          <cell r="C1264" t="str">
            <v>Medical Wellness</v>
          </cell>
          <cell r="F1264" t="str">
            <v>1TB03008C49</v>
          </cell>
          <cell r="G1264" t="str">
            <v>1.TB.03.008.01</v>
          </cell>
          <cell r="J1264" t="str">
            <v>Gulf Business Horizon for General Contracting Co. Ltd</v>
          </cell>
          <cell r="K1264" t="str">
            <v>Exterior Timber Works (Façade) for Pillars and Central Spine at Amaala Wellness Core - Medical Wellness Project</v>
          </cell>
        </row>
        <row r="1265">
          <cell r="C1265" t="str">
            <v>Marina Hotel 3</v>
          </cell>
          <cell r="F1265" t="str">
            <v>1TB01009C53</v>
          </cell>
          <cell r="G1265" t="str">
            <v>1.TB.01.009.01</v>
          </cell>
          <cell r="J1265" t="str">
            <v>ETAB International Trading Company</v>
          </cell>
          <cell r="K1265" t="str">
            <v>Supply of FOH Sanitary Fittings (Part C)</v>
          </cell>
        </row>
        <row r="1266">
          <cell r="C1266" t="str">
            <v>AMAALA Yacht Club</v>
          </cell>
          <cell r="F1266" t="str">
            <v>1TB01003C152</v>
          </cell>
          <cell r="G1266" t="str">
            <v>1.TB.01.003.01</v>
          </cell>
          <cell r="J1266" t="str">
            <v>Lakeside Flood Solutions</v>
          </cell>
          <cell r="K1266" t="str">
            <v>Payment On Behalf Of Saudi Arabian Baytur (Apr)</v>
          </cell>
        </row>
        <row r="1267">
          <cell r="C1267" t="str">
            <v>Staff Village - Wide</v>
          </cell>
          <cell r="F1267" t="str">
            <v>1SV10110F63</v>
          </cell>
          <cell r="G1267" t="str">
            <v>1.SV.10.110.00</v>
          </cell>
          <cell r="J1267" t="str">
            <v>Hamad Al Rugaib and Sons Trading Company</v>
          </cell>
          <cell r="K1267" t="str">
            <v>Supply, Delivery and Installation of FF&amp;E Items for Permanent Canteen, AMAALA Staff Village- Zone 6 - 2 Units (C7 &amp; C8) (Call Of Order No.01)</v>
          </cell>
        </row>
        <row r="1268">
          <cell r="C1268" t="str">
            <v>Staff Village - Wide</v>
          </cell>
          <cell r="F1268" t="str">
            <v>1SV10110C122</v>
          </cell>
          <cell r="G1268" t="str">
            <v>1.SV.10.110.00</v>
          </cell>
          <cell r="J1268" t="str">
            <v>Badael Al Taqnaya Industrial Co</v>
          </cell>
          <cell r="K1268" t="str">
            <v>Supply, Delivery &amp; Installation of FF&amp;E &amp; OSE Items to ASV Zone-03 School</v>
          </cell>
        </row>
        <row r="1269">
          <cell r="C1269" t="str">
            <v>Staff Village - Wide</v>
          </cell>
          <cell r="F1269" t="str">
            <v>1SV10110F77</v>
          </cell>
          <cell r="G1269" t="str">
            <v>1.SV.10.110.00</v>
          </cell>
          <cell r="J1269" t="str">
            <v>Abdul Latif Jameel Electronics and Air Conditioning Co. Ltd</v>
          </cell>
          <cell r="K1269" t="str">
            <v>Supply and Installation of White Goods for Zone 5</v>
          </cell>
        </row>
        <row r="1270">
          <cell r="C1270" t="str">
            <v>Staff Village - Wide</v>
          </cell>
          <cell r="F1270" t="str">
            <v>1SV10110C145</v>
          </cell>
          <cell r="G1270" t="str">
            <v>1.SV.10.110.00</v>
          </cell>
          <cell r="J1270" t="str">
            <v>Music House KSA</v>
          </cell>
          <cell r="K1270" t="str">
            <v>Supply of Music Instruments</v>
          </cell>
        </row>
        <row r="1271">
          <cell r="C1271" t="str">
            <v>Marina Hotel 3</v>
          </cell>
          <cell r="F1271" t="str">
            <v>1TB01009C50</v>
          </cell>
          <cell r="G1271" t="str">
            <v>1.TB.01.009.01</v>
          </cell>
          <cell r="J1271" t="str">
            <v>Abdulaziz Mohammed Hamoud Alshaya for Trading Company</v>
          </cell>
          <cell r="K1271" t="str">
            <v>Supply of Sanitary Fittings</v>
          </cell>
        </row>
        <row r="1272">
          <cell r="C1272" t="str">
            <v>Integrative Wellness</v>
          </cell>
          <cell r="F1272" t="str">
            <v>1TB03007C59</v>
          </cell>
          <cell r="G1272" t="str">
            <v>1.TB.03.007.01</v>
          </cell>
          <cell r="J1272" t="str">
            <v>Rawabi Specialized Contracting Company</v>
          </cell>
          <cell r="K1272" t="str">
            <v>Interior Timber Works Package (Joinery)
- Family Hotel, Thrive Restaurant and Adult Building</v>
          </cell>
        </row>
        <row r="1273">
          <cell r="C1273" t="str">
            <v>Marina Hotel 3</v>
          </cell>
          <cell r="F1273" t="str">
            <v>1TB01009C57</v>
          </cell>
          <cell r="G1273" t="str">
            <v>1.TB.01.009.01</v>
          </cell>
          <cell r="J1273" t="str">
            <v>SADEER Alarabia Company for Contracting W.L.L.</v>
          </cell>
          <cell r="K1273" t="str">
            <v>F&amp;B Speciality Restaurant Fit-Out Works Package for a Marina
Hotel 3 at AMAALA Triple Bay</v>
          </cell>
        </row>
        <row r="1274">
          <cell r="C1274" t="str">
            <v>Integrative Wellness</v>
          </cell>
          <cell r="F1274" t="str">
            <v>1TB03007C57</v>
          </cell>
          <cell r="G1274" t="str">
            <v>1.TB.03.007.01</v>
          </cell>
          <cell r="J1274" t="str">
            <v>SADEER Alarabia Company for Contracting W.L.L.</v>
          </cell>
          <cell r="K1274" t="str">
            <v>Interior Timber Works Package (Joinery)
– 1 Bedroom Villas</v>
          </cell>
        </row>
        <row r="1275">
          <cell r="C1275" t="str">
            <v>Four Seasons Resort</v>
          </cell>
          <cell r="F1275" t="str">
            <v>1TB02012C91</v>
          </cell>
          <cell r="G1275" t="str">
            <v>1.TB.02.012.99</v>
          </cell>
          <cell r="J1275" t="str">
            <v>ASAS Services Company Co. Ltd</v>
          </cell>
          <cell r="K1275" t="str">
            <v>Manpower supply for the Installation of Aluminum, Glass &amp; Accessories</v>
          </cell>
        </row>
        <row r="1276">
          <cell r="C1276" t="str">
            <v>Four Seasons Resort</v>
          </cell>
          <cell r="F1276" t="str">
            <v>1TB02012C82</v>
          </cell>
          <cell r="G1276" t="str">
            <v>1.TB.02.012.99</v>
          </cell>
          <cell r="J1276" t="str">
            <v>Foshan Greenworld Nursery Co Ltd</v>
          </cell>
          <cell r="K1276" t="str">
            <v>Plant Supply Package</v>
          </cell>
        </row>
        <row r="1277">
          <cell r="C1277" t="str">
            <v>Rosewood Resort</v>
          </cell>
          <cell r="F1277" t="str">
            <v>1TB02011C85</v>
          </cell>
          <cell r="G1277" t="str">
            <v>1.TB.02.011.01</v>
          </cell>
          <cell r="J1277" t="str">
            <v>Foshan Greenworld Nursery Co Ltd</v>
          </cell>
          <cell r="K1277" t="str">
            <v>Plant Supply Package</v>
          </cell>
        </row>
        <row r="1278">
          <cell r="C1278" t="str">
            <v>Integrative Wellness</v>
          </cell>
          <cell r="F1278" t="str">
            <v>1TB03007C48</v>
          </cell>
          <cell r="G1278" t="str">
            <v>1.TB.03.007.99</v>
          </cell>
          <cell r="J1278" t="str">
            <v>Foshan Greenworld Nursery Co Ltd</v>
          </cell>
          <cell r="K1278" t="str">
            <v>Plant Supply Package</v>
          </cell>
        </row>
        <row r="1279">
          <cell r="C1279" t="str">
            <v>Civic Assets - Wide</v>
          </cell>
          <cell r="F1279" t="str">
            <v>1TB09035C14</v>
          </cell>
          <cell r="G1279" t="str">
            <v>1.TB.09.035.99</v>
          </cell>
          <cell r="J1279" t="str">
            <v>REDA Hazard Control</v>
          </cell>
          <cell r="K1279" t="str">
            <v>Supply, Delivery &amp; install of Equipment &amp; Storage System for Triple Bay Fire Station</v>
          </cell>
        </row>
        <row r="1280">
          <cell r="C1280" t="str">
            <v>Ocean Golf Resort</v>
          </cell>
          <cell r="F1280" t="str">
            <v>1TB05022C36</v>
          </cell>
          <cell r="G1280" t="str">
            <v>1.TB.05.022.01</v>
          </cell>
          <cell r="J1280" t="str">
            <v>Foshan Greenworld Nursery Co Ltd</v>
          </cell>
          <cell r="K1280" t="str">
            <v>Plant Supply Package</v>
          </cell>
        </row>
        <row r="1281">
          <cell r="C1281" t="str">
            <v>Ocean Golf Private Residences - Phase 1</v>
          </cell>
          <cell r="F1281" t="str">
            <v>1TB05039C30</v>
          </cell>
          <cell r="G1281" t="str">
            <v>1.TB.05.039.01</v>
          </cell>
          <cell r="J1281" t="str">
            <v>Foshan Greenworld Nursery Co Ltd</v>
          </cell>
          <cell r="K1281" t="str">
            <v>Plant Supply Package</v>
          </cell>
        </row>
        <row r="1282">
          <cell r="C1282" t="str">
            <v>Numan Island Side wide</v>
          </cell>
          <cell r="F1282" t="str">
            <v>AIL00O00C14</v>
          </cell>
          <cell r="G1282" t="str">
            <v>A.IL.00.O00.00</v>
          </cell>
          <cell r="J1282" t="str">
            <v>Foshan Greenworld Nursery Co Ltd</v>
          </cell>
          <cell r="K1282" t="str">
            <v>Plant Supply Package</v>
          </cell>
        </row>
        <row r="1283">
          <cell r="C1283" t="str">
            <v>Numan Island Side wide</v>
          </cell>
          <cell r="F1283" t="str">
            <v>AIL00O00C15</v>
          </cell>
          <cell r="G1283" t="str">
            <v>A.IL.00.O00.00</v>
          </cell>
          <cell r="J1283" t="str">
            <v>Foshan Greenworld Nursery Co Ltd</v>
          </cell>
          <cell r="K1283" t="str">
            <v>Plant Supply Package</v>
          </cell>
        </row>
        <row r="1284">
          <cell r="C1284" t="str">
            <v>Marina Hotel 3</v>
          </cell>
          <cell r="F1284" t="str">
            <v>1TB01009C55</v>
          </cell>
          <cell r="G1284" t="str">
            <v>1.TB.01.009.01</v>
          </cell>
          <cell r="J1284" t="str">
            <v>Huda Lighting LLC Co</v>
          </cell>
          <cell r="K1284" t="str">
            <v>AMAALA Triple Bay Marina Hotel 3 – Supply of Light Fittings (Interior) – Part A</v>
          </cell>
        </row>
        <row r="1285">
          <cell r="C1285" t="str">
            <v>Marina Hotel 3</v>
          </cell>
          <cell r="F1285" t="str">
            <v>1TB01009C48</v>
          </cell>
          <cell r="G1285" t="str">
            <v>1.TB.01.009.01</v>
          </cell>
          <cell r="J1285" t="str">
            <v>GESSI S.P.A.</v>
          </cell>
          <cell r="K1285" t="str">
            <v>AMAALA Triple Bay Marina Hotel 3 – Supply of FOH Sanitary Fittings</v>
          </cell>
        </row>
        <row r="1286">
          <cell r="C1286" t="str">
            <v>Integrative Wellness</v>
          </cell>
          <cell r="F1286" t="str">
            <v>1TB03007C64</v>
          </cell>
          <cell r="G1286" t="str">
            <v>1.TB.03.007.99</v>
          </cell>
          <cell r="J1286" t="str">
            <v>Amaze Contracting Est.</v>
          </cell>
          <cell r="K1286" t="str">
            <v>AMAALA Triple Bay - Integrative Wellness – SPA Fit-out Package</v>
          </cell>
        </row>
        <row r="1287">
          <cell r="C1287" t="str">
            <v>Wellness Core - Wide</v>
          </cell>
          <cell r="F1287" t="str">
            <v>1TB03300C45</v>
          </cell>
          <cell r="G1287" t="str">
            <v>1.TB.03.300.00</v>
          </cell>
          <cell r="J1287" t="str">
            <v>Ayash Marzouk Al-Harbi Co. For General Contracting</v>
          </cell>
          <cell r="K1287" t="str">
            <v>AMAALA Triple Bay – Wellness Core – Earthworks</v>
          </cell>
        </row>
        <row r="1288">
          <cell r="C1288" t="str">
            <v>Public Realm</v>
          </cell>
          <cell r="F1288" t="str">
            <v>1TB04030C103</v>
          </cell>
          <cell r="G1288" t="str">
            <v>1.TB.04.030.01</v>
          </cell>
          <cell r="J1288" t="str">
            <v>Red Sea Landscape Contracting Company</v>
          </cell>
          <cell r="K1288" t="str">
            <v>Triple Bay: Public Realm Phase 1 (Remaining works) &amp; Phase 2: Landscaping Works</v>
          </cell>
        </row>
        <row r="1289">
          <cell r="C1289" t="str">
            <v>Marina Village - Wide</v>
          </cell>
          <cell r="F1289" t="str">
            <v>1TB01100B01</v>
          </cell>
          <cell r="G1289" t="str">
            <v>1.TB.01.100.00</v>
          </cell>
          <cell r="J1289" t="str">
            <v>ID Work Limited Co</v>
          </cell>
          <cell r="K1289" t="str">
            <v>Design and Construction of Pop-Ins Retail Development Works</v>
          </cell>
        </row>
        <row r="1290">
          <cell r="C1290" t="str">
            <v>Integrative Wellness</v>
          </cell>
          <cell r="F1290" t="str">
            <v>1TB03007C67</v>
          </cell>
          <cell r="G1290" t="str">
            <v>1.TB.03.007.99</v>
          </cell>
          <cell r="J1290" t="str">
            <v>Seven Stars International General Contracting Company</v>
          </cell>
          <cell r="K1290" t="str">
            <v>Fit-out Works for the 1 Bedroom Pavilion King (1N) Villas (31 Nos) at Amaala Integrative Wellness Project</v>
          </cell>
        </row>
        <row r="1291">
          <cell r="C1291" t="str">
            <v>Integrative Wellness</v>
          </cell>
          <cell r="F1291" t="str">
            <v>1TB03007C58</v>
          </cell>
          <cell r="G1291" t="str">
            <v>1.TB.03.007.01</v>
          </cell>
          <cell r="J1291" t="str">
            <v>Rawabi Specialized Contracting Company</v>
          </cell>
          <cell r="K1291" t="str">
            <v>AMAALA Triple Bay – Integrative Wellness – Interior Timber Works Package (Joinery) - 2BR, 3BR, 4BR and VIP Villas (44 Units)</v>
          </cell>
        </row>
        <row r="1292">
          <cell r="C1292" t="str">
            <v>Staff Village - Wide</v>
          </cell>
          <cell r="F1292" t="str">
            <v>1SV10110C147</v>
          </cell>
          <cell r="G1292" t="str">
            <v>1.SV.10.110.00</v>
          </cell>
          <cell r="J1292" t="str">
            <v>Follett Content Solutions, LLC</v>
          </cell>
          <cell r="K1292" t="str">
            <v>Supply of OSE Books</v>
          </cell>
        </row>
        <row r="1293">
          <cell r="C1293" t="str">
            <v>Staff Village - Wide</v>
          </cell>
          <cell r="F1293" t="str">
            <v>1SV10110F76</v>
          </cell>
          <cell r="G1293" t="str">
            <v>1.SV.10.110.00</v>
          </cell>
          <cell r="J1293" t="str">
            <v>Magic Mirror Trading Est</v>
          </cell>
          <cell r="K1293" t="str">
            <v>Supply Of TV</v>
          </cell>
        </row>
        <row r="1294">
          <cell r="C1294" t="str">
            <v>Staff Village - Wide</v>
          </cell>
          <cell r="F1294" t="str">
            <v>1SV10110F80</v>
          </cell>
          <cell r="G1294" t="str">
            <v>1.SV.10.110.00</v>
          </cell>
          <cell r="J1294" t="str">
            <v>Abdul Latif Jameel Electronics and Air Conditioning Co. Ltd</v>
          </cell>
          <cell r="K1294" t="str">
            <v>Supply Of White Goods</v>
          </cell>
        </row>
        <row r="1295">
          <cell r="C1295" t="str">
            <v>Staff Village - Wide</v>
          </cell>
          <cell r="F1295" t="str">
            <v>1SV10110C137</v>
          </cell>
          <cell r="G1295" t="str">
            <v>1.SV.10.110.00</v>
          </cell>
          <cell r="J1295" t="str">
            <v>Hamad Al Rugaib and Sons Trading Company</v>
          </cell>
          <cell r="K1295" t="str">
            <v>Supply, Delivery and Installation of FFE Items (Zone 5)</v>
          </cell>
        </row>
        <row r="1296">
          <cell r="C1296" t="str">
            <v>Triple Bay Construction Logistics</v>
          </cell>
          <cell r="F1296" t="str">
            <v>1TB04034D02</v>
          </cell>
          <cell r="G1296" t="str">
            <v>1.TB.04.034.01</v>
          </cell>
          <cell r="J1296" t="str">
            <v>Red Sea Security Services Company</v>
          </cell>
          <cell r="K1296" t="str">
            <v>RSS Security Services at AMAALA Non-operational Airport</v>
          </cell>
        </row>
        <row r="1297">
          <cell r="C1297" t="str">
            <v>Rosewood Resort</v>
          </cell>
          <cell r="F1297" t="str">
            <v>1TB02011C133</v>
          </cell>
          <cell r="G1297" t="str">
            <v>1.TB.02.011.01</v>
          </cell>
          <cell r="J1297" t="str">
            <v>Bold Anshaiya For Reconstruction</v>
          </cell>
          <cell r="K1297" t="str">
            <v>AMAALA Triple Bay - Rosewood Resort - Manpower supply for the Installation of Aluminum, Glass &amp; Accessories</v>
          </cell>
        </row>
        <row r="1298">
          <cell r="C1298" t="str">
            <v>Six Senses Resort</v>
          </cell>
          <cell r="F1298" t="str">
            <v>1TB02017C91</v>
          </cell>
          <cell r="G1298" t="str">
            <v>1.TB.02.017.01</v>
          </cell>
          <cell r="J1298" t="str">
            <v>Bold Anshaiya For Reconstruction</v>
          </cell>
          <cell r="K1298" t="str">
            <v>Builder's Works - Rectification and Snagging Works</v>
          </cell>
        </row>
        <row r="1299">
          <cell r="C1299" t="str">
            <v>Six Senses Resort</v>
          </cell>
          <cell r="F1299" t="str">
            <v>1TB02017C89</v>
          </cell>
          <cell r="G1299" t="str">
            <v>1.TB.02.017.99</v>
          </cell>
          <cell r="J1299" t="str">
            <v>El-Sahil Al-Azraq Ltd</v>
          </cell>
          <cell r="K1299" t="str">
            <v>Builder's Works - Rectification and Snagging Works</v>
          </cell>
        </row>
        <row r="1300">
          <cell r="C1300" t="str">
            <v>Staff Village - Wide</v>
          </cell>
          <cell r="F1300" t="str">
            <v>1SV10110F82</v>
          </cell>
          <cell r="G1300" t="str">
            <v>1.SV.10.110.00</v>
          </cell>
          <cell r="J1300" t="str">
            <v>Magic Mirror Trading Est.</v>
          </cell>
          <cell r="K1300" t="str">
            <v>Supply Of TV</v>
          </cell>
        </row>
        <row r="1301">
          <cell r="C1301" t="str">
            <v>Staff Village - Wide</v>
          </cell>
          <cell r="F1301" t="str">
            <v>1SV10110C115</v>
          </cell>
          <cell r="G1301" t="str">
            <v>1.SV.10.110.00</v>
          </cell>
          <cell r="J1301" t="str">
            <v>Al Yamama Company for Trading and
Contracting</v>
          </cell>
          <cell r="K1301" t="str">
            <v>Supply &amp; Delivery of SS Tables &amp; Shelving Units for Amaala Staff Village Fire Station</v>
          </cell>
        </row>
        <row r="1302">
          <cell r="C1302" t="str">
            <v>Staff Village - Wide</v>
          </cell>
          <cell r="F1302" t="str">
            <v>1SV10110F79</v>
          </cell>
          <cell r="G1302" t="str">
            <v>1.SV.10.110.00</v>
          </cell>
          <cell r="J1302" t="str">
            <v>Gentelle Hotel Supplies Co. Ltd</v>
          </cell>
          <cell r="K1302" t="str">
            <v>Supply of OSE Items (Call Off Order No:  001)</v>
          </cell>
        </row>
        <row r="1303">
          <cell r="C1303" t="str">
            <v>Staff Village - Wide</v>
          </cell>
          <cell r="F1303" t="str">
            <v>1SV10110C121</v>
          </cell>
          <cell r="G1303" t="str">
            <v>1.SV.10.110.00</v>
          </cell>
          <cell r="J1303" t="str">
            <v>REDA Hazard Control</v>
          </cell>
          <cell r="K1303" t="str">
            <v>Supply, Delivery &amp; install of Equipment &amp; Storage System</v>
          </cell>
        </row>
        <row r="1304">
          <cell r="C1304" t="str">
            <v>Triple Bay Construction Logistics</v>
          </cell>
          <cell r="F1304" t="str">
            <v>1TB04034F22</v>
          </cell>
          <cell r="G1304" t="str">
            <v>1.TB.04.034.01</v>
          </cell>
          <cell r="J1304" t="str">
            <v>Coastal Equipment Leasing Company (Celc)</v>
          </cell>
          <cell r="K1304" t="str">
            <v>Equipment Rental (Call off Order No: 003)</v>
          </cell>
        </row>
        <row r="1305">
          <cell r="C1305" t="str">
            <v>Six Senses Resort</v>
          </cell>
          <cell r="F1305" t="str">
            <v>1TB02017C90</v>
          </cell>
          <cell r="G1305" t="str">
            <v>1.TB.02.017.01</v>
          </cell>
          <cell r="J1305" t="str">
            <v>Shandong Tiejun Electric Power Engineering Co. LTD. Branch</v>
          </cell>
          <cell r="K1305" t="str">
            <v>Manpower supply for the Installation of Aluminum, Glass &amp; Accessories under AMAALA Triple Bay Central – Six Senses Resort</v>
          </cell>
        </row>
        <row r="1306">
          <cell r="C1306" t="str">
            <v>Red Sea Marine Life Institute</v>
          </cell>
          <cell r="F1306" t="str">
            <v>1TB01005C55</v>
          </cell>
          <cell r="G1306" t="str">
            <v>1.TB.01.005.01</v>
          </cell>
          <cell r="J1306" t="str">
            <v>Byrne Investment Saudi Arabia Co. Limited</v>
          </cell>
          <cell r="K1306" t="str">
            <v>Generator Supply (Rental)</v>
          </cell>
        </row>
        <row r="1307">
          <cell r="C1307" t="str">
            <v>Integrative Wellness</v>
          </cell>
          <cell r="F1307" t="str">
            <v>1TB03007C69</v>
          </cell>
          <cell r="G1307" t="str">
            <v>1.TB.03.007.03</v>
          </cell>
          <cell r="J1307" t="str">
            <v>Alfanar Company</v>
          </cell>
          <cell r="K1307" t="str">
            <v>Construction Manpower Services</v>
          </cell>
        </row>
        <row r="1308">
          <cell r="C1308" t="str">
            <v>Rosewood Resort</v>
          </cell>
          <cell r="F1308" t="str">
            <v>1TB02011C120</v>
          </cell>
          <cell r="G1308" t="str">
            <v>1.TB.02.011.01</v>
          </cell>
          <cell r="J1308" t="str">
            <v>Shandong Tiejun Electric Power Engineering Co. LTD. Branch</v>
          </cell>
          <cell r="K1308" t="str">
            <v>AMAALA Triple Bay - Rosewood Resort - Manpower supply for the Installation of Aluminum, Glass &amp; Accessories</v>
          </cell>
        </row>
        <row r="1309">
          <cell r="C1309" t="str">
            <v>Marine Life Operation Facility</v>
          </cell>
          <cell r="F1309" t="str">
            <v>1OC96996D10</v>
          </cell>
          <cell r="G1309" t="str">
            <v>1.OC.00.999.99</v>
          </cell>
          <cell r="J1309" t="str">
            <v>Blue Deep Diver</v>
          </cell>
          <cell r="K1309" t="str">
            <v>Supply, Delivery and Installation of 02 Nr of Dive Propulsion Vehicles along with all Accessories</v>
          </cell>
        </row>
        <row r="1310">
          <cell r="C1310" t="str">
            <v>Marine Life Operation Facility</v>
          </cell>
          <cell r="F1310" t="str">
            <v>1OC96996D18</v>
          </cell>
          <cell r="G1310" t="str">
            <v>1.OC.00.999.99</v>
          </cell>
          <cell r="J1310" t="str">
            <v>Mahill Trading Corp.</v>
          </cell>
          <cell r="K1310" t="str">
            <v>Supply, Delivery of LSS Equipment</v>
          </cell>
        </row>
        <row r="1311">
          <cell r="C1311" t="str">
            <v>Marine Life Operation Facility</v>
          </cell>
          <cell r="F1311" t="str">
            <v>1OC96996D20</v>
          </cell>
          <cell r="G1311" t="str">
            <v>1.OC.00.999.99</v>
          </cell>
          <cell r="J1311" t="str">
            <v>Thuraya Turnkey Projects LLC</v>
          </cell>
          <cell r="K1311" t="str">
            <v>Supply, Delivery of LSS Equipment</v>
          </cell>
        </row>
        <row r="1312">
          <cell r="C1312" t="str">
            <v>Marine Life Operation Facility</v>
          </cell>
          <cell r="F1312" t="str">
            <v>1OC96996D07</v>
          </cell>
          <cell r="G1312" t="str">
            <v>1.OC.00.999.99</v>
          </cell>
          <cell r="J1312" t="str">
            <v>Blue Deep Diver</v>
          </cell>
          <cell r="K1312" t="str">
            <v>Supply, Delivery of Diving Equipment</v>
          </cell>
        </row>
        <row r="1313">
          <cell r="C1313" t="str">
            <v>Marine Life Operation Facility</v>
          </cell>
          <cell r="F1313" t="str">
            <v>1OC96996D15</v>
          </cell>
          <cell r="G1313" t="str">
            <v>1.OC.00.999.99</v>
          </cell>
          <cell r="J1313" t="str">
            <v>SP Aquatic Science Ltd</v>
          </cell>
          <cell r="K1313" t="str">
            <v>Supply, Delivery of Laboratory Equipment</v>
          </cell>
        </row>
        <row r="1314">
          <cell r="C1314" t="str">
            <v>Marine Life Operation Facility</v>
          </cell>
          <cell r="F1314" t="str">
            <v>1OC96996D14</v>
          </cell>
          <cell r="G1314" t="str">
            <v>1.OC.00.999.99</v>
          </cell>
          <cell r="J1314" t="str">
            <v>Abdullatif H. Abduljadayel &amp; Sons Co</v>
          </cell>
          <cell r="K1314" t="str">
            <v>Supply, Delivery of HACH Laboratory Equipment</v>
          </cell>
        </row>
        <row r="1315">
          <cell r="C1315" t="str">
            <v>Marine Life Operation Facility</v>
          </cell>
          <cell r="F1315" t="str">
            <v>1OC96996D08</v>
          </cell>
          <cell r="G1315" t="str">
            <v>1.OC.00.999.99</v>
          </cell>
          <cell r="J1315" t="str">
            <v>Phone Trading Establishment</v>
          </cell>
          <cell r="K1315" t="str">
            <v>Supply, Delivery of GPS &amp; Satellite Phones</v>
          </cell>
        </row>
        <row r="1316">
          <cell r="C1316" t="str">
            <v>Marine Life Operation Facility</v>
          </cell>
          <cell r="F1316" t="str">
            <v>1OC96996D21</v>
          </cell>
          <cell r="G1316" t="str">
            <v>1.OC.00.999.99</v>
          </cell>
          <cell r="J1316" t="str">
            <v>Blue Deep Diver</v>
          </cell>
          <cell r="K1316" t="str">
            <v>Supply, Delivery of Diving Weight</v>
          </cell>
        </row>
        <row r="1317">
          <cell r="C1317" t="str">
            <v>Marine Life Operation Facility</v>
          </cell>
          <cell r="F1317" t="str">
            <v>1OC96996D09</v>
          </cell>
          <cell r="G1317" t="str">
            <v>1.OC.00.999.99</v>
          </cell>
          <cell r="J1317" t="str">
            <v>Salasel Offshore Marine Services</v>
          </cell>
          <cell r="K1317" t="str">
            <v>Supply, Delivery of Boat Equipment</v>
          </cell>
        </row>
        <row r="1318">
          <cell r="C1318" t="str">
            <v>Marine Life Operation Facility</v>
          </cell>
          <cell r="F1318" t="str">
            <v>1OC96996D16</v>
          </cell>
          <cell r="G1318" t="str">
            <v>1.OC.00.999.99</v>
          </cell>
          <cell r="J1318" t="str">
            <v>Thuraya Turnkey Projects LLC</v>
          </cell>
          <cell r="K1318" t="str">
            <v>Supply, Delivery of Aquatic Equipment</v>
          </cell>
        </row>
        <row r="1319">
          <cell r="C1319" t="str">
            <v>Marine Life Operation Facility</v>
          </cell>
          <cell r="F1319" t="str">
            <v>1OC96996D19</v>
          </cell>
          <cell r="G1319" t="str">
            <v>1.OC.00.999.99</v>
          </cell>
          <cell r="J1319" t="str">
            <v>Alesayi Motors</v>
          </cell>
          <cell r="K1319" t="str">
            <v>Supply, Delivery of Mitsubishi L200</v>
          </cell>
        </row>
        <row r="1320">
          <cell r="C1320" t="str">
            <v>Marine Life Operation Facility</v>
          </cell>
          <cell r="F1320" t="str">
            <v>1OC96996D19</v>
          </cell>
          <cell r="G1320" t="str">
            <v>1.OC.00.999.99</v>
          </cell>
          <cell r="J1320" t="str">
            <v>Mohamed Yousuf Naghi Motors Co. - Ford</v>
          </cell>
          <cell r="K1320" t="str">
            <v>Supply, Delivery of Ford F150</v>
          </cell>
        </row>
        <row r="1321">
          <cell r="C1321" t="str">
            <v>Marine Life Operation Facility</v>
          </cell>
          <cell r="F1321" t="str">
            <v>1OC96996D23</v>
          </cell>
          <cell r="G1321" t="str">
            <v>1.OC.00.999.99</v>
          </cell>
          <cell r="J1321" t="str">
            <v>Thuraya Turnkey Projects LLC</v>
          </cell>
          <cell r="K1321" t="str">
            <v>Supply and Delivery of Marine Life Operation Facility (MLOF) Equipment</v>
          </cell>
        </row>
        <row r="1322">
          <cell r="C1322" t="str">
            <v>Marine Life Operation Facility</v>
          </cell>
          <cell r="F1322" t="str">
            <v>1OC96996F01</v>
          </cell>
          <cell r="G1322" t="str">
            <v>1.OC.00.999.99</v>
          </cell>
          <cell r="J1322" t="str">
            <v>Badael Al Taqnaya Industrial Co</v>
          </cell>
          <cell r="K1322" t="str">
            <v>AMAALA Marine Coast Guard FFE Delivery and Installation (Hijaz Bay)</v>
          </cell>
        </row>
        <row r="1323">
          <cell r="C1323" t="str">
            <v>Marine Life Operation Facility</v>
          </cell>
          <cell r="F1323" t="str">
            <v>1OC96996F02</v>
          </cell>
          <cell r="G1323" t="str">
            <v>1.OC.00.999.99</v>
          </cell>
          <cell r="J1323" t="str">
            <v>Badael Al Taqnaya Industrial Co</v>
          </cell>
          <cell r="K1323" t="str">
            <v>AMAALA Marine Life Operations Facility - Supply, Delivery, and Installation of Furniture</v>
          </cell>
        </row>
        <row r="1324">
          <cell r="C1324" t="str">
            <v>Marine Life Operation Facility</v>
          </cell>
          <cell r="F1324" t="str">
            <v>1OC96996D25</v>
          </cell>
          <cell r="G1324" t="str">
            <v>1.OC.00.999.99</v>
          </cell>
          <cell r="J1324" t="str">
            <v>Arabian Peaks</v>
          </cell>
          <cell r="K1324" t="str">
            <v>Supply, Delivery of MLCF Storage Equipment</v>
          </cell>
        </row>
        <row r="1325">
          <cell r="C1325" t="str">
            <v>Marine Life Operation Facility</v>
          </cell>
          <cell r="F1325" t="str">
            <v>1OC96996D27</v>
          </cell>
          <cell r="G1325" t="str">
            <v>1.OC.00.999.99</v>
          </cell>
          <cell r="J1325" t="str">
            <v>Saudi Company for Hardware (SACO)</v>
          </cell>
          <cell r="K1325" t="str">
            <v>Supply, Delivery of PPE, Tools &amp; General Equipment</v>
          </cell>
        </row>
        <row r="1326">
          <cell r="C1326" t="str">
            <v>Marine Life Operation Facility</v>
          </cell>
          <cell r="F1326" t="str">
            <v>1OC96996F03</v>
          </cell>
          <cell r="G1326" t="str">
            <v>1.OC.00.999.99</v>
          </cell>
          <cell r="J1326" t="str">
            <v>Fajr Construction Company</v>
          </cell>
          <cell r="K1326" t="str">
            <v>Supply, Installation and Maintenance of AMAALA Triple Bay Site-Wide Logistics Works (Call off Order No: 018) - Marine Life Operations Facility (MLOF)</v>
          </cell>
        </row>
        <row r="1327">
          <cell r="C1327" t="str">
            <v>Marine Life Operation Facility</v>
          </cell>
          <cell r="F1327" t="str">
            <v>1OC96996D29</v>
          </cell>
          <cell r="G1327" t="str">
            <v>1.OC.00.999.99</v>
          </cell>
          <cell r="J1327" t="str">
            <v>Blue Deep Diver</v>
          </cell>
          <cell r="K1327" t="str">
            <v>Amaala MLCF Marine Tools &amp; Equipment</v>
          </cell>
        </row>
        <row r="1328">
          <cell r="C1328" t="str">
            <v>Marine Life Operation Facility</v>
          </cell>
          <cell r="F1328" t="str">
            <v>1OC96996C04</v>
          </cell>
          <cell r="G1328" t="str">
            <v>1.OC.00.999.99</v>
          </cell>
          <cell r="J1328" t="str">
            <v>AL RAJHI COMPANY FOR COOPERATIVE INSURANCE</v>
          </cell>
          <cell r="K1328" t="str">
            <v>OCIP Insurance Premium (P0123­CAR­TCRO­00076041/E13)</v>
          </cell>
        </row>
        <row r="1329">
          <cell r="C1329" t="str">
            <v>Marine Life Operation Facility</v>
          </cell>
          <cell r="F1329" t="str">
            <v>1OC96996C02</v>
          </cell>
          <cell r="G1329" t="str">
            <v>1.OC.00.999.99</v>
          </cell>
          <cell r="J1329" t="str">
            <v>Sanderia Trading LLC</v>
          </cell>
          <cell r="K1329" t="str">
            <v>Modular coral cultivation</v>
          </cell>
        </row>
        <row r="1330">
          <cell r="C1330" t="str">
            <v>Marine Life Operation Facility</v>
          </cell>
          <cell r="F1330" t="str">
            <v>1OC96996C05</v>
          </cell>
          <cell r="G1330" t="str">
            <v>1.OC.00.999.99</v>
          </cell>
          <cell r="J1330" t="str">
            <v>Hasan Al Harbi Corp for Marine</v>
          </cell>
          <cell r="K1330" t="str">
            <v>Fuel Supply</v>
          </cell>
        </row>
        <row r="1331">
          <cell r="C1331" t="str">
            <v>Marine Life Operation Facility</v>
          </cell>
          <cell r="F1331" t="str">
            <v>1OC96996D34</v>
          </cell>
          <cell r="G1331" t="str">
            <v>1.OC.00.999.99</v>
          </cell>
          <cell r="J1331" t="str">
            <v>RAKAB Al AMIWA J FOR MARINE TRANSPORT_CONTRACT CANCELLED_CONTRACT VALUE SAR 216,000</v>
          </cell>
          <cell r="K1331" t="str">
            <v>AMAALA Two Rental Boats for MLOF</v>
          </cell>
        </row>
        <row r="1332">
          <cell r="C1332" t="str">
            <v>Marine Life Operation Facility</v>
          </cell>
          <cell r="F1332" t="str">
            <v>1OC96996C03</v>
          </cell>
          <cell r="G1332" t="str">
            <v>1.OC.00.999.99</v>
          </cell>
          <cell r="J1332" t="str">
            <v>King Abdullah University of Science and Technology (KAUST)</v>
          </cell>
          <cell r="K1332" t="str">
            <v>MAT (Mineral Accretion Technology) Monitoring</v>
          </cell>
        </row>
        <row r="1333">
          <cell r="C1333" t="str">
            <v>Marine Life Operation Facility</v>
          </cell>
          <cell r="F1333" t="str">
            <v>1OC96996B02</v>
          </cell>
          <cell r="G1333" t="str">
            <v>1.OC.00.999.99</v>
          </cell>
          <cell r="J1333" t="str">
            <v>Alec Interior Decoration</v>
          </cell>
          <cell r="K1333" t="str">
            <v>Package 2 – Design and Build components, changes to base build, AV and Exhibition features</v>
          </cell>
        </row>
        <row r="1334">
          <cell r="C1334" t="str">
            <v>Marine Life Operation Facility</v>
          </cell>
          <cell r="F1334" t="str">
            <v>1OC96996C11</v>
          </cell>
          <cell r="G1334" t="str">
            <v>1.OC.00.999.99</v>
          </cell>
          <cell r="J1334" t="str">
            <v>AL RAJHI COMPANY FOR COOPERATIVE INSURANCE</v>
          </cell>
          <cell r="K1334" t="str">
            <v>OCIP Insurance Premium (P0123­CAR­TCRO­00076041/E17)</v>
          </cell>
        </row>
        <row r="1335">
          <cell r="C1335" t="str">
            <v>Marine Life Operation Facility</v>
          </cell>
          <cell r="F1335" t="str">
            <v>1OC96996D55</v>
          </cell>
          <cell r="G1335" t="str">
            <v>1.OC.00.999.99</v>
          </cell>
          <cell r="J1335" t="str">
            <v>Quality suplies trading company LLC</v>
          </cell>
          <cell r="K1335" t="str">
            <v>Amaala MLCF Coral Production and Consumables</v>
          </cell>
        </row>
        <row r="1336">
          <cell r="C1336" t="str">
            <v>Marine Life Operation Facility</v>
          </cell>
          <cell r="F1336" t="str">
            <v>1OC96996C07</v>
          </cell>
          <cell r="G1336" t="str">
            <v>1.OC.00.999.99</v>
          </cell>
          <cell r="J1336" t="str">
            <v>Sub Sea Systems Inc</v>
          </cell>
          <cell r="K1336" t="str">
            <v>SeaTrek Equipment for the SeaTrek Subsea Experience</v>
          </cell>
        </row>
        <row r="1337">
          <cell r="C1337" t="str">
            <v>Marine Life Operation Facility</v>
          </cell>
          <cell r="F1337" t="str">
            <v>1OC96996D61</v>
          </cell>
          <cell r="G1337" t="str">
            <v>1.OC.00.999.99</v>
          </cell>
          <cell r="J1337" t="str">
            <v>Rakab Al Amwaj for Marine Transport
(WaveRider)</v>
          </cell>
          <cell r="K1337" t="str">
            <v>Retrospective Payment for AMAALA Two Rental Boats for MLOF</v>
          </cell>
        </row>
        <row r="1338">
          <cell r="C1338" t="str">
            <v>Marine Life Operation Facility</v>
          </cell>
          <cell r="F1338" t="str">
            <v>1OC96996D57</v>
          </cell>
          <cell r="G1338" t="str">
            <v>1.OC.00.999.99</v>
          </cell>
          <cell r="J1338" t="str">
            <v>Al Sawab Commercial Co.</v>
          </cell>
          <cell r="K1338" t="str">
            <v>Kendrick Extrication Device (KED)</v>
          </cell>
        </row>
        <row r="1339">
          <cell r="C1339" t="str">
            <v>Marine Life Operation Facility</v>
          </cell>
          <cell r="F1339" t="str">
            <v>1OC96996D48</v>
          </cell>
          <cell r="G1339" t="str">
            <v>1.OC.00.999.99</v>
          </cell>
          <cell r="J1339" t="str">
            <v>RED SEA AQUARIUMS</v>
          </cell>
          <cell r="K1339" t="str">
            <v>Supply and Delivery of Aragonite</v>
          </cell>
        </row>
        <row r="1340">
          <cell r="C1340" t="str">
            <v>Marine Life Operation Facility</v>
          </cell>
          <cell r="F1340" t="str">
            <v>1OC96996D65</v>
          </cell>
          <cell r="G1340" t="str">
            <v>1.OC.00.999.99</v>
          </cell>
          <cell r="J1340" t="str">
            <v>Port of Arabian Peaks</v>
          </cell>
          <cell r="K1340" t="str">
            <v>Retrospective Payment for AMAALA Rental Boats services for
MLOF</v>
          </cell>
        </row>
        <row r="1341">
          <cell r="C1341" t="str">
            <v>Marine Life Operation Facility</v>
          </cell>
          <cell r="F1341" t="str">
            <v>1OC96996D54</v>
          </cell>
          <cell r="G1341" t="str">
            <v>1.OC.00.999.99</v>
          </cell>
          <cell r="J1341" t="str">
            <v>Advanced Skills Medical
System Est.</v>
          </cell>
          <cell r="K1341" t="str">
            <v>Amaala MLCF Giant Clams – Laboratory Equipment</v>
          </cell>
        </row>
        <row r="1342">
          <cell r="C1342" t="str">
            <v>Marine Life Operation Facility</v>
          </cell>
          <cell r="F1342" t="str">
            <v>1OC96996D16</v>
          </cell>
          <cell r="G1342" t="str">
            <v>1.OC.00.999.99</v>
          </cell>
          <cell r="J1342" t="str">
            <v>Thuraya Turnkey Projects LLC</v>
          </cell>
          <cell r="K1342" t="str">
            <v>AMAALA Coral Facility Aquatic Quarantine Equipment</v>
          </cell>
        </row>
        <row r="1343">
          <cell r="C1343" t="str">
            <v>Marine Life Operation Facility</v>
          </cell>
          <cell r="F1343" t="str">
            <v>1OC96996D67</v>
          </cell>
          <cell r="G1343" t="str">
            <v>1.OC.00.999.99</v>
          </cell>
          <cell r="J1343" t="str">
            <v>Scuba Master Company</v>
          </cell>
          <cell r="K1343" t="str">
            <v>Diving Equipment - Corallium</v>
          </cell>
        </row>
        <row r="1344">
          <cell r="C1344" t="str">
            <v>Marine Life Operation Facility</v>
          </cell>
          <cell r="F1344" t="str">
            <v>1OC96996D33</v>
          </cell>
          <cell r="G1344" t="str">
            <v>1.OC.00.999.99</v>
          </cell>
          <cell r="J1344" t="str">
            <v>Port of Arabian Peaks</v>
          </cell>
          <cell r="K1344" t="str">
            <v>Supply of Boat Captain</v>
          </cell>
        </row>
        <row r="1345">
          <cell r="C1345" t="str">
            <v>Marine Life Operation Facility</v>
          </cell>
          <cell r="F1345" t="str">
            <v>1OC96996D46</v>
          </cell>
          <cell r="G1345" t="str">
            <v>1.OC.00.999.99</v>
          </cell>
          <cell r="J1345" t="str">
            <v>Al Sawab Commercial Co.</v>
          </cell>
          <cell r="K1345" t="str">
            <v>Boats and Submarine – Corallium</v>
          </cell>
        </row>
        <row r="1346">
          <cell r="C1346" t="str">
            <v>Marine Life Operation Facility</v>
          </cell>
          <cell r="F1346" t="str">
            <v>1OC96996D52</v>
          </cell>
          <cell r="G1346" t="str">
            <v>1.OC.00.999.99</v>
          </cell>
          <cell r="J1346" t="str">
            <v>Saco Company</v>
          </cell>
          <cell r="K1346" t="str">
            <v>Food Preparation Device</v>
          </cell>
        </row>
        <row r="1347">
          <cell r="C1347" t="str">
            <v>TBC</v>
          </cell>
          <cell r="F1347" t="str">
            <v>1SD00999CXX</v>
          </cell>
          <cell r="G1347" t="str">
            <v>1.SD.00.999.999</v>
          </cell>
          <cell r="J1347" t="str">
            <v>ABB Electrical Industries Co.Ltd</v>
          </cell>
          <cell r="K1347" t="str">
            <v>Electric Vehicle Charging Infrastructure</v>
          </cell>
        </row>
        <row r="1348">
          <cell r="C1348" t="str">
            <v>Ridge Residences</v>
          </cell>
          <cell r="F1348" t="str">
            <v>1TB06024D12</v>
          </cell>
          <cell r="G1348" t="str">
            <v>1.TB.06.024.01</v>
          </cell>
          <cell r="J1348" t="str">
            <v>Morpheus &amp; Co (Design) Ltd</v>
          </cell>
          <cell r="K1348" t="str">
            <v>Interior Design Services</v>
          </cell>
        </row>
        <row r="1349">
          <cell r="C1349" t="str">
            <v>Marina Lifestyle Hotel &amp; Village</v>
          </cell>
          <cell r="F1349" t="str">
            <v>1TB01002C64</v>
          </cell>
          <cell r="G1349" t="str">
            <v>1.TB.01.002.02</v>
          </cell>
          <cell r="J1349" t="str">
            <v>Havelock One Interiors Company</v>
          </cell>
          <cell r="K1349" t="str">
            <v>Fit Out &amp; MEP works for New Facilities</v>
          </cell>
        </row>
        <row r="1350">
          <cell r="C1350" t="str">
            <v>Village Boutique Hotel</v>
          </cell>
          <cell r="F1350" t="str">
            <v>1TB01006C72</v>
          </cell>
          <cell r="G1350" t="str">
            <v>1.TB.01.006.99</v>
          </cell>
          <cell r="J1350" t="str">
            <v>Nesma United Industries Co. Ltd.</v>
          </cell>
          <cell r="K1350" t="str">
            <v>Hard and Soft Landscape Works</v>
          </cell>
        </row>
        <row r="1351">
          <cell r="C1351" t="str">
            <v>Medical Wellness</v>
          </cell>
          <cell r="F1351" t="str">
            <v>1TB03008C55</v>
          </cell>
          <cell r="G1351" t="str">
            <v>1.TB.03.008.01</v>
          </cell>
          <cell r="J1351" t="str">
            <v>MAS Engineering &amp; Construction Company LTD</v>
          </cell>
          <cell r="K1351" t="str">
            <v>AMAALA Triple Bay - Medical Wellness – Builder’s Works and Waterproofing Package</v>
          </cell>
        </row>
        <row r="1352">
          <cell r="C1352" t="str">
            <v>Medical Wellness</v>
          </cell>
          <cell r="F1352" t="str">
            <v>1TB03008C57</v>
          </cell>
          <cell r="G1352" t="str">
            <v>1.TB.03.008.01</v>
          </cell>
          <cell r="J1352" t="str">
            <v>Deemah Stone Arabia LLC</v>
          </cell>
          <cell r="K1352" t="str">
            <v>External Stone Works for Medical Wellness</v>
          </cell>
        </row>
        <row r="1353">
          <cell r="C1353" t="str">
            <v>Integrative Wellness</v>
          </cell>
          <cell r="F1353" t="str">
            <v>1TB03007C60</v>
          </cell>
          <cell r="G1353" t="str">
            <v>1.TB.03.007.01</v>
          </cell>
          <cell r="J1353" t="str">
            <v>DEPA Saudi Arabia for Contracting and Interior Decoration Co. Ltd</v>
          </cell>
          <cell r="K1353" t="str">
            <v>Timber Works For SPA Integrative Wellness Project</v>
          </cell>
        </row>
        <row r="1354">
          <cell r="C1354" t="str">
            <v>Ocean Golf Private Residences - Phase 1</v>
          </cell>
          <cell r="F1354" t="str">
            <v>1TB05039C37</v>
          </cell>
          <cell r="G1354" t="str">
            <v>1.TB.05.039.01</v>
          </cell>
          <cell r="J1354" t="str">
            <v>DEPA Saudi Arabia for Contracting and Interior Decoration Co. Ltd</v>
          </cell>
          <cell r="K1354" t="str">
            <v>Fit Out and Final Fix MEP Works For a Show Villas Ocean Golf Residences 1</v>
          </cell>
        </row>
        <row r="1355">
          <cell r="C1355" t="str">
            <v>Ridge Residences</v>
          </cell>
          <cell r="F1355" t="str">
            <v>1TB06024C24</v>
          </cell>
          <cell r="G1355" t="str">
            <v>1.TB.06.024.01</v>
          </cell>
          <cell r="J1355" t="str">
            <v>Coastal Contracting Company</v>
          </cell>
          <cell r="K1355" t="str">
            <v>Bridge Villa -1 Base Build Construction for a Ridge Residence at
Triple Bay Amaala</v>
          </cell>
        </row>
        <row r="1356">
          <cell r="C1356" t="str">
            <v>Logistics</v>
          </cell>
          <cell r="F1356" t="str">
            <v>1TB04034C57</v>
          </cell>
          <cell r="J1356" t="str">
            <v>Alsaad General Contracting Co. Ltd</v>
          </cell>
          <cell r="K1356" t="str">
            <v>Construction and Demolition Waste Stockpile Processing and Removal for
TB Construction Logistics at AMAALA Triple Bay</v>
          </cell>
        </row>
      </sheetData>
      <sheetData sheetId="27"/>
      <sheetData sheetId="28">
        <row r="102">
          <cell r="C102" t="str">
            <v>Program 01</v>
          </cell>
          <cell r="D102" t="str">
            <v>Marina Village</v>
          </cell>
        </row>
        <row r="103">
          <cell r="C103" t="str">
            <v>Program 02</v>
          </cell>
          <cell r="D103" t="str">
            <v>Triple Bay Central</v>
          </cell>
        </row>
        <row r="104">
          <cell r="C104" t="str">
            <v>Program 03</v>
          </cell>
          <cell r="D104" t="str">
            <v>Wellness Core</v>
          </cell>
        </row>
        <row r="105">
          <cell r="C105" t="str">
            <v>Program 04</v>
          </cell>
          <cell r="D105" t="str">
            <v>Triple Bay - Wide</v>
          </cell>
        </row>
        <row r="106">
          <cell r="C106" t="str">
            <v>Program 05</v>
          </cell>
          <cell r="D106" t="str">
            <v>Ocean Golf</v>
          </cell>
        </row>
        <row r="107">
          <cell r="C107" t="str">
            <v>Program 06</v>
          </cell>
          <cell r="D107" t="str">
            <v>Triple Bay East</v>
          </cell>
        </row>
        <row r="108">
          <cell r="C108" t="str">
            <v>Program 07</v>
          </cell>
          <cell r="D108" t="str">
            <v>Triple Bay South</v>
          </cell>
        </row>
        <row r="109">
          <cell r="C109" t="str">
            <v>Program 08</v>
          </cell>
          <cell r="D109" t="str">
            <v>Construction Village</v>
          </cell>
        </row>
        <row r="110">
          <cell r="C110" t="str">
            <v>Program 09</v>
          </cell>
          <cell r="D110" t="str">
            <v>Civic Assets</v>
          </cell>
        </row>
        <row r="111">
          <cell r="C111" t="str">
            <v>Program 10</v>
          </cell>
          <cell r="D111" t="str">
            <v>Staff Village</v>
          </cell>
        </row>
        <row r="112">
          <cell r="C112" t="str">
            <v>Program 11</v>
          </cell>
          <cell r="D112" t="str">
            <v>PPP</v>
          </cell>
        </row>
        <row r="113">
          <cell r="C113" t="str">
            <v>Program 12</v>
          </cell>
          <cell r="D113" t="str">
            <v>Regional Infrastructure</v>
          </cell>
        </row>
        <row r="114">
          <cell r="C114" t="str">
            <v>Program 16</v>
          </cell>
          <cell r="D114" t="str">
            <v>Airport</v>
          </cell>
        </row>
        <row r="115">
          <cell r="C115" t="str">
            <v>Program 17</v>
          </cell>
          <cell r="D115" t="str">
            <v>Miraya Wide</v>
          </cell>
        </row>
        <row r="116">
          <cell r="C116" t="str">
            <v>Program 18</v>
          </cell>
          <cell r="D116" t="str">
            <v>MP4 Wide</v>
          </cell>
        </row>
        <row r="117">
          <cell r="C117" t="str">
            <v>Program 90</v>
          </cell>
          <cell r="D117" t="str">
            <v>Island Wide</v>
          </cell>
        </row>
        <row r="118">
          <cell r="C118" t="str">
            <v>Program 99</v>
          </cell>
          <cell r="D118" t="str">
            <v>AMAALA DevCo</v>
          </cell>
        </row>
        <row r="119">
          <cell r="C119" t="str">
            <v>Program 96</v>
          </cell>
          <cell r="D119" t="str">
            <v>ODC - Other Development Costs</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User" id="{FA2D4155-11CE-416B-8A98-DB844587F19F}" userId="User" providerId="None"/>
  <person displayName="Merroon Corera" id="{C840B14E-9604-4731-8AA8-7C14D629FDE0}" userId="S::MCorera@RedSeaGlobal.com::47815c63-b173-44a0-97f5-728c3092056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R16" dT="2024-07-11T06:03:44.85" personId="{C840B14E-9604-4731-8AA8-7C14D629FDE0}" id="{5930F1ED-DC2F-4F13-8863-600A2606BF0A}">
    <text>Review related to Prolongation Costs to AYC
15-Jan-24: Commercial team to discuss with Claims team (PG)
24-Jan-24: Initial discussions held. Ongoing (entitlement calc)
29-Jan-24: Commercial and Claims to discuss.
12-Feb-24: A meeting was done on (date)with the claims team and need update from Blake. Claims team to revert to Ali with comments on his expert report
26 Feb 24: Commercial to prepare the cost report associated with the EOT
11 Mar 24: cost report under preparation, pending sharing of reports with NSCC for their final comment
25 Mar 24: awaiting confirmation form NSCC regarding the ground conditions. PVO for MLH VE under process
22 Apr 24: letter to the contractor under preparation and approval. An advance copy was issued to the contractor for information. commercial to share the draft letter to claims team for review
06 May 24: Commercial to share the draft with claims team
03 Jun 24: Commercial report issued to claims for review
24 Jun 24: Report sent back to commercial on 20 Jun 24
8-Jul-24: Contractor issued a letter (1TB04400-005C13-NSC-LTR-0403 dated 04 Jul 24) in disagreement to AMAALA's Employer's opinion report on the Unforeseeable Physical Ground Conditions. However, Assessment report in it's final stage
15 Jul 24: Commercial to set up a meeting with David S to discuss regarding the ground condition to close out the assessment</text>
  </threadedComment>
  <threadedComment ref="BR17" dT="2024-08-28T08:04:16.25" personId="{C840B14E-9604-4731-8AA8-7C14D629FDE0}" id="{2574C77A-CFFF-45CF-A779-2FEAC51D6605}">
    <text>Report and Commercial Assessment reviewed by Claims Team. Commercial team to update the report.
14-Jan-24: Currently with Planning team for review and approval.
15-Jan-24: EOT concluded by Forensic Planner (NDS &amp; SV). Under review by TEE.
29-Jan-24: Draft final report issued to Commercial team. 
20-Feb-24: Assessment report put into WF for approvals
26-Feb-24: Under WF approval (WF-016414)
10 Mar 24: approved by GCEO
11 Mar 24: to be issued to the contractor today
24-Mar-24 - Letter for issuance of Report to Contractor is under approval.</text>
  </threadedComment>
  <threadedComment ref="BR18" dT="2024-07-14T12:08:22.30" personId="{C840B14E-9604-4731-8AA8-7C14D629FDE0}" id="{2C204021-7FA3-4C46-9DA7-3C30E057A360}">
    <text>Report and Commercial Assessment reviewed by Claims Team. Commercial team to update the report.
14-Jan-24: Currently with Planning team for review and approval.
15-Jan-24: Awaiting conclusion of EOT.
29-Jan-24: Ditto
11 Mar 24: reports to be issued this week
24-Mar-24: Cost Assessment Report is under preparation. Target date for issuance to Claims team for initial review - 25-Mar-24.
6-May-24: Cost Assessment Report is under preparation. Will be updated on receipt of Contractor's revised Claim based on the EOT Assessment Report.
09 May 24: contractor submitted the prolongation cost particulars based on the employer's EoT assessment. Current action with  Commercial team to review the cost and adopt the template shared by PG for the report
19 May 24: Commercial sent the assessment report to PG for review</text>
  </threadedComment>
  <threadedComment ref="BR21" dT="2024-08-08T05:48:09.47" personId="{C840B14E-9604-4731-8AA8-7C14D629FDE0}" id="{D6D600EC-3E2D-47EF-AD65-E1DC900BB760}">
    <text>Notice of Disatisfaction to RSG's determination.
ALS submitted particulars, AMAALA Responded requesting additonal information
14-Jan-24: EOT determined - Awaiting Contractors Commercial Submission
29-Jan-24: Re-submission is expected from Contractor by end of Jan-24.
12-Feb-24 - Pending with contractor
26-Feb-24: Ditto
10 Mar 24: Ditto</text>
  </threadedComment>
  <threadedComment ref="BR22" dT="2024-09-08T12:45:16.82" personId="{C840B14E-9604-4731-8AA8-7C14D629FDE0}" id="{01DB0284-A499-49C0-9971-65024ABC0F00}">
    <text>Notice of Disatisfaction to RSG's determination.
ALS submitted particulars, AMAALA Responded requesting additonal information
14-Jan-24: EOT determined - Awaiting Contractors Commercial Submission
29-Jan-24: Re-submission is expected from Contractor by end of Jan-24.
26-Feb-24: Ongoing assessment. Cost substantiation provided by Alsaad on 19 Feb. Responded by RSG on 22 Feb 24, further substantiation requested.
10 Mar 24: Pending with contractor
25 Mar 24: The initial assessment has been discussed with the contractor on 19/Mar/24, and we are awaiting its comments. We have also requested for further information/supporting documents from the contractor
22 Apr 24: Contractor required to submit further particulars
06 May 24: Associated with the above line item 7
03 Jun 24: Ditto
24 Jun 24: Ditto, awaiting response from contractor
15 Jul 24: Ditto
29 Jul 24: Ditto
08 Aug 24: This line item is solely for EOT 1 cost claim
12 Aug 24: Commercial issued a follow up response under Aconex Ref AMA01031-GENCORR-000904 on 06 Aug 24
26 Aug 24: Still waiting for response
8 Sept 24-Waiting for Contractor's Response - Contractor Verbally mentioned, RSG should process the Commercial Assessment based on our value, it can either be accepted or might be rejected by the contractor
07 Oct 2024 Contractor has raised concerns on the Employer's time assessment and has requested to reconsider the compensable days via letter 1TB01031-031C02-ALS-LTR-0299 on 3 Oct 24. Currently with Planning to review the contractor's argument about the Concurrency calculation
23 Oct 24: Planning reviewed the SCL protocol and confirmed that the Contractor’s position on concurrency assessment is unfounded via email on 21 Oct 24. Commercial to draft a response to contractor &amp; proceed with the cost assessment
04 Nov 24: P1 to update (letter issued) Letter ref to be provided
03 Nov 24: Letter still in WF-012085, approval overdue with Fahad
18 Nov 24: Employer's response issued to contractor on 10 Nov 24 via Letter 1TB01031-031C02-AMA-LTR-0029. cost assessment report under process
04 Dec 24: Ditto
15 Dec 24: Ditto
13 Jan 25: need further information from contractor to determine their position. commercial to send a follow up letter to contractor
11 Feb 25: follow up email sent via aconex email AMA01031-GENCORR-000943
24 Feb 25: awaiting submission from contractor
10 Mar 25: Ditto, awaiting contractor's resubmission
24 Mar 25: Ditto
09 Apr 25: Ditto
22 Apr 25: Ditto, commercial to follow up with contractor for resubmission
05 May 25: Reminder letter to ALS is on WF-013446 for Approval
10 May 25: Follow upletter issued to contractor via 1TB01031-031C02-AMA-LTR-0043, awaiting response from the contractor
19 May 25:Reminder letter has been issued to the contractor Ref : 1TB01031-031C02-AMA-LTR-0043 dated 08 May 2025. 
16-June-25: Ditto, awaiting response from contractor
30 Jun 25: Cost Asessment is being discussed with contractor for final Agreement, Final account negotiation going on
03 Jul 25: A final reminder sent to contractor to provide supporting documents to proceed with the employer's assessment via 1TB01031-031C02-AMA-LTR-0044</text>
  </threadedComment>
  <threadedComment ref="BR23" dT="2024-08-12T06:46:11.99" personId="{C840B14E-9604-4731-8AA8-7C14D629FDE0}" id="{63B057AE-B2A5-47E4-858F-A645B9B173BF}">
    <text>15-Jan-24: Commercial team to provide update
21-Jan-24: Letter sent to Contractor on 21 Jan 24 requesting for further particulars (xer files)
28-Jan-24: xer files provided. Meeting is set on 29 Jan 24 to discuss the provided substantiation.
Meeting held with contractor on 29/1/24 awaiting action
12-Feb-24: Ditto
11-March-24: Awaiting action from Contractor. 
25 Mar 24: Ditto
22 Apr 24: Ditto
06 May 24: Contactor submitted the revised claim on 05 April 2024, with new cut off dates (EOT 4) currently under review with commercial 
16 May 24: Commercial sent the draft assessment to Planning for review
23 May 24: Planning team returned the assessment with comments
03 June 24: Planning sent the report to PG on 28 May 24
24 Jun 24: Report sent back to commercial to update the report on 16 June 24 with comments from PG
15-Jul-24: Contractor latest submission (EOT 5) was rejected by RSG via letter ref 1TB01006-006C03-AMA-LTR-0133. Contractor to resubmit a consolidated claim. awaiting submission from contractor.
29 Jul 24: Still waiting for the contractor
12 Aug 24:  Revised submission of EOT 5 received on 28 July 2024 through letter ref. 1TB01006-006C03-MOO-LTR-0100. commercial to review and respond.
26 Aug 25: Commercial is drafting a letter of rejection. Comments on the previous submission that hasnt been addressed. Draft response sent to Nigel for initial review
08 Sep 24: Letter in WF-015526
11 Sep 24: letter 1TB01006-006C03-AMA-LTR-0138 issued to contractor to resubmit
07 Oct 24: Contractor Submitted updated claim as of 25 Sep 24 via letter ref 1TB01006-006C03-MOO-LTR-0110 on 29 Sep 24
24 Oct 24: Draft of Commercial Report was sent to Nigel for review on 24 Oct 24.
31-Oct 24 - Comments received from Nigel on 29 Oct and commercial is addressing the comments.
10 Nov 2024: Commercial has updated the Commercial Assessment Report, taking Nigel's comments into account and sent back to Nigel on 03 Nov 24.
14 Nov 24 - Received from Nigel on 11 Nov and sent to Paul Gallagher. Returned back on 11 Nov advising to use the latest EOT Report template. Commercial is revising
18 Nov 24: under process with commercial
04 Dec 24 - Draft sent to Paul Gallagher using the new template
15 Dec 24: reviewed and sent back to commercial with comments to be updated
17 Dec 24 -  Revised report sent to Claims team
12 Jan 2025 - Awaiting response from Claims team
13 Jan 2025 - claims provided the comment to commercial for updating
16 Jan 25: Commercial to issue a letter to contractor to submit an updated claim with a cut-off date after the de-scoping was made
21 Jan 25: Draft letter prepared and sent to claims for review.
22 Jan 25: Draft response sent back to commercial with amendments. commercial to address and proceed with the issuance
27 Jan 25: Letter in WF for approval (WF-023328 - 1TB01006-006C03-AMA-LTR-0148). Contractor to resubmit the claim with new cut-off date
12 Feb 25 - Letter issued to Contractor on 29 Jan 25. A workshop with the Contractor was held on 05 Feb 25. awaiting response 
16 Feb 25- Awaiting Contractor's revised submission
24 Feb 25 - Revised submission was received from the Contractor on 20 Feb 25 1TB01006-006C03-MOO-LTR-0118. this submission had 2 new DEs
10 Mar 25: EOT report under preparation with commercial
24 March 25 - As per management decision, an Interim EOT Award without cost would be given to the Contractor by 31 March 2025 based on 2 delay events namely late access and due to additional works. Planning team to determine the EOT to be awarded.
06 Apr 25 - Discretionary EOT is under Workflow for approval (WF-028136) l pending with John Pagano. 
09 Apr 25: DEOT approved on 09 Apr 25, EI to be issued contractor issued an updated claim with new DEs, (Ref &amp; Date to be provided)
16 Apr 25: EI for DEOT was issued on 16 April 2025 (1TB01006-006C03-AMA-EMI-PM-0001)
22 Apr 25: Draft report sent to Claims team for review on 17 Apr 25
04 May 25 - EAR reverted with initial comments from claims team, commercial to update and resubmit 
14 May 25: updated draft report sent to claims team for review
18 May 25 - Revised Report sent to Claims team on 14 May 25
28 May 25: EAR reviewed by claims sent to planning for TIA 
14 June 25 - with Planning team
16 Jun 25: TIA under process, Targeted to revert by 01 Jul 25
23 Jun 25: Ditto
28 June 25: TIA under process. targeted to revert by 01 July 25
30 Jun 25: TIA under process, targeted to revert by 07 Jul 25
08 Jul 25: Targeted to finalise and revert by 09 Jul 25
14 July 25 - TIA Incorporated and sent back to commercial to finalise the report prior to its submission to claims team for final review and approval
21 Jul 25: Final Draft report sent to claims for final review &amp; approval
27 July 25 - With Claims for final approval. 
28 Jul 25: Approved by claims team, commercial to initiate work flow
29 Jul 25: EAR put in workflow WF-034518
11 Aug 25: Ditto
19 Aug 25: EAR cover letter pu in WF (AMA01006-WTRAN-100390)
21 Aug 25:  EAR is approved. Employer's report now in WF-035285
27 Aug 25: Employers Assessment report issued to contractor via 1TB01006-006C03-AMA-LTR-0159
08 Sep 25: Awaiting contractor's acceptance 
04 Oct 25 - Contractor requested for XER file used by the Employer in the EOT Assessment (through e-mail). XER file was provided on 29 Sept 2025 (Ref. AMA01006-GENCORR-003765)
07 Oct 25: Awaiting contractor's response
20 Oct 25: Contractor submitted a Notice of Dissatisfaction with the TIA 1TB01006-006C03-MOO-LTR-0133 () on 16 Oct 25. Planning to respond.</text>
  </threadedComment>
  <threadedComment ref="BR24" dT="2025-04-07T03:22:32.41" personId="{FA2D4155-11CE-416B-8A98-DB844587F19F}" id="{42670597-3265-446D-B228-70FCCC911014}">
    <text>31-Jan-24:Project Delivery team was requested to provide draft response to ALS letter
10-Mar-24: Project Delivery Response received
10-Mar-24: Planning Team and Commercial to finalize draft response
25 Mar 24: response letter under preperation and to be sent to claims team for review EOD
22 Apr 24: to be discussed with the senior management &amp; legal
06 May 24: Ditto, Under discussion
03 Jun 24: Discussed with PG and asked delivery to provide details. Commercial to set up a meeting with Claims team to discuss further this week. 
15-Jul-24: Ditto
29 Jul 24: Ditto
12 Aug 24: Sasho to discuss with Al Saad Management to withdraw this letter.
26 Aug  24: No update
08 Sep 24: No Update. commercial to follow up with Sasho
07 Oct 24- Ditto
04 Nov 24: Ditto
04 Dec 24: Ditto
15 Dec 24: Ditto</text>
  </threadedComment>
  <threadedComment ref="BR27" dT="2024-08-12T06:47:02.58" personId="{C840B14E-9604-4731-8AA8-7C14D629FDE0}" id="{7BD33BB7-ECF2-4411-A552-5F8F07578252}">
    <text xml:space="preserve">11 Mar 24: Employer's response is under preparation.
13 Mar 24: Initial response for additional particulars was requested
25 Mar 24: awaiting particulars from the contractor The contractor did not submit the time impact analysis as well as full substantiation for the prolongation cost. Employer's response is under preparation.
Ongoing resistance from delivery for consideration as VO. Contractor has entitlement, Letter requesting additional info under draft
22 Apr 24: Amaala issued the letter for additional information and is currently waiting for their response. 
01 May 24: Contractor submitted the revised &amp; requested particulars for initial assessment
06 May 24: informal discussion was done between the commercial team and the contractor regarding the EoT &amp; Delay Damages. commercial team to respond to the contractor's latest letter received on 1st of May 24
03 Jun 24: Commercial yet to issue a response to the contractor for their recent submission. commercial to set up a meeting with HASCO
24 Jun 24: A response was made to the contractor rejecting their claim and thus need to revise &amp; resubmit in compliance with the contract
15-Jul-24: Ditto, awaiting resubmission from the contractor.
29 Jul 24: Ditto
12 Aug 24: Ditto
26 Aug 24: Ditto
08 Sep 24: Ditto. commercial to follow up with contractor &amp; to issue a letter
24 Sep 24: Contractor resubmitted the claim on 18 Sep 24. commercial to review. Meeting held with HASCO on 17 Sept 24 and RSG to review costs submitted and provide comments by 28 Sept 24. Further meeting to be arranged to try and conclude.
07 Oct 24: a meeting was arranged with HASCO for October 9, and the outcome will be shared with the Claims team.
20 Oct 24. Meeting and discussions ongoing with HASCO. Proposal to be put forward to claims team by the end October.
01 Nov 24. Meeting took place on 29 Oct and HASCO is reviewing with their CEO. We explained that any EoT entitlement costs are set-off by the damages given the significant delay. They have a new team who dont know the history and seemed keen to resolve the item. We await their feedback.
17 Nov 24: The meeting with HASCO on 12 November 2024, involving RSMLI Senior Directors, was cancelled by HASCO last minute and remains unscheduled. A revised close-out strategy is required, and the Senior Project Director will only be available for a meeting mid-December. 
04 Dec 24 - Meeting arranged for 17th December to agree  a final account.
15 Dec 24: Ditto
22 Dec 24: Ditto
13 Jan 25 - A verbal agreement was reached at the meeting on the 17th December. This wavier all EoT and LAD claims and the account was settled with a variation for foundations. We are chasing HASCO to formally agree to this so paperwork can be processed and the final account agreed. 
27 Jan 25 - Hasco have advised their CEO now wants to speak to HOC prior to formally accepting this position. Once the PVO for additional Works is completed we propose to Determine this matter.
28 Jan 25: Assessment to be completed; target date 6th Feb
12 Feb 25: No response yet from HASCO and assessment draft being finalised. To be issued to planning by end Feb.
23 Feb 25: Target issue date to planning delayed until end Mar 25.
10 Mar 25: Ditto
24 Mar 25: Ditto
07 Apr 25: Target issue date to planning by end Apr 25.
09 Apr 25: EAR is being prepared in the background while awaiting resubmission from the contractor
22 Apr 25: No further submission from HASCO. Internal assessment and report on-going. Commercial to provide a target date
05 May 25: Targeted to finalise the report by end of June 2025.
19 May 25: Ditto
16 June 25: Ditto
</text>
  </threadedComment>
  <threadedComment ref="BR28" dT="2025-01-26T12:24:30.77" personId="{C840B14E-9604-4731-8AA8-7C14D629FDE0}" id="{1DAE26B5-4E6C-4BB4-A8AA-11AFA57B01FE}">
    <text>11 Mar 24: The contractor did not submit the time impact analysis as well as full substantiation for the prolongation cost. 
11 Mar 24: Ongoing resistance from delivery for consideration as VO. Contractor has entitlement, Letter requesting additional info under draft
24 Mar 24 - Merit of the claim is under Commercial team review. Initial response shall be prepared and shared with the Claims team for comments. 
06 May 24: Associated with the above item
24 Jun 24: Ditto
11-Jul-24: Ditto
11 Aug 24: Ditto
26 Aug 24: Ditto</text>
  </threadedComment>
  <threadedComment ref="BR29" dT="2025-01-13T06:12:39.59" personId="{C840B14E-9604-4731-8AA8-7C14D629FDE0}" id="{CD03AC6C-787D-4B4F-9FAA-1B0B4131287F}">
    <text>Note: this claim is for the reversal of the delay damages
24 Mar 24 - Merit of the claim is under Commercial team review. Initial response shall be prepared and shared with the Claims team for comments. 
22 Apr 24: associated with the above 2 items
06 May 24: Assosiated with the above item
24 Jun 24: Ditto
11-Jul-24: Ditto
11 Aug 24: Ditto
26 Aug 24: Ditto
08 Sep 24: Ditto</text>
  </threadedComment>
  <threadedComment ref="BR30" dT="2024-07-14T12:38:31.41" personId="{C840B14E-9604-4731-8AA8-7C14D629FDE0}" id="{E14E6B42-CB0F-4D91-ABE8-F18349089665}">
    <text>11 Mar 24 - Merit of the claim is under Commercial team review. Initial response shall be prepared and shared with the Claims team for comments. 
EOT assessment report is also being prepared and shall be issued to planning for TIA
25 Mar 24: Commerical to respond asking for more particulars
22 Apr 24: On 21st of april contractor submitted further particulars which is under review. 
04 May 24 - Contractor submitted further particulars which is under review. 
06 May 24: contractor's recent submission under review with commercial
23 May 24: Contractor issued a reminder letter for the employers response on their 3 interim reports via letter 1TB01009-009C03-HAM-LTR-0065
03 June 24: commercial to have a meeting with Christopher Burke (Project Director)
05-Jun-24: Interim claim # 4 received
Expecting a latest submission from the contractor
15 Jul 24: Initial response in WF after addressing Nigel's comments. 
29 Jul 24: RFA in preparations to remove the milestones 
12 Aug 24: RFA/CA reviewed by Nigel, Paul and Legal. CA "pre-Approval" WF has been initiated (WF-011690 - CA)
26 Aug 24: RFA/CA for final approval within workflow ref. WF-012260 - RFA.
08 Sep 24: CA and Legal letter for Settlement approved. Legal's Settlement letter (1TB01009-009C03-AMA-LTR-0117) issued to the Contractor for agreement on 4.Sep.24 for acceptance, after which the CA shall be issued.
24 Sep 24: Contractor responded to employer's letter agreement on 09 Sep 24 via letter ref: 1TB01009-009C03-HAM-LTR-0117 and raised concerns towards some  wording specifically, being not aligned with the mentioned agreement. commercial to review and respond
07 Oct 24: Commercial team have repeatedly requested the Contractor for a meeting to discuss and finalize their concerns. The Contractor to date has not made himself available.</text>
  </threadedComment>
  <threadedComment ref="BR31" dT="2024-07-11T06:07:19.08" personId="{C840B14E-9604-4731-8AA8-7C14D629FDE0}" id="{10CD594F-A054-43D3-AE75-34F71AF1AD1A}">
    <text>23 Jan 24: Delay Letter from the Contractor under 1TB01003-003C03-SAB-LTR-0060.
29 Jan 24: Amaala responded under 1TB01003-003C03-AMA-LTR-0123.
30 Jan 24: Contractor responded under 1TB01003-003C03-SAB-LTR-0063.
14 Feb 24: Amaala responded under 1TB01003-003C03-AMA-LTR-0131.
14 Feb 24: Contractor responded under 1TB01003-003C03-SAB-LTR-0071.
26 Feb 24: Amaala responded under 1TB01003-003C03-AMA-LTR-0138.
28 Feb 24: Contractor responded under 1TB01003-003C03-SAB-LTR-0075.</text>
  </threadedComment>
  <threadedComment ref="BR31" dT="2025-04-07T03:24:09.18" personId="{FA2D4155-11CE-416B-8A98-DB844587F19F}" id="{B339141A-0870-4131-BC08-440A8A41B3A6}" parentId="{10CD594F-A054-43D3-AE75-34F71AF1AD1A}">
    <text xml:space="preserve">16 Mar 24: Contractor responded under 1TB01003-003C03-AMA-LTR-0142.
18 Mar 24: Contractor issued dispute notice under 1TB01003-003C03-SAB-LTR-0082.
Amaala is preparing a response to the Contractor's Dispute Notice.
22 Apr 24: response letter in WF for approval
25 Apr 24: response letter issued to the contractor, contractor responded back on the same day and has requested for a meeting
06 May 24: response letter under preparation
03 Jun 24: Commercial to issue a letter to the contractor to close this matter
</text>
  </threadedComment>
  <threadedComment ref="BR32" dT="2024-08-25T07:09:35.41" personId="{C840B14E-9604-4731-8AA8-7C14D629FDE0}" id="{60A4F518-968E-4554-8324-176BD52EFA59}">
    <text>25-Mar-24: Initial response under preparation
16 Apr 24: Amaala rejected the submission via letter ref: 1TB01100-100F02-AMA-LTR-0019
22 Apr 24: contractor to submit further particulars
28 Apr 24: revised submission done by the contractor
06 May 24: response letter under preparation 
Planning Team had numerous meetings with AMB. AMB submission not fully substantiated as they didn't consider concurrency. Employer to issue detailed response/rejection to AMB by 6 Jun 24.
03 June 24: Commercial to issue letter referring to the meeting and asking for further particulars.
25 June 24 :Draft reply letter reviewed by Claims Team, all Delay Events claimed by Contractor to be addressed. Awaiting Planning Team to provide updated information.
15 July 24 :Planning provided their input to commercial on 25 Jun 24. Commercial to incorporate the planning input in the draft letter to the contractor. 
29 Jul 24: Current draft response to be updated to address revised Contractor submission dated 16 July 24
12 Aug 24: Response being placed on WF 08 Aug 24 for original EOT submission incl. planning comments.(WF Ref: WF-007443)
14 Aug 24: Response letter has been issued to contractor. awaiting contractor to resubmit the claim as detailed in the letter
26 Aug 24: AMB responded to AMAALA's request for better and further particulars stating that they have provided all information and to be specific in what is required. Commercial team to make assessment with planning team based on information provided. 
09 Sept 24: Commercial Team discussing with Planning to determine if at all there is entitlement, after which a Report/Rejection will be processed. Target date 18 Sept 24.
24 Sept 24: Discussion between Commercial Team and Contracts held on 17 Sept 24 to reply to AMB last letter, stating that we will issue a determination and also addressing our position contrary to AMB, that we don’t consider the EOT an “Interim” Claim as works are complete. Commercial liaising with Delivery to confirm status of works whether complete.
07 Oct 24. There is contradiction in the last AMB letter ( AMB concluded the EoT is Interim). As agreed between Commercial and Claims Teams (Paul G and Priv), a reply Letter to AMB is under process stating that the Employer will make  a Final Determination based on information available, since the Contractor is not willing to provide further information. Letter to be issued by EOD.
17 Oct 24: Contractor issued letter for Confirmation of Verbal Instruction-Omission of Hardscape Road Base and Substrate COO 10 &amp; 13 (1TB01100-100F02-AMB-LTR-0028 dated 08 Oct 24)
20 Oct 24: Commercial Team issued a letter for additional substantiations on 17 Oct 24 via Letter Ref 1TB01100-100F02-AMA-LTR-0028</text>
  </threadedComment>
  <threadedComment ref="BR32" dT="2025-04-07T03:25:04.97" personId="{FA2D4155-11CE-416B-8A98-DB844587F19F}" id="{8F9F8BF8-8CD9-4A66-B192-D048A8685E4F}" parentId="{60A4F518-968E-4554-8324-176BD52EFA59}">
    <text>04 Nov 24: Contractor`s updated submisson is titled COO 13 and under CommercialTeam review. Team to determine if the updated submission covers COO10. Target to review COO13 updated submission is 10 Nov 2024.
17 Nov 24: Contractor responded via ref: 1TB01100-100F02-AMB-LTR-0030 that the Employer's rejection lacks sufficient substantiation and intends to escalate the matter with AMAALA management &amp; submit it's final claim post-project completion.
04 Dec 24: Contractor responded via ref: 1TB01100-100F02-AMB-LTR-0030 that the Employer's rejection lacks sufficient substantiation and intends to escalate the matter with AMAALA management &amp; submit it's final claim post-project completion.
15 Dec 24 : Employer requested further substantiations on 24 Nov 2024 via ref  1TB01100-100F02-AMA-LTR-0029. We have not received any update from the contractor to date.
22 Dec 24: contractor responded that they are in the process of preparing the final EOT claim upon project completion. Action still remains with the contractor until revised claim is submitted
Contractor responded via ref 1TB01100-100F02-AMA-LTR-0035 on 16 Dec 24.Requesting for formal meeting to discuss claim and will submit a final  EOT claim.
13 Jan 25: Status remains same as at 22 Dec 2024 above.
27 Jan 25: Status remains same as at 13 Jan 2025 above. commercial to follow up with contractor for the final claim
12 Feb 25: Ditto
24 Feb 25: Ditto, awaiting contract response
10 Mar 25: Ditto
24 Mar 25: Ditto
07 Apr 25: Ditto
09 Apr 25: Ditto
22 Apr 25: Ditto, commercial to follow up with the contractor for resubmission
05 May 25: Letter ref. 1TB01100-100F02-AMA-LTR-0031 issued to AMB on 29 April 2025, requesting particulars within 10 days, otherwise Amaala to determine.
18 May 25: Ditto</text>
  </threadedComment>
  <threadedComment ref="BR33" dT="2024-09-10T07:14:05.50" personId="{C840B14E-9604-4731-8AA8-7C14D629FDE0}" id="{AC0C1CEF-9FFE-4A32-99B9-1C8967D9121B}">
    <text>22-Apr-24: Project Delivery team was requested to provide draft response to Contractor's letter which highlights the completeness of the claims in terms of a planning point of view, whether the information provided by the Contractor is adequate to undertake/ determine the no of days entitlement for EOT claims
06 May 24: Planning had a workshop with the contractor last week. Initial response in WF (WF-008771) - 
29 May 24: still in WF (letter was revised and issued under new letter ref)
03 Jun 24: Initial response (1TB01002-002C23-AMA-LTR-0054) issued to contractor rejecting the claim and resubmit a revised claim on 28 May 24
24 Jun 24: Awaiting response from contractor
15-Jul-24: Commercial to chase the contractor on the resubmission. Commercial to issue a follow-up letter
29 Jul 24: still awaiting revised submission from the contractor.
12-Aug-24:  Contractor resubmitted the claim on 10-Aug-24. Initial review shows lack of substantiation similar to original claim. commercial to review and respond. 
26-Aug-24 Initial response sent via email on 22 Aug 24. Letter to be formalized this week. targeted to issue the letter EoD to revise &amp; resubmit
09 Sep 24 Letter Response in WF-013238 on 05 Sep 24. approval process completed on 07 Sep 24. 
10 Sep 24: Letter issued to the contractor. awaiting response from the contractor
24 Sep 24: contractor submitted the claim with further particulars. Commercial to review 
07 Oct 24 New revision of EOT 1 submission received on  24 Sep, 1TB01002-002C23-STE-LTR-0055, comments from Employer's email/letter not addressed. Employer'sletter response under  review by site legal,.  Intention is to schedule workshop with planning.
17 Oct 24: Employer's response issued via letter ref: 1TB01002-002C23-AMA-LTR-0090 on 17 OCt 24 to revise &amp;  resubmit FDC
4 Nov 24: P1 to update
17 Nov 24: a revised submission was made on 06 Nov 24 via 1TB01002-002C23-STE-LTR-0073. commercial to review
04 Dec 24: RSG's draft Response with Site legal team for review
04 Dec 24: Commercial sent draft response to claims for review on 09 Dec 24.
 15 Dec 24: Letter in the WF. Poor quality claim, rejected by coomercial and planning . WS with Contractor, planning &amp; commercial held on 21 Nov 24 and initail comments shared via email to Contractor on the same date.
31 Dec 24: response issued to contractor for resubmission
13 Jan 25: awaiting response from contractor
27 Jan 25: still awaiting the revised claim. Aconex Gen correspondance reminder to be sent to Contractor. Planning and Commercial to proceed with determination in the background.  commercial to prepare the report and sent to planning for TIA
12 Feb 25: EOT determination is in progress as part of the descoping and termination process
commercial to to proceed with the draft report based on the information available 
23 Feb 25: Transmittal:Revised claim, received on 18 Feb, TIA still not compliant   1TB01002-002C23-STE-LTR-0098 ,commercial finilising report, targeted to be issued to claims by 27 Feb. 
05 Mar 25: Draft response sent to claims for review
06 Mar 25: claims reverted the draft letter to commercial.
10 Mar 25: Response letter for resubmission in WF for approval (WF-022802)
24 Mar 25: Response letter  (1TB01002-002C23-AMA-LTR-0125 dated 06 March 2025) was issued to Contractor on 18 March 2025. This EOT is also progressing with the discretionary EOT list in parallel
07 Apr 25 : Ditto to above.  This EOT is subject to Discretionary EOT route, revised completion date is 10 Feb 2025. (Aconex WF-023852)
09 Apr 25: DEOT approved on 08 Apr 25 by GCEO. EI to be issued
19 Apr 2025 - EI no. 5 - (DEOT)  Extension of Time to the Time for Completion – to 30 November 2024 (AMA01002-EMPI-000016)  was issued to Contractor on 14 April 2025
22 Apr 25: awaiting response from contractor
01 May 2025: Reminder letter will be  issued  to Contractor to submit EOT claim on 05 May 25.
05 May 25: letter in WF (commercial to provide ref)
19 May 25: letter reminder for EOT  referernce  1TB01002-002C23-AMA-LTR-0132 was issued  to Contratcor on 18 May 2025.
01 Jun 25: Contractor submitted revised claim via 1TB01002-002C23-STE-LTR-0107 on 01 Jun 25, under review with commercial
04 Jun 25: draft response sent to claim for review
05 Jun 25: Draft response reviewed and sent back to commercial for issuance
12 June 25 : Rejection Letter issued to Tiejun 1TB01002-002C23-AMA-LTR-0139 on 12 June 2025
16 June 25: Ditto
30 June 25: Ditto, (comm to provide current status)
14 July 25: EOT claims under preparation by Contractor (Target date of submission  on 14 Aug 2025)
28 July 25: Contractor responded to Employer's rejection letter (1TB01002-002C23-AMA-LTR-0139 ) with letter reference 1TB01002-002C23-STE-LTR-0121 dated 21 July 2025. The Contractor accepts the Employer's comments and committed to resubmit the revised EOT claims as soon as possible. (Action still with contractor fore resubmission)
12 Aug 25:The Contractor submitted EOT Claim Rev. 05 (Ref: 1TB01002-002C23-STE-LTR-0126) dated 06 August 2025, which is currently under review by the Commercial and Planning teams. An initial workshop with the Contractor is planned for 14 August 2025 to discuss any review feedback or comments prior to issuing the formal response.
23 Aug 25: An EOT Workshop with STE Planning  scheduled for 24 August 2025. The session will primarily focus on reviewing our initial comments and identifying additional particulars required before issuing the formal response. The target date for issuance of the draft assessment report to be confirmed following the workshop.
25 Aug 25: 
08 Sept  25:  Following the Workshop with STE's planning, comments regarding  the Contractor’s Extension of Time (EOT) Rev. 05  was issued via AMA01002-GENCORR-002757 on 25-Aug-25. Contractor issued its response on 3 Sept 2025  via STE01002-GENCORR-000598 . Under review by Commercail team and trageted to issue a EAR by 11th Sep 25 
23 Sept 25: The EAR is being updated based on EOT Rev. 05, received via Aconex (STE01002-GENCORR-000604) on 09-Sep-2025. Following discussions, the MLH Planning Team requested additional information and the Contractor confirmed that the EOT narrative will be updated and resubmitted within this week.
05 Oct 25: The Contractor was requested via email on 30 Sep 25 to revise and resubmit the EOT claim, following the planning workshop held  on 20 &amp;24 Sep 25. The request was subsequently formalized through Aconex under reference AMA01002-GENCORR-002857 on 5 Oct 25
18 Oct 25: A reminder was sent to the Contractor on 05 Oct 2025  (via AMA01002-GENCORR-002857) to expedite the resubmission of the EOT claims.  No response received from the Contractor till date.
20 Oct 25: Comm to proceed with the EOT assessment with the available data and communicate the same with the contractor
03 Nov 25: Contractor submitted the revised Claim ( EOT 06) on 28 Oct 25 via letter reference 1TB01002-002C23-STE-LTR-0137. Under review by Commercial team, Comm to review &amp; respond within 7 days 
15 Nov 25: Contractor confirmed via email, the EOT claim will be revised and resubmitted following the planning workshop held on 15 Nov 25
17 Nov 25: awaiting contractors resubmission
29 Nov25:  The Contractor to withdraw the previously sumitted EOT claims and will revise and resubmit as per discussion with the planning team as confirmed via letter STE01002-GENCORR-000626 dated 23-Nov-25
01 Dec 25: awaiting contractor's revised submission, Ditto
13 Dec 25: Ditto
12 Jan 26: Ditto,  commercial to issue a follow up letter
27 Jan 26: A reminder to resubmit the EOT claims was issued through AMA01002-GENCORR-003047  on 12-Jan-26
07 Feb 26: Again, a reminder to resubmit the EOT claims was issued through AMA01002-GENCORR-003082  on 03-Feb-26. Further to the discussion with STE Commercial team on 7-Feb-26, the Contractor intended to revise and resubmit the claim with revised cut off date and delay events.
09 Feb 26: Ditto
23 Feb 26: The Contractor via STE01002-GENCORR-000657 dated 11-Feb-2026, comitted to submit the revised EOT claim  on or before 25-Feb-26.
09 Mar 26: An email correspondence ref AMA01002-GENCORR-003131 dated 26-Feb -26, was issued to Contractor to submit the EOT claim  at the earliest since it has failed to submit as comitted on 25-Feb-26
02 Apr 26: An email correspondence ref AMA01002-GENCORR-003165  dated 02-April -26, was issued to the  Contractor to expedite the submission of updated EOT claims. Subsequently via STE01002-RESP-000026 dated 02-April-26, the Contractor has committed to submit the updated EOT claims by 15-Apr-26.
06 Apr 26: Ditto, awaiting revised submission from contractor
12 Apr 26 : Contractor's revised submission received via 1TB01002-002C23-STE-LTR-0148 dated 12 April 2026. 
20 Apr 26: Currently, under commercial review. EAR targeted to be finalised by 15 May 26
04 May 26: Ditto</text>
  </threadedComment>
  <threadedComment ref="BR34" dT="2024-10-06T12:54:26.64" personId="{C840B14E-9604-4731-8AA8-7C14D629FDE0}" id="{C3E99F28-4592-47D7-9113-422E1AEF5D4D}">
    <text>22-Apr-24: Project Delivery team was requested to provide draft response to Contractor's letter which highlights the completeness of the claims in terms of a planning point of view, whether the information provided by the Contractor is adequate to undertake/ determine the no of days entitlement for EOT claims
06 May 24: Planning sent it back to commercial with comments. Commercial to review
03 Jun 24: letter issued to contractor on 02 Jun 24 requesting for further particulars and to establish regular workshops with the planning and commercial team
24 Jun 24: Awaiting response from contractor
15-Jul-24: Commercial to chase the contractor on the resubmission. Commercial to issue a follow-up letter
29 Jul 24: Still with contractor
12 Aug 24: Ditto
26 Aug 24: Contractor made the resubmission via letter 1TB01002-002C03-MEC-LTR-0056 on 15 Aug 24. commercial to review and respond
09 Sept 24, email response issued to Contractor on 05 Sep 24. Letter with the same content with claims / legal prior to issuing in WF. Targeted to be issued this week
15 Sep 24: AMAALA issued letter to contractor to revise &amp; resubmit via letter 1TB01002-002C03-AMA-LTR-0088
24 Sep 24: contractor submitted the revised claim via letter 1TB01002-002C03-MEC-LTR-0060 on 19 Sep 24. under review with commercial
07 Oct 24, Contractor issued  the letter  1TB01002-002C03-MEC-LTR-0060 in response to  1TB01002-002C23-AMA-LTR-0084. Since the misunderstanding  around methodology continues, a workshop between planning teams is scheduled for Sunday 06 Oct 24. Planning to advise
Meeting was held on 06 Oct 24 between contractor &amp; Amaala Commercial &amp; Planning team. MAS agreed to present the delay analysis for the first two windows to RSG Planning team on 07-Oct-2024
4 Nov 24: P1 to update
17 Nov 24: awaiting contractors submission
04 Dec 24: Ditto. Commercial to issue a follow up letter to MAS
13 Jan 25: commercial to follow up with the contractor for resubmission
27 Jan 25 : Commercial and Planning  will proceed with determination. Additional info required from Contractor, following the Design and Delivery team input. The consolidated info request will be sent on 27 Jan through Aconex as a General Correspondence. This EOT submission lists 29 Nr delay events with 236 subevents, hence disciplines review required long time. commercial to draft the report and sent to Planning for TIA
10 Feb 25: Contractor provided additional information on Jan 30, 2025. Commercial team is proceeding with the assessment of the contractual merits related to the delay events. Targeted to issue to Claims  by 20th Feb.
24 Feb 25: Consolidation with Delivery, QA  still ongoing. AECOM staff to be on site this week. Target date for issuing to Claims 02 Mar 25.  
10 Mar 25: Commercial in process of prepare the draft report. Draft  report to be issued to Claims by the end of  the next week. 
18 Mar 25: Commercial team's preparation of  draft report in progress. Draft  report to be issued to Claims by the end of  the next week. 
24 Mar 25: Ditto
07 Apr 25 : Ditto. This EOT is subject to Discretionary EOT route, revised completion date 09 April  2025.
09 Apr 25: under process with commercial, targeted to be issued to claims by 13 Apr 25 (TBC)
12 Apr 25: commercial sent draft report (Delay events basis of entitlement and chronology/summary) to claims for review
22 Apr 25:  draft report sent back to commercial on 14 Apr 25, to update the table and address claim's comments.
23 Apr 25: Final Draft report sent to claims team for review
25 Apr 25:  Draft report reviewed and sent back to commercial 
27 Apr 25: EAR sent to planning for TIA, Targeted to finalise by (TBC)
28 Apr 25: Report sent back to commercial with comments.
29 Apr 25: Commercial has updated the EAR based on the comments raised and issued to claims team for further review
05 May 2025: Commercial team responded to Claims comments.  Planning review is ongoing in parallel, and will conclude the window analysis within 7 days from receiving Commercial report. Targeted to revert by 13 May 25
12 may 25: TIA ongoing, targeted to revert by 18 May 25
17 May 25: EOT assessment target to be issued to MAS by 22 May 25.
19 May 25: TIA under review, and targeted to revert by 22 May 25
26 May 25: Under review, targeted to revert by 27 May 25
28 May 25: TIA concluded and sent back to commercial 
01 Jun 25: Final Draft Report sent to claims team for Approval prior to WF initiation
04 June 25 additional particulars received MEC01002-GENCORR-000200 on 03 Jun 25, action with claims/commercial to review/update TIA
16 Jun 25: a meeting to be scheduled bw planning, claims &amp; commercial to discuss the TIA
17 Jun 25: Draft EAR sent to planning to proceed with TIA, stage 2 qtys shared with planning on 17 jun 25
19 Jun 25: Planning requested commercial to provide the summary of the quantities in the provided format, and to provide a quantity comparison
24 Jun 25: commercial sent validated stage 2 quantities to planning, Planning to proceed with TIA
30 Jun 25: Ditto, reassessment ongoing, targeted to finalize by 10 Jul 25
03 Jul 25: soft copy of stage 2 qtys shared with planning to proceed with the analysis
08 Jul 25: targeted to complete by 17 Jul 25
13 July 25: Ditto, reassessment ongoing, target 31 July 2025. 
21 Jul 25: Ditto
28 Jul 25: Ditto
04 Aug 25: TIA to be completed by 05 Aug 25</text>
  </threadedComment>
  <threadedComment ref="BR36" dT="2024-11-17T10:09:19.06" personId="{C840B14E-9604-4731-8AA8-7C14D629FDE0}" id="{3964D9F3-66E0-492A-9FFE-8A069F2FD9D6}">
    <text>Contractor has submitted a cost claim of SAR 111,155.
The Contractor's EOT submission is not in line with the AMAALA requirement. Response letter issued on 05 May 2024 via letter ref: 1TB01005-005C02-AMA-LTR-0106 rejecting the claim and to revise &amp; resubmit
03 Jun 24: still with contractor
24 Jun 24: Awaiting response from contractor
15-Jul-24: Ditto
29 Jul 24: Ditto
12 Aug 24: Ditto
26 Aug 24: Ditto
09 Sept 24: Ditto. Commercial to follow up with the contractor &amp; issue a letter
24 Sept 24 - RSG to write to contractor in regard to outstanding response - by 28 Sept.
04 Oct 24 - Site team in discussion with SAB to determinate the VO for the generator room. This would include any prolongation and cost. Proposed agreement will be shared with claims teams prior to determination and Project team aim target to conclude this by end of October. 
07 Oct 24: Claims Comment - EOT need to be closed before any prolongation cost to be considered.
20 Oct 24 - Site team targeting Determine this variation with SAB by end of October.</text>
  </threadedComment>
  <threadedComment ref="BR36" dT="2025-04-07T03:32:35.76" personId="{FA2D4155-11CE-416B-8A98-DB844587F19F}" id="{DCA73D21-1F08-4B69-80E3-FA2AEA7CD351}" parentId="{3964D9F3-66E0-492A-9FFE-8A069F2FD9D6}">
    <text>01 Nov 24 - discussions on going on site to DVO this change with no time entitlement. Will form part of negotiated settlement of a number of changes. Will be setteled this month. Agreeing measures has taken longer than expected.
17 Nov 24 - Final review and agreement of measure on-going. Target is to have this DVO with no additional time by the end of the year.
04 Dec 24 - Meetings on going daily to agree and DVO this items along with others. To be confirmed by end of year.
22 Dec 24: Ditto</text>
  </threadedComment>
  <threadedComment ref="BR38" dT="2024-08-25T07:10:02.90" personId="{C840B14E-9604-4731-8AA8-7C14D629FDE0}" id="{F18E35E2-27F5-45DB-8027-8CBB9C01050C}">
    <text xml:space="preserve">06 May 24: contractor's submission under review
letter ref to be provided
Employer's initial response was issued to the contractor on 06 May 24 to provide a soft copy of the impacted schedule for analysis.
09 May 24: contractor submitted  the soft copy as requested
03 June 24: commercial to issue letter referring to the meeting and asking for further particulars.
25 June 24 :Draft reply letter reviewed by Claims Team, all Delay Events claimed by Contractor to be addressed. Awaiting Planning Team to provide updated information.
15 July 24 :Planning provided their input to commercial on 25 Jun 24. Commercial to incorporate the planning input in the draft letter to the contractor. 
29 Jul 24: Current draft response to be updated to address revised Contractor submission dated 16 July 24
10 Aug 24: Draft response under preparation
12 Aug 24: Draft to be completed inline with one completed on call-off order 10. To be put on WF by 15 Aug 24. (WF-007515)
14 Aug 24: Response letter has been issued to contractor on 13 Aug 24.Awaiting contractor to resubmit the claim as detailed in the letter
26 Aug 24: AMB responded to AMAALA's request for better and further particulars stating that they have provided all information and to be specific in what is required. Commercial team to make assessment with planning team based on information provided.
09 Sept 24: Commercial Team discussing with Planning to determine if at all there is entitlement, after which a Report/Rejection will be processed.Target date 18 Sept 24.
07 Oct 24. There is contradiction in the last AMB letter ( AMB concluded the EoT is Interim). As agreed between Commercial and Claims Teams (Paul G and Priv), a reply Letter to AMB is under process stating that the Employer will make  a Final Determination based on information available, since the Contractor is not willing to provide further information. Letter to be issued by 7 Oct 2024.
20 Oct 24: Commercial Team issued a letter for additional 17 Oct 24: Contractor issued letter for Confirmation of Verbal Instruction-Omission of Hardscape Road Base and Substrate COO 10 &amp; 13 vide 1TB01100-100F02-AMB-LTR-0028 dated 08 Oct 24
20 Oct 24: Commercial Team issued a letter for additional substantiations on 17 Oct 24 via Letter Ref 1TB01100-100F02-AMA-LTR-0028
30 Oct 24: Contractor submitted revised claim on 23 Oct 24 via letter ref: 1TB01100-100F10-AMB-LTR-0021
03 Nov 24: Commercial Team going through the Contractor`s Claim with a target date to review by 10 Nov 2024
17 Nov 24: Contractor responded via ref: 1TB01100-100F02-AMB-LTR-0030 that the Employer's rejection lacks sufficient substantiation and intends to escalate the matter with AMAALA management &amp; submit it's final claim post-project completion.
04 Dec 24: Contractor responded via ref: 1TB01100-100F02-AMB-LTR-0030 that the Employer's rejection lacks sufficient substantiation and intends to escalate the matter with AMAALA management &amp; submit it's final claim post-project completion.
15 Dec 24 : Employer requested further substantiations on 24 Nov 2024 via ref  1TB01100-100F02-AMA-LTR-0029. We have not received any update from the contractor to date.
22 Dec 24: contractor responded that they are in the process of preparing the final EOT claim upon project completion. Action still remains with the contractor until revised claim is submitted
Contractor responded via ref 1TB01100-100F02-AMA-LTR-0035 on 16 Dec 24.Requesting for formal meeting to discuss claim and will submit a final  EOT claim.
12 Jan 25: Status remains same as at 22 Dec 2024 above.
27 Jan 25: Ditto. commercial to issue a follow up letter
11 Feb 25: Ditto
24 Feb 25: Ditto
10 Mar 25: Ditto
24 Mar 25: Ditto
07 April  25: Ditto
09 Apr 25: Ditto
20 Apr 25: Ditto
**the Contractor refuses to provide the requested format or the necessary supporting documents at this stage  and will submit a final claim upon project completion
22 Apr 25: commercial to chase the contractor for resubmission
05 May 25: Letter ref. 1TB01100-100F02-AMA-LTR-0031 issued to AMB on 29 April 2025, requesting particulars within 10 days, otherwise Amaala to determine.
</text>
  </threadedComment>
  <threadedComment ref="BR40" dT="2025-01-13T06:17:40.65" personId="{C840B14E-9604-4731-8AA8-7C14D629FDE0}" id="{F931A4F0-FB27-4960-A976-131D68D94F34}">
    <text>06 May 24: contractor's submission under review
draft response in WF rejecting the claim advising them to revise and resubmit (1TB01006-006C22-AMA-LTR-0060)
24 Jun 24: awaiting response from contractor
15-Jul-24: Commercial to issue a follow-up letter to the contractor for the resubmission
29 Jul 24: Ditto
12 Aug 24: Employer issued a follow-up letter to contractor for the resubmission on 05 Aug 24
26 Aug 24: revised submission made by contractor on 17 Aug 24: Currently under review with commercial
09 Sep 24: response to contractor's latest submission is currently in the WF (WF-05933)
24 Sep 24: letter issued to contractor for resubmission
03 Oct 24: Contractor Submitted updated claim via letter ref 1TB01006-006C22-STE-LTR-0052 on 02 Oct 2024 and 1TB01006-006C22-STE-LTR-0054 on 03 Oct 24. Commercial to review
4 Nov 24: P1 to update
12 Dec 24 - Draft response udner preparation
22 Dec 24 - Draft response sent to Nigel for review
05 Jan 25: Sent draft response to Claims
13 Jan 25 - Draft response approved by Claims team and is now currently in the Workflow for signature.
26 Jan 25 - Employer's Response sent to Contractor on 16 Jan 2025 Letter Ref. 1TB01006-006C22-AMA-LTR-0104
09 Feb 25 - Awaiting for Contractor's revised submission. Reminder sent on 09 Feb 25 (AMA01006-006C22-002812)
16 Feb 25 - Awaiting Contractor's revised submission
24 Feb 25 - Ditto
10 Mar 25: Ditto
19 March 25: Revised submission was received on 6 March 2025
24 March 25 - As per management decision, an Interim EOT Award without cost would be given to the Contractor by 31 March 2025 base don 2 delay events namely late access and due to additional works. Planning team to determine the EOT to be awarded.
06 April 25 - Discretionary EOT is under Workflow for approval (WF-027671) ) pending with John Pagano 
09 Apr 25: DEOT approved by JP on 08 Apr 25, EI to be issued, currently with planning to advise on the number of days // commercial to respond to contractor latest EOT claim submission
20 Apr 25 - EI for DEOT was issued on 17 April 2025 (Ref. 1TB01006-006C22-AMA-EMI-CM-0006)
22 Apr 25: Draft response sent to claims team for review on 20 Apr 25
25 Apr 25: Draft response reviewed and sent back to commercial for issuance
03 May 25 - Draft response currently under WF-029596 
05 May 25: Ditto
18 May 25 - awaiting Contractor's revised submission (letter issued on 5 may 25 	
1TB01006-006C22-AMA-LTR-0121
16 Jun 25 - ditto
17 June 25 -  Revsied submission from Contractor received Ref. 1TB01006-006C22-STE-LTR-0103 dated 26 May 25
30 June 25 - Revised submission under review by Commercial
14 July 25 - Revised submission under review by Commercial, targeted to finalise by 21 Jul 2025
23 July 25 -  contaractor was requested to provide the associated clearance documents with clear labelling via AMA01006-GENCORR-003497 on 15 Jul 2025, requested details were provided on the same day via STE01006-GENCORR-000240
24 July 25 - Further particulars were requested via (AMA01006-GENCORR-003530)
28 Jul 25: commercial preparing the report, targeted to revert by 31 Jul 2025
12 Aug 25: First Draft of Assessment Report sent to BK on 10 August 2024</text>
  </threadedComment>
  <threadedComment ref="BR42" dT="2025-02-11T07:06:21.29" personId="{C840B14E-9604-4731-8AA8-7C14D629FDE0}" id="{EF903CC3-D990-4C15-8F99-7ABDB712E425}">
    <text xml:space="preserve">24 Jun 24: Under review with commercial
15 Jul 24: commercial to respond to their letter
29 Jul 24: response in WF-015991 (1TB01005-005C02-AMA-LTR-0131)
08 Aug 24: still in WF
12 Aug 24 - Going through WF. will be issued to SAB this week
letter will be issued EOD
14 Aug 24: response letter issued to contractor via ref: 1TB01005-005C02-AMA-LTR-0131 on 14 Aug 24.
26 Aug 24: awaiting response from contractor
09 Sep 24: Ditto
24 Sept 24 - RSG to write to contractor in regard to outstanding response - by 05 Oct.
07 Oct 24 - Outstanding response letter not sent. To be issued by 10 Oct 24
</text>
  </threadedComment>
  <threadedComment ref="BR42" dT="2025-04-07T03:34:56.71" personId="{FA2D4155-11CE-416B-8A98-DB844587F19F}" id="{CBF07A0B-3868-4194-B89F-9AF9A84C9853}" parentId="{EF903CC3-D990-4C15-8F99-7ABDB712E425}">
    <text>20 Oct 24: targeted to issue the said letter by 25 Oct 24
01 Nov 24 - Will be closed this month as part of wider agreement on a number of changes
17 Nov 24 - Final review and agreement of measure on-going. Target is to have this DVO with no additional time by the end of the year.
04 Dec 24 - Meetings on going daily to agree and DVO this items along with others. To be confirmed by end of year.
22 Dec 24: Ditto</text>
  </threadedComment>
  <threadedComment ref="BR43" dT="2025-01-13T06:18:20.71" personId="{C840B14E-9604-4731-8AA8-7C14D629FDE0}" id="{D3FA68F2-A3A3-4AB7-A430-F234F043CBA4}">
    <text>24 Jun 24: Under review with commercial
15-Jul-24: Commercial review completed, currently with planning for TIA. Commercial to prepare the initial response
29 Jul 24: Initial response made last week to revise and resubmit based on the comments provided in the letter
12 Aug 24: Contractor submitted revised claim with further particulars &amp; window analysis report on 31 Jul 24. currently with planniing team for TIA
13 Aug 24: Initial response sent back to commercial with planning comments
17 Aug 24: Amaala issued intial response to contractor's EOT submission to resubmit
26 Aug 24: No Update
03 Sep 24: The contractor submitted a revised claim on 29 Aug 24. action with commercial to review
09 Sep 2024 - Contractual assessment report completed and issued to Planning team on the 3rd Sep 2024. Report under preperation with commercial to update
25 Sep 2024 - Draft EOT Report prepared by the commercial issued to the Claims Team for review with the Commercial Team .
07 Oct 24: Under review with claims.
21 Oct 24: 
04 Nov 24: under review with Claims
14 Nov 24: report sent back to commercial to update the comments from claims team and to use the latest template
04 Dec 24: Commercial updating the EOT-01 report per the latest template received from Claims Team.
09 Dec 24: Revised Draft report was sent to Claims team for review on 05 Dec 24. Report was  sent back to commercial with comments for amendments</text>
  </threadedComment>
  <threadedComment ref="BR43" dT="2025-04-20T10:23:39.76" personId="{FA2D4155-11CE-416B-8A98-DB844587F19F}" id="{188509B9-E7D1-49C1-97BC-65D7FD406B7E}" parentId="{D3FA68F2-A3A3-4AB7-A430-F234F043CBA4}">
    <text xml:space="preserve">05 Jan 25: a response to contractor's latest claim was issued on 19 Dec 24 to provide further substantiation and supporting documentation in relation to the reported delays
09 Jan 25: a response to contractor's latest claim was issued on 19 Dec 24 to provide further substantiation and supporting documentation in relation to the reported delays
</text>
  </threadedComment>
  <threadedComment ref="BR44" dT="2024-11-14T05:34:53.51" personId="{C840B14E-9604-4731-8AA8-7C14D629FDE0}" id="{E983C319-0482-4571-96FD-5FF34A7A14CB}">
    <text>Request for additional information / clarification issued to Contractor on 12.Jun.24
15 Jul 24 - Received response from the Contractor on 13 Jul 24 and currently under review.
29 Jul 24: under review with commercial 
AMAALA site team to arrange meeting with Contractor start of Aug. Target completion date circa end of Aug 24. Upon completion date being realised team will analyse entitlement. 
12 Aug 24 - Meeting happened with Contractor. Contractor looking for the assessment. Commercial Team, will start preparing the assessment report.
26 Aug 24: Commercial team prepared an EOT report and sent it to the planning team for assessment on 12 August 2024.
02 Sep 24: Planning sent the report back to commercial with comments on 26 Aug 24 as the draft is not adequate to carry out TIA assessment
08 Sep 24: Assessment report is being updated to address Planning comments and once formalized, it will be issued for claims for review / input. Target date 16 Sep 24. 
24 Sept 24: MAS are submitting finalized claim due 03 Oct 24. Report will be adjusted to incl. final MAS substantiation.
07 Oct 24: MAS yet to submit finalized claim. EOT report sent to claims for comment based on info to date.
19 Oct 24: Claims team have stated minimal entitlement and review to be completed upon 2 Stage Conversion completed. 2 Stage measure being finalized with Consultant currently.
03 Nov 24: Final EOT from MAS is awaited. EOT report addressing Claim's comment is issued back to Claims team for review.
10 Nov 24: Final Draft report sent to planning for their input / TIA on 06 Nov 24
14 Nov 24: report was sent back to commercial to discuss and update DE#1
17 Nov 24: the contractor further submitted a revised claim on 11 Nov 24 via ref 1TB01009-009C12-MEC-LTR-0041
04 Dec 24: contractor further submitted additional particulars on 19 Nov 24 via 1TB01009-009C12-MEC-LTR-0042. Commercial to review &amp; confirm whether the previous EOT assessment report (TIA) is going to be superseeded.
12 Dec 24: The earlier report to be updated based on the latest EOT submissions. Commercial are working on the revised report. 
13 Jan 24: Ditto - Awaiting feedback from Delivery. Targeted date to send the updated report to claims - 22 Jan 24
27 Jan 25: Updated report incorporating all the latest EOT Claims received from the Contractor is being prepared and shall be sent to Claims by 1 Feb 25
11 Feb 25: Report being finalised. Shall endeavor to finalise and send to Claims team's review on or before 13 Feb 25
16 Feb 25: Draft Report sent to Claims for review
18 Feb 25: Final Draft report sent tp Planning for TIA
23 Feb 25: Ditto, Targeted to revert by next week
10 Mar 25: Ditto, Targeted to revert this week
17 Mar 25: Targeted to release EoD
20 Mar 25: Final Draft report sent back to claims for review post TIA incorporation. EAR sent to commercial with comments / queries
21 Mar 25: updated EAR sent to claims for review.
23 Mar 25. Final Draft EAR under approval with KM
07 Apr 25: Final EAR approved by claims sent back to commercial on 30 Mar. EAR under WF approval
13 Apr 25: EAR approved by GCEO
17 Apr 25: cover letter in  in WF(ref: WF-037745), currently with Stuart. expected to be issued by begining of next week
22 Apr 25: EAR issued to contractor via ref 1TB01009-009C12-AMA-LTR-0091 on 17 Apr 25. awaiting contractor's acceptance 
05 May 25: Ditto
19 May 25: Ditto
16 Jun 25: commercial to send a reminder, and further issue the determination/EI if contractor fails to respond within the stipulated time
30-Jun-25: Follow up letter to be issued by 3-Jul-25
14 July 2025:Follow up letter still not drafted,. BK followed up with the team
24 July 2025: Follow up letter under WF-049210. Shall be issued by 27 July 2025.
28 Jul 25: commercial to issue the determination if contractor  fails to respond in 2 weeks
12 Aug 25: Determination to be prepared and issued to WF by 14 August 2024. 
24 Aug 25:  Ditto, new date 28 August 2025.  
7 Sep 25: Contractor requested for the XER files for review, which has been issued. Letter asking Contractor's feedback within 20 days is in WF-056117. Until the 20 days, we will hold the issuance of Determination.
5 Oct 25: Determination letter under WF. Will be issued on completion of the 20 business days from 15 Sep 25.
07 Oct 25: Determination Letter in WF (ref)
18 Oct 25: Determination letter issued to Contractor. Ref - 1TB01009-009C12-AMA-LTR-0095 dated 08 Oct 25.
03 Nov 25: Contractor issued Notice of Dissatisfaction with the Employer's Determination. comm to prepare a response in 7 days
17 Nov 25: Target date for the response is 25 Nov 25
01 Dec 25: comm to issue a response to contractor's NoD by 04 Dec 25
13 Dec 25: Meeting conducted with the Contractor to amicably close the Contract / outstanding claims. If no agreement is reached, response to NoD shall be prepared and issued. Target by - 25 Dec 25
10 Jan 26: Response to NoD is under preparation. Shall be issued to Claims team by 15 Jan 26.
12 Jan 26: Ditto
27 Jan 26: Response to NoD shall be sent to Claims review on 28 Jan 26.
28 Jan 26: Draft Response to contractor's NoD sent to Claims team for review
04 Feb 26: Draft response reviewed and sent back to commercial for issuance
8 Feb 26: Response to NoD in WF-077450
09 Feb 26: Ditto</text>
  </threadedComment>
  <threadedComment ref="BR45" dT="2024-09-08T13:09:04.05" personId="{C840B14E-9604-4731-8AA8-7C14D629FDE0}" id="{2BDD5F73-58C0-44CC-BEA3-FA9311A5E5BC}">
    <text>14 Jul 24: 
1. RFA was raised for approval for the extension of time towards the variation order of the fixed Jettie precast element works
2. RFA rejected and Commercial team advised to carry out an EOT report.
3. Contractor has advised the EOT is a zero compensable delay event
4. Commercial is now carrying out the assessment for Approval 
15 Jul 24: Ditto
29 Jul 24: contractor to submit their final claim. Letter on standby and to be issued soon to the contractor
30 Jul 24: Contractor submitted a cosolidated claim report (ALS01031-GENCORR-000412) on 06 Jul 24 and updated program for work on 30 Jul 24.
08 Aug 24: The Contractor was requested to submit one Consolidated fully detailed claim report, to justify the total EOT of 103 days via ACONEX mail ref AMA01031-GENCORR-000907 on 07 Aug 24.
12 Aug 24: Contractor submitted the consolidated claim on 08 Aug 24 as requested. currently updating the EOT report which will be reviewed with the planning and the claims team 
26 Aug 24: No Update</text>
  </threadedComment>
  <threadedComment ref="D46" dT="2024-07-14T13:26:58.85" personId="{C840B14E-9604-4731-8AA8-7C14D629FDE0}" id="{0FCC37A9-65BB-49EA-9C11-A66C1D5D9751}">
    <text>Contract Ref in Contractor's submission is wrong (1TB01-002C03)</text>
  </threadedComment>
  <threadedComment ref="BR46" dT="2024-10-06T13:01:44.84" personId="{C840B14E-9604-4731-8AA8-7C14D629FDE0}" id="{93ED351D-4371-4D6E-9597-4094D81A9415}">
    <text>15 July 24 : the contractor made the submission incorrectly without a transmittal and therefore, PMIS teams asked the contractor to resubmit properly. Awaiting Contractor's formal submission on Aconex
17 Jul 24: the contractor has resubmitted the claim as advised by PMIS team. The action is with Commercial, as at 17 July 2024. Targeted to submit to Planning Team by end of day 21 July 2024
29 Jul 24: Draft report submitted to planning on 25 Jul for review on the time bar and inital comments
report sent back to commercial  on 29 Jul 24 with intial comments on the delay analysis.
4 Aug 24: Final draft response in WF (WF-007321 - 1TB01100-100C04-AMA-LTR-0062)
10 Aug 24: Response issued to contractor on 08 Aug 24 to revise &amp; resubmit 
26 Aug 24: Ditto. a report is being prepared in the background while awaiting contractors response
08 Sept 24: EoT Report being updated to include further details on chronology etc. as discussed with Paul G.Target date 15 Sept 24. Contractor did not provide further details as per RSG letter 1TB01100-100C04-AMA-LTR-0062 dated 08 Aug 24 (Hence status is Contractor)
24 September 2024 : Al Khonani have not yet replied to Employer request for substantiation. In parallel, Commercial Team working on EOT report ( Contracts Team provided updated Template) to conclude ASAP as Delivery Team already advised that the project Completion Date is 30 Sep 2024.
07 Oct 2024 : Al Khonani have not yet replied to Employer Letter &amp; AMAALA`s follow up email dated 3 Oct 2024, requesting for substantiation. Commercial to discuss with claims &amp; Shane
20 Oct 24: Contractor confirmed via email that they will provide a reply to AMAALA`s last letter, providing clarification. Some clarifications were received by email dated 19 Oct 2024.
03 Nov 24: Contractor made an updated submission on 24 October 2024. Commercial Team updating Report and target to have updated the Report by 03 November 2024. 
17 Nov 24: under preparation with commercial, targeted to finalize the report by 21 Nov 24
04 Dec 24 NB- Commercial Team understands that the Contractor was required to demobilize off site by 30 September 2024 and thereby potentially putting RSG at risk since there was no formal Termination (only scope awarded to ASTRA is to be de-scoped as per PVO under process). 
15 Dec 24 -: under preparation with commercial, targeted to finalise the report by 31 Dec 24. Further to note below, EOT Report couldn't be finalised as Instruction to de-scope was not yet issued. PVO signed by GCEO on 28 Nov 2024 and EI to be issued this Dec 24, after which the EoT Report will be updated to include this date.
Commercial team to advise the EOT report status (previous target for the report was 21 Nov 24)
13 Jan 25 - updated Draft report submitted to Claims Team for review
22 Jan 25: Commercial to further update the report as per claims comments 
27 Jan 25: Commercial updating the report as per claims comments . Revised report to be submitted by 9 Feb 2025. Delivery to confirm the intended date of TOC
9 Feb 2025. Delivery to confirm the intended date of TOC
05 Feb 25: report sent to planning for TIA</text>
  </threadedComment>
  <threadedComment ref="BR47" dT="2024-11-10T10:49:20.86" personId="{C840B14E-9604-4731-8AA8-7C14D629FDE0}" id="{660A0E4F-C08C-4A73-821F-B9D7300264A5}">
    <text>14 Jul 24: Initial response is being prepared. 
29 Jul 24: initial response in  WF-010318
12 Aug 24: Initial response issued to the contractor on 30 Jul 24 to revise &amp; resubmit contractor submitted the interim report 2 on 31 Jul 24. Commercial to review &amp; respond
26 Aug 24: Commercial to review &amp; respond to interim report 2 re-requesting information from original response. Targerted to issue it EoD to address the comments mentioned in AMAALA's inital response 
02 Sep 24: letter mentioned above issued to contractor on 29 Aug 24 vide 1TB01009-009C17-AMA-LTR-0033 provided further and better particulars.
09 Sep 24: Details awaited from the Contractor
24 Sept 24: Commercial team has started preparing report in the background, while awaiting response from Contractor on latest letter to incl.
01 Oct 24: Assessment report sent to Claims for review
07 Oct 24: awaiting response from contractor
17 Oct 24: Contractor submitted a revised claim on 08 Oct 24 via letter ref 1TB01009-009C17-HAM-LTR-0029. Claims team have assessed claim and believe there is minimal entitlement due to culpable insurance delay. Recommendation to finalise 2 Stage Conversion to assess entitlement due to additional qty's. No yet submitted by Contractor.
03 Nov 24: Updated EOT report is expected from HAM by next week. On receipt, Commercial shall update the current EOT report in the new format and shall issue to Claims for review.
10 Nov 24: assessment report under process with commercial while awaiting final submission from the contractor
04 Dec 24: Contractor submitted the revised claim on 26 Nov 24 via ref 1TB01009-009C17-HAM-LTR-0041. Assessment report under process
12 Dec 24:Ditto
13 Jan 25:Ditto. under review with commercial
27 Jan 25: Planning has set up a Workshop with the Contractor on 26 Jan 25 to review and provide comments. Based on the Comments, Revise &amp; Resubmit shall be issued to the Contractor. contractor agreed to make the resubmission by 15 Feb 25
11 Feb 25: Letter rejecting and requesting additional details is in WF. WF-028628
24 Feb 25: Letter issued to Contractor 1TB01009-009C17-AMA-LTR-0051 on 13 Feb 25, revise and resubmit.
10 Mar 25: Ditto
23 Mar 25: Ditto
09 Apr 25: Ditto
20 Apr 25: contractor submittied additional details and is requesting clarification on the principles of the EOT claim and asserts that no additional details are needed for DE 1 (Delayed IFC Drawings), as the impact is undisputed. Action lies with contractor to submit a revised claim using  a window analysis method. Employer's response under preperation. RSG Planning team to schedule a WS with the contractor to assist the with the window analysis
05 May 25: Ditto, Draft response under process, targeted to issue to claims for review by 06 May 25
19 May 25:Additional particulars requested via AMA01009-GENCORR-004847 dated  14 May 2025.
26 May 25: Initiated the EI for DEOT  grants an Extension of Time for the Time for Completion to 26 March 2025 in WF (WF-043766)
01  June 25: 1TB01009-009C17-HAM-LTR-0084 (EOT rev 06) received on 25 May 25 without taking in consideration previous comments. (GENCORR-004847) Commercial to reject. Commercial drafting report, target date 12 June25. 
15 June 2025: Target date for report 19 June. GENCORR to be issued to Contractor in response to   1TB01009-009C17-HAM-LTR-0084 on 16 June 2025. 
16 Jun 25: response issued to contractor via aconex as GENCORR (ref: AMA01009-GENCORR-004967) to update and resubmit the claim
30-Jun-25: Employer reiterated their comments and asked the Contractor to incorporate those and resubmit through General Correspondence
14 July 25: Ditto
12 Aug 25: Ditto, commercial to issue a follow up
24 Aug 25: Ditto, commercial to issue a follow up drafted in the WF, date 26 August
7 Sep 25: Follow up letter (1TB01009-009C17-AMA-LTR-0072) issued to Contractor on 4 Sep 25
07 Oct 25: Ditto, comm to issue follow up letter
18Oct 25: Awaiting feedback from Contractor. There is  little possibility that they will resubmit the claim. The team is aiming for amicable settlement. 
20 Oct 25: Comm to set up a meeting with claims team to discuss
03 Nov 25: Second follow up letter requesting additional details (1TB01009-009C17-AMA-LTR-0076) issued on 2 Nov 25.
17 Nov 25: awaiting submission from the Contractor
01 Dec 25: Ditto, commercial to proceed with EAR based on the available details, same to be formally communicated with the contractor</text>
  </threadedComment>
  <threadedComment ref="AD49" dT="2025-08-26T05:32:33.75" personId="{C840B14E-9604-4731-8AA8-7C14D629FDE0}" id="{C8AAC333-C824-40C1-9346-0413B9F7FBA0}">
    <text xml:space="preserve">The Contractor submitted Extension of Time claim, which was subsequently withdrawn following the instruction of Variation Order No. 05 (VO 05) - Return Visit to Complete Works .. The Parties agreed that VO 05 provides an excusable, non-compensable extension of the Time for Completion and that the return visit would extend the Time for Completion to cover the period required to finalize the Works. The Contractor confirmed in withdrawal letter (1TB01005-005C18-ZSS-LTR-0054) that the withdrawal of its EOT claim will be based on this agreement. Hence the start date has been considered as this letter’s date
</text>
  </threadedComment>
  <threadedComment ref="BR49" dT="2024-12-12T07:13:41.61" personId="{C840B14E-9604-4731-8AA8-7C14D629FDE0}" id="{DF2862C7-687D-49D8-999B-91C839C85CD9}">
    <text>Commercial to review and responde within 21 days. With Planning for TIA 
12 Aug 24 - Project team comments being collated and draft response to be issued to Claims team this week. Draft response targeted to be issued this week
15 Aug 24: Initial response put on WF
18 Aug 24: Inital response issued to contractor via Letter ref: 1TB01005-005C18-AMA-LTR-0058 stating  the contractor's claim does not constitute a valid EoT claim &amp; to submit a fully detailed claim
26 Aug 24: awaiting response from contractor
09 Sep 24: Ditto. commercial to chase the contractor for the resubmission
24 Sept - Contractor responded on 18 Sept confirming they will submit a full claim submission
07 Oct 24: Contractor submitted a revised claim on 03 Oct 24: Commercial to review  (Letter Ref 1TB01005-005C18-ZSS-LTR-0037)
20 Oct 24 Claim rejected 1TB01005-005C18-AMA-LTR-0063 sent 17 October. Contractor to resubmit incorporating the employer's comments within 20 Business days
4 Nov 24: Awaiting contractor's response
10 Nov 24: received revised submission from contractor via letter ref 1TB01005-005C18-ZSS-LTR-0043
17 Nov 24 Site team preparing a response to letter for review by claims team.
04 Dec 24 Draft response from commercial team issued to claims team for their review (date)
05 Dec 24: Draft response reverted back to commercial with comments. Targeted to issue the response EoD today
12 Dec 24: employer's response put in for WF approval (WF-021849) on 05 Dec 24
11 Jan 25 - Discussions on-going to agree a NIL cost EoT with  the Contractor. Project team believe this is an acceptable position given RSG liability risk for design delays and sequence changes. This position is subject to an agreement on the revised ToC date. If the date is agreed. Is this an acceptable position strategy?
27 Jan 25: Zamil's works will be completed in Feb expect for the Works following the Dome install (Apr). As part of the PVO for the return visit to completed we propose to recommend a zero cost EoT and wording to be reviewed by Claims team prior to issue. RFA to be released to WF by 29 jan 25
09 Feb 25: RFA issued to Change team on 09 Feb 25 we will capture revised TfC period and end date as part of PVO/DVO. Planning have agreed to complete TIA assessment of the same as part of their RFC assessment.
24 Feb 25: WF-025370 with F Butt. Final approval due 25 Feb if no R&amp;R received.  Contractor to withdraw EOT
10 Mar 25 - VO issued and Project team have requested Zamil issue a letter to withdraw their EoT Claim. Zamil have verbally confirmed they will do this. Target date to determine VO and extend completion date is End Mar 25
23 Mar 25 - Project team chasing formal letter from Zamill to withdraw the EoT claim. Currently with Contractors Rep for signing.
07 Apr 25 - Discretionary Award prepared by planning and going through approvals - 206 days awarded of a maximum 295 day exposure. EoT withdrawal letter received from Contractor on 27 Mar 25 and being reviewed by Project team. Project to process DVO with EoT award by end of April.
09 Apr 25: Ditto
19 Apr 25: DVO sent to Contractor on 18th April (AMA01005-GENCORR-002300) with revised TOC date of 28 May 2025. awaiting Contractor's response
22 Apr 25:  commercial to check if the EOT withdrawal letter has been reviewed, also to check if there is a difference bw the TOC date and DEOT date, if so, commercial to discuss with claims team
05 May 25:Project teams confirms EoT withdrawal letter was received (1TB01005-005C18-ZSS-LTR-0054) and is acceptable to Project team. TOC date and DEoT date  to differ - agreed please can we have a call to discuss. Site expects the dome tank to be installed by the 9th May which is the trigger for the Contractor to complete in 4 weeks from that date. 
18 May 25 - Revised DVO issued with TOC date of 29th June - Dome Contractor returned to Site 18th May to commence installation of the dome.
01 June 25: Revised DVO rejected by Head of Planning. EoT to be produced by Contractor.
16 June 25: Ditto, awaiting contractor's revised submission
30 Jun 25: Discussions ongoing with Zamil on EoT. Site team will arrange a workshop including claims to agree on what the EoT document should consist of.
14 July 25: Ditto, commercial to issue a reminder letter
25 July 25: Final Works now ongoing on Site and completion expected in two weeks. They have requested guidance on a 'simple EoT'. Claims / Planning team to advise..</text>
  </threadedComment>
  <threadedComment ref="BR50" dT="2025-02-11T07:35:52.49" personId="{C840B14E-9604-4731-8AA8-7C14D629FDE0}" id="{F4D06D61-ED28-4748-96F6-3530F6C79802}">
    <text>11 Aug 24: EOT received on 08-August. Planning initial review ready. The response for formal submission through letter to be issued during the day. Commercial to review and respond to contractor within 21 days.
26 Aug 24: Initial response drafted (rejection- revise and resubmit), approved by Nigel, Draft Response put in WF on 25 Aug 24 (WF-012926)
02 Sep 24: Initial response issued to contractor on 28 Aug 24 to revise &amp; resubmit
09 Sep 24: awaiting response from  contractor
07 Oct 24: Ditto
4 Nov 24: P1 to update
10 Nov 24: Contractor submitted revised submission on 02 Nov 24 wide Raqtan-CLM-000003
17 Nov 24: Under review with commercial
04 Dec 24: Draft Response with Site legal team for review
15 Dec 24:  Letter sent to DC for WF. Advised to revise and resubmit as per comments to previous submission and  Workshop held with planning on 06 nov 24. 
29 Dec 24: letter issued to contractor via ref 1TB01002-002C07-AMA-LTR-0016 on 29 Dec 24
13 Jan 25: awaiting response from contractor
27 Jan 25:  EOT rev o2 , 1TB01002-002C07-RQN-FRM-PM-0003[C0]  received on 18 Jan 25. Since the revised claim remains of very poor quality, a formal response of 'revise and resubmit' will be issued. However, the planning and commercial teams are proceeding with the determination in the background. commercial to send the revised claim to planning 
10 Feb 25: Contractor was requested to provide additional particulars via Aconex AMA01002-GENCORR-002290 on Jan 30, 2025, and a response is awaited
23 Feb 25: Ditto
06 Mar 25: Response to the Contractor's EOT submission (Revise and Resubmit) under W/F approval. WF-022716
18 Mar 25: Letter response  (1TB01002-002C07-AMA-LTR-0021  dated 12 March 2025) was issued to the Contractor on 12 March 2025.
24 Mar 25: Awaiting response from contractor
09 Apr 25 : Ditto to above. This EOT is subject to Discretionary EOT route, revised completion date is 23 July  2025.
22 Apr 2025 - (DEOT) Discretionary  Extension of Time assessment  under review. Target of EI issuance on 30 April 2025
01 May 2025 - (DEOT) Discretionary  Extension of Time assessment  is under WF approval (WF-025230). DEOT was rejected and under revision as per SPD Comments.
05 May 25: Commercial to issue a letter to contractor to provide particulars within 2 weeks time
19 May 2025 - (DEOT) Discretionary  Extension of Time assessment  reference 1TB01002-002C07-AMA-RPT-PM-0001 already approved . Target of EI issuance to Contractor on 20 May 2025
21 May 25: Follow up letter issued to contractor to provide all relevant substantiation within 10 BD (1TB01002-002C07-AMA-LTR-0024)
15 Jun 25: Ditto
30 Jun 25: Ditto, awaiting contractor's submission. 
14 July 25: Ditto, commercial to start working on the report in the background with what's available while we await contractors submission
28 July 25: Ditto. Raqtan is not performing and there is not enogh info to close this EOT ( writing the assessent at this point of time is premature). Commercial to  follow up with contractor for detailed particulars 
11 Aug 25: 2nd follow up lettr issued on 11 August, 1TB01002-002C07-AMA-LTR-0029
24 August 2025: Awaiting Contractor's resubmission
08 Sep 25: Ditto
07 Oct 25: Ditto, Comm to start preparing the report in the background, 
18 Oct 25: 3rd  follow up letter issued on 09 October, 1TB01002-002C07-AMA-LTR-0032. Awaiting Contractor's resubmission
20 Oct 25: Ditto,  Awaiting response from contractor, comm to review and decide whether or not to reject or proceed with the assessment 
03 Nov 25: Revised EOT 1 (rev 2) submitted by Contractor on 21 Oct 2025 via Raqtan-CLM-000005. To be reviewed  by RSG Commercial team, targeted to finalise the report by 13 Nov 25
17 Nov 25: Under review by RSG Commercial team, targeted to finalise the report by 03 Dec 25
01 Dec 25: Ditto
13 Dec 25: EOT Workshop was conducted with RQN on Dec 3rd to resubmit the EOT Claim. A letter of Rejection of the current EOT claim is to be issued to Raqtan, WF-034601.
23 Dec '25 : RSG response to revise and resubmit the claim issued via 1TB01002-002C07-AMA-LTR-0038.
12 Jan 26: Ditto
27 Jan 26: Revised EOT claim was submitted via Raqtan-CLM-000006 on 30-Dec-2025, Targeted to finalise the Draft EAR and submit to claims by 01 Mar 26
07 Feb 26: Response  to EOT claim was issued to the Contractor  on 7-Feb-26 via AMA01002-CLRSP-000001, instructing the Contractor to revise and resubmit the EOT claim as per RSG's comments. 
23 Feb 26:  Awaiting resubmission from the Contractor
08 Mar 26: Ditto; Contractor to be reminded during Commercial meeting, comm to issue a reminder letter via aconex
11 Mar 26: contractor submitted updated claim via Raqtan-CLM-000007, under review with commercial</text>
  </threadedComment>
  <threadedComment ref="BR52" dT="2024-12-01T11:39:36.00" personId="{C840B14E-9604-4731-8AA8-7C14D629FDE0}" id="{B14D853C-A172-4093-843B-4AD640EE8942}">
    <text xml:space="preserve">11 Aug 2024: Notices not in place. Claim based on IFC changes. Under Review. Commercial to review and respond to contractor within 21 days.
25 Aug 24: Initial response drafted (rejection- revise and resubmit) , approved by Nigel, Draft Response put in WF on 25 Aug 24 (WF-012927)
02 Sep 24: Initial response issued to contractor on 28 Aug 24 via letter ref 1TB01002-002C22-AMA-LTR-0036 to revise &amp; resubmit
09 Sep 24: awaiting response
24 Sep 24: Contractor's response to our initial response recieved on 12 Sep 24 via CBE01002-GENCORR-000029. Commercial to review &amp; respond
07 Oct 24: AMAALA site Planning team &amp; Contractor working on submitting a revised claim
13 Oct 24: Letter issued to the contractor (1TB01002-002C22-AMA-LTR-0039) to revise &amp; resubmit as Contractor’s delay analysis does not comply with Contract
4 Nov 24: P1 to update
10 Nov 24: awaiting response from contractor
17 Nov 2024: Ditto, several email reminders were sent regarding the resubmission, but despite regular meetings between their planners &amp; AMAALA Planning Team, Cleveland is yet to submit an update.
28 Nov 24: Contractor submitted revised claim and particulars on 17 Nov 24 via CBE01002-GENCORR-000032
04 Dec 24; Contractor has withdrawn the EOT Claim and mentioned revised EOT claim will be submitted via Aconex email (CBE01002-GENCORR-000033) on 01 Dec 24.
13 Dec 24: the contractor submitted the revised claim on 06 Dec 24 via aconex email (CBE01002-GENCORR-000034). a WS was conducted btw commercial and contractor. commercial is working on a response to request for additional info
22 Jan 25: further to a recent workshop between the contractor and AMAALA planning team, the contractor has confirmed via aconex mail CBE01002-GENCORR-000041 dated 16 Jan 25 resubmission of the claim at the earliest
26 Jan 25 No update, except confirmation from planning that they are in communication with the  Contractorand  and that the Contractor is  is worigking on updates. The follow up communication to be issued to Contractor today. 
27 Jan 25: Targeted to issue a follow up letter by 30 Jan 25
10 Feb 25: The Commercial team followed up with the contractor via aconex AMA01002-GENCORR-002277 for resubmission on February 28, 2025
24 Feb 25: Ditto
10 Mar 25: Follow-up to the Contractor's EOT submission (Revise and Resubmit) under preparation by Commercial. 
18 Mar 25 : Letter response to Contractor's EOT submission (Revise and Resubmit) is  under preparation by Commercial
24 Mar 25: Awaiting response from contractor
06 Apr 25 : Awaiting response from contractor.  This EOT is subject to DEOT route, revised completion date is 09  April 2025. (Aconex WF-023865)
commercial update
14 Apr 25: a revised claim was recieved on 25 Feb 25 via CBE01002-GENCORR-000042, response issued to the contractor on 14 Apr 25 to revise &amp; resubmit (ref: 1TB01002-002C22-AMA-LTR-0048)
19 Apr 2025 - EI No. 01- (DEOT) Extension of Time to the Time for Completion – to 02 October 2024 (AMA01002-EMPI-000015)  was issued to Contractor on 14 April 2025
05 May 25: Action with contractor for resubmission
19 May 25: Ditto
12 June 25 Follow-up letter issued to the Contractor Claim for Extension of Time 1TB01002-002C22-AMA-LTR-0049	
16 Jun 25: Ditto
30 Jun 25: Ditto, awaiting contractor's resubmission. 
14 July 25: EOT claim submitted by Contractor (1TB01002-002C22-CBE-LTR-0012 dated 2 July 2025). Under review by Commercial team, 
24 July 25: Ditto.  Target date to be issued to Claims 5 Aug 2025. 
06 Aug 25: contractor submitted updated claim on 05 Aug 25 via 1TB01002-002C22-CBE-LTR-0015 (CBE01002-GENCORR-000047), commercial currently reviewing in coordination with site planners
06 Aug 25: Target date to be issued to Claims 7 Aug 2025. 
07 Aug 25: Draft report updated and sent back to planning clarifying the comments from planning team
12 Aug 25: An initial workshop with the Contractor is planned for 13 August 2025 to discuss any review feedback or comments prior to issuing the formal response
16 Aug 25: further to the WS between contractor's planning team &amp; AMAALA, QS team provided their key points discussed during the meeting, commercial to prepare response and submit to claims team for review
23 Aug 25:  The Contractor  resubmitted the EOT claim via CBE01002-GENCORR-000049 on 21 Aug 2025, adressing the Employer's comments issued via AMA01002-GENCORR-002742 on 16 Aug 2025. currently under review by Commercial team. target date to issue a draft report on 02 Sep 25.
31 Aug 25: EAR under final review with commercial (BK) prior to claims review
07 Sep 25: Targted to be reviewed on 08 Sep 25
23 Sep 25: EAR is being updated based on the comments received from Commercial/Claim team on 10th Sep 25 and is targeted to issue an updated EAR  to Commercial/Claim team on 29 Sep 25.
02 Oct 25: EAR Iis under review by MLH Commercial team, target to be issued to  Commercial on 07 Oct 25.
18 Oct 25: The Contractor submitted additional supporting documents for the EOT claim on 8 October 2025 (Ref: CBE01002-GENCORR-000051). Confirmation from the Delivery Team regarding the Right-of-Access dates is still pending. As discussed during the weekly EOT meeting held on 15 Oct 25, the Planning Team mentioned that they can assist in verifying the Right-of-Access dates. This information is critical to finalize the EAR.
20 Oct 25: Ditto, Commercial targeted to submit to claims team by (TBC)
28 Oct 25: Draft EAR sent to claims team for review
29 Oct 25: Draft report sent back to commercial with comments to update and resubmit 
03 Nov 25: Draft EAR was received from Claim's team on 29 -Oct-25. Target to be finalized by 6-Nov-25 for Claims further review.
17 Nov 25: Commercial team to finalise the report and issue to Claim team by (TBC)
01 Dec 25: Ditto, targeted to finalise the report and submit for claims team's review by 04 Dec 2025
13 Dec 25: EAR issued to Planning Team for TIA
15 Dec 25: Shaju to update
12 Jan 26: Ditto, targeted to finalise TIA by 13 Jan 26
14 Jan 26: TIA incorporated and sent to commercial for finalisation
17 Jan 26: Comm to elobrate the draft to explain the difference in the claimed days and the assessed days
22 Jan 26: Final Draft EAR sent to claims for review and Approval prior to WF initiation
27 Jan 26: The Contractor issued a reminder  to RSG via CBE01002-TRANSMIT-000154 on 20-Jan-26 for the issuance of  Time Impact assessment report. Sent to NE for pre-approval on 22 Jan.  targeted to revert by 30 jan 26
31 Jan 26: DE07 updated to Contractor with entitlement, and sent to planning to check if it will affect the TIA or not
02 Feb 26: Planning to revert by 03 Feb 26
03 Feb 26: TIA incorporated and sent to claims for review
</text>
  </threadedComment>
  <threadedComment ref="BR53" dT="2025-02-11T07:39:16.81" personId="{C840B14E-9604-4731-8AA8-7C14D629FDE0}" id="{A6CE8326-B943-4A06-A537-C08A2D0FA846}">
    <text xml:space="preserve">26 Aug 24: Commercial to review and respond to contractor within 21 days.
Please note, contractor's 1st submission was made on 19 May 24 for 209 days to which an initial response was made by the employer on 07 Jun 24 rejecting the claim and asking them to revise &amp; resubmit. This claim received on 11 Aug 24 is CB's resubmission following to our initial response
09 Sep 24: under review with commercial. to check with Mike
16 Sept 24 - Response letter in the WF- 016254 (rejection)
19 Sept 24 - Response letter was issued 1TB01006-006C20-AMA-LTR-0044
07 Oct 24: Awaiting response from the contractor
4 Nov 24: P1 to update
17 Nov 24: Awaiting response from contractor
04 Dec 24: Ditto. (Commercial to confirm)
12 Dec 24 - Awaiting Contractor's resubmission
22 Dec 24 - Awaiting Contractor's resubmission
12 Jan 25 - Received Contractor's submission on 11 Jan 25. Commercial to review.
27 Jan 25 - Entitlement and Chronology sent to site Planning team for the TIA Analysis on 23 Jan 25 
30 Jan 25: commercial to update the report using the correct template 
01 Feb 25: an intial review of the Contractor’s submission sent to planning an high level TIA assessment
08 Feb 25: draftf chronology was sent back to commercial to address planning teams comments 
09 Feb 25 - Response to Contractor was sent on 02 Feb 25 (AMA01006-GENCORR-002731) requesting additional particluars.
23 Feb 25 - ditto
10 Mar 25: Ditto
19 March 25 - Revised submission received on 5 March 2025. Commercial and planning to review.
24 March 25 - As per management decision, an Interim EOT Award without cost would be given to the Contractor by 31 March 2025 based on 2 delay events namely late access and due to additional works. Planning team to determine the EOT to be awarded.
07 April 25 - Detailed EOT Assessment is to be done instead of issuing a Discretionary EOT. Awaiting revised submission from the Contractor
20 Apr 25 - Awaiting revised submission from the Contractor
05 May 25 - AMA01006-GENCORR-003249 requesting additional particulars issued on 04 May 2025.
19 May 25 - Awaiting for Contractor's revised submission
26 Jun 25: Draft report sent to claim team for review while we await contractor's resubmission. commercial belives that it is unlikely that the contractor make a revised submission
14 Jun 25: Draft report sent back with comments to revise &amp; resubmit 
18 Jun 25: updated draft report sent to claims for review
21 Jun 25: Commercial to provide Stage 1 &amp; 2 BoQ to Plannign to proceed with TIA
29 June 25 - Assessment report with Planning team. Second Stage BoQ was provided to Planning. 
30 Jun 25: commercial to address comments from planning &amp; provide Contractor’s Revised Proposal, pursuant to Clause 12A.1, demonstrating the time impact and proposed Revised Time for Completion, for the Planning team assessment
01 Jul 25: Commercial to set up a meeting with F-planning to discuss regarding the increased qty in stage 2, whether the contractor is claiming time for teh qty change &amp; whether it impacted any activity durations
06 Jul 25: Contractor submitted updated claim via 1TB01006-006C20-CBE-LTR-0009 with one new DE, however contractor hasnt provided further particulars requested in employers previous letter.
08 Jul 25: Draft report sent to planning team for review
14 July 25 - Revised submission incorporated into the Assessment Report submitted to planning team on 8 July 25. planning team targeted to revert by 24 Jul 25
21Jul 25: Planning to finalize TIA and revert by 23 Jul 2025
28 Jul 25: Targeted to revert by 29 Jul 2025
04 Aug 25: Targeted to revert EoD
07 Aug 25: TIA incorporated and sent to commercial for finalization prior to Claims final review
12  Aug 25 - Assessment Report with Commercial for the final check before we send it to Claims for final check before WF.  To be sent to Claims on 12 August. Shaju sent on Thursday to Commercial .  
14 Aug 25: Final Draft Report sent to claims team for final review
16 Aug 25: Draft EAR sent back to commercial with amendments 
17 Aug 25: Final Draft report sent to KM for approval
21 Aug 25: EAR approved by claims and sent back to commercial to initiat WF
21 Aug 25 - Assessment Report now in Workflow (WF-035439)
04 Sep 25: EAR approved on 02 Sep 2025, Cover letter WF initiated under WF-035807
14 Sep 25: EAR issued to contractor via 1TB01006-006C20-AMA-LTR-0055
06 Oct 25 - Contractor submitted updated EOT Claim 01 on 07 Aug 2025 (CBE01006-GENCORR-000052) after the team has finished the EOT Assessment. The Employer had a meeting with the Contractor and agreed to submit an EOT Claim No. 02 covering all delay events to date. Letter has been issued to Contractor  requesting consolidated final EOT claim (Ref. 1TB01006-006C20-AMA-LTR-0056).
19 Oct 25 - Contractor submitted EOT 02 through Gen. Corr. reference CBE01006-GENCORR-000055, 1TB01006-006C20-CBE-LTR-0016 on 12 oct 25.  The Contractor included for all the events already assessed in EOT 01 and added additional delay events. </text>
  </threadedComment>
  <threadedComment ref="BR54" dT="2025-02-23T10:23:09.95" personId="{C840B14E-9604-4731-8AA8-7C14D629FDE0}" id="{07748AE1-8E84-4723-9234-06DFACDE539F}">
    <text xml:space="preserve"> The Contractor to submit the Extension of Time through a letter. 
A feedback on methodology given to Contract in a  workshop lead by HO planning department on 30 Sep 2024.  
Response will be  drafted based on the workshop comments.
Planning has provided their comments on 03 Nov 24 following the workshop
17 Nov 2024: The planning comments were emailed to the Contractor on 07 Nov 2024, following the workshop held on 30 Oct 2024. Commercial to issue a fomral initial response
04 Dec 2024; Draft letter response is being updated as per the Site legal team comments prior to send to Claims team's review
11 Dec 24: Draft response sent to claims for review on 04 Dec 24
15 Dec 24: Letter response in WF (with DC). 
12 Jan 25: Initial response issued to contractor on 31 Dec 24 1TB01002-002C04-AMA-LTR-0140
27 Jan 25 : No updates,a follow up communication to be issued to Shapoorji via email and Aconex. 
10 Feb 25: The Contractor was requested to provide additional particulars via email on Feb 4, 2025, and a response is awaited. Meanwhile, Commercial team is assessing the contractual merits of the delay events. Additionally, the Contractor has requested bi-weekly assistance workshops with Planning and Commercial,  the first session is on 16 February 2025.
24 Feb 25: Email response sent to  Contractor on 19 Feb 25. Letter response sent to claims on 18 Feb 25. 
25 Feb 25: Draft response sent planning for review
27 Feb 25: Draft response sent back to claims with amendments
01 Mar 25:  Claims reviewed &amp; reverted the draft response to commercial for issuance.
10 Mar 25: Response to the Contractor's EOT submission under W/F approval.  WF-022720
18 Mar 25: Letter response  (1TB01002-002C04-AMA-LTR-0149  dated O5 March 2025) was  issued  to the Contractor on 18 March 2025.
24 Mar 25: awaiting response from contractor07 Apr 25 : awaiting response from contractor.  This EOT is subject to Discretionary EOT route, revised completion date TBC.
19 Apr 2025 - (DEOT) Discretionary  Extension of Time assessment  under review. Target of EI issuance on 30 April 2025
01 May  2025 - (DEOT) Discretionary  Extension of Time assessment  is under WF approval (WF-025229)
05 May 25: Ditto, commercial follow up
17 May 25 - EI no. 1 - (DEOT)  Extension of Time to the Time for Completion – to  09 May 2025 (1TB01002-002C04-AMA-EMI-PM-0001)  was issued to Contractor on 13 May 2025
19 May 25: letter reminder for EOT,  reference  1TB01002-002C04-AMA-LTR-0164 under WF approval (WF-026492)
01 June 25: 1TB01002-002C04-AMA-LTR-0164 issued to Contractor on 21 May25. Contractor submitted the EOT Claim on 29 May 2025 1TB01002-002C04-SPM-LTR-0187. under review by Planning/ Commercial
14 June 2025 - Draft response is under review with Planning / Commercial ; Target date to formalize the response 19 June 2025
28 June 2025: Ditto
14 Jul 25: Draft report shared with Planning. internal review and updates are in process (target date to share the final report with claim team on 20th July 25)
28 Jul 25: Email sent to contractor requesting further clarifications and particulars
04 Aug 25: contractor submitted revised claim via : 1TB01002-002C04-SPM-LTR-0198 on 03 Aug 25. commercial and planning currently reviewing
12 Aug 25: Currently under review by the Commercial and Planning teams. An initial workshop with the Contractor is planned for 14 August 2025 to discuss any review feedback or comments prior to issuing the formal response
25 Aug 25: Currently under review by the Commercial team. The Contractor is expected to respond to our comments issued on 20 August 2025 via email, which were based on the initial EOT workshop held on 17 August 2025. The target date for issuance of the draft assessment report be confirmed upon receipt of the Contractor’s response along with the required additional particulars
08 Sept 25: contractor provided the requested documents via SPM01002-GENCORR-000438, EAR under process with commercial
02 Oct 25: The EAR is under review by MLH Commercial team, which is targeted to  be issued to the EOT Claims reviewing team on 09-Oct-2025.
18 Oct 25: The Contractor submitted additional EOT claim supporting documents on 16-Oct-25 via SPM01002-GENCORR-000478.  currently under review by Commercial team. target date to issue the  EAR to claims team on 23 Oct 25.
02 Nov 25: The  EOT claim is  currently under review by Commercial team. target date to issue the  EAR to claims team on 06 Nov 25.
10 Nov 25: during the meeting held on 16 Oct 25 with the contractor, the contractor confirmed that it will submit further supporting documents by 13 Nov 25. commercial's revised target date to finalise the EAR moved to 24 Nov 25
13 Nov 25: Contractor submitted additional EOT claim supporting documents on 13-Nov-25 via email, currently under review by Commercial team. 
17 Nov 25: targeted to issue by 23 Nov 25.
01 Dec 25: SPM submitted additional information on 15 Nov '25 regarding the RFIs and further information on 23 Nov '25 regarding IFCs.The commercial requested that the info should be submitted via Aconex (AMA01002-GENCORR-002981 dated 24 November 2025).  contractor to submit the same via aconex, in the meant time commercial is preparing the EAR in the background. Revised target date to issue the report for claims review based on recent information is 8 Dec '25
13 Dec 25: Commercial team requested additional support document, specifically IFC related delay events during the workshop held on 10 Dec 25 at site,  which will be formalised via Aconex.  The Contractor issued outstanding correspondence related to AMA01002-GENCORR-002981 dated 24 November 2025 were issued via  aconex ref SPM01002-GENCORR-00050 dated 13 December 2025. 
15 Dec 25: further particulars were requested via (AMA01002-GENCORR-003024) on 14 Dec 25, commercial targeted to finalise the report by (08 Jan 25), EAR being prepared in the background while we await further particulars from the contractor
5 Jan '26 : A reminder sent to the Contractor via AMA01002-GENCORR-003036 as a follow-up to receive the response to RSG's comments issued on 14 Dec '25
12 Jan 26: Ditto, comm to issue a 2nd reminder 
27 Jan 26: Awating response from Contractor, comm to issue a 2nd reminder 
07 Feb 26: Awaiting response from the Contractor, However, the draft EAR shared with BK for further review (as it is the priority item as per the HOC's list)
09 Feb 26: Ditto
23 Feb 26: A reminder to response to RSG's comments  was issued to the Contractor on 18-Feb-2026 via AMA01002-GENCORR-003122. In parallel, DRAFT EAR is under preparation as this item is included within the HOC's prority list.
08 Mar 26:  Ditto
02 Apr 26: Contyractor provided additional particulars related to DE-05, DE-06 and DE-7 requested by the Employer, linking the Claim chronology to impacted activities in Contractor’s TIA (Appendix DE-05, Appendix DE-06, Appendix DE-07) 
05 Apr 26: Draft EAR sent to Claims Team for review 
06 Apr 26: EAR sent back to commercial with comments to resubmit
08 Apr 26: Revised &amp; updated EAR sent to claims team for review // reviewed and sent to planning for TIA on the same day
13 Apr 26: Planning team responded with comments &amp; clarification
14 Apr 26: commercial responded with providing access to the backup files to be read in conjunction with the report
20 Apr 26: Commercial and Claims review completed. Currently, with Planning team for TIA as of 14 April 2026
22 Apr 26: Planning responded requesting further clarifications on DE#03
23 Apr 26: Updated draft EAR sent back to planning for TIA
27 Apr 26: Targeted to revert by 14 May 26
04 May 26: Ditto</text>
  </threadedComment>
  <threadedComment ref="BR55" dT="2025-06-29T15:12:32.07" personId="{C840B14E-9604-4731-8AA8-7C14D629FDE0}" id="{EC3908BA-B622-4276-99D9-2A230326DBCA}">
    <text>3 Nov 2024 - Interim Claim EOT No.1 received thorugh letter ref. 1TB01006-006C15-SPM-LTR-0159 dated 2 Nov 2024
commercial to respond within 21 days from the reciept of the claim.
04 Dec 24: Commercial team preparing the initial response
12 Dec 24 - Draft response under preparation
05 Jan 25: Sent draft response to Claims
12 Jan 25 - Draft response approved by Claims team and is now currently in the Workflow for signature.
25 Jan 25 - Response sent to Contractor on 16 Jan 25 (Letter ref. 1Tb01006-006C15-AMA-LTR-0140). Planning and Commercial conducted a Workshop with Shapoorji on 23 Jan 25. commercial to follow up with contractor and get a target date
16 Feb 25 - Awaiting Contractor's revised  submission
24 Feb 25- ditto
10 Mar 25: Ditto, Commercial to follow up
24 Mar 25: awaiting submission from contractor
09 Apr 25: Ditto
20 Apr 25 - Revised submission received from the Contractor Ref. 1TB01006-006C15-SPM-LTR-0196) on 26 March 2025
22 Apr 25: under review with commercial, targeted to finalise by 08 May 25
30 Apr 25: Draft response sent to claims for review
04 May 25: Draft response sent back to commercial with comments and suggestions. commercial to amend and proceed with WF
11 May 25 - Discretionary EOT issued  to Contractor  Ref. 1TB01006-006C15-AMA-EMI-CM-0004. 
18 May 25 -  Response to Contractor's revised submission issued on 06 May 25 (1TB01006-006C15-AMA-LTR-0163 
14 June 25 - letter advsing Contractor that Revised Programme is not required was approved and to be issued to the Contractor. Ref. 1TB01006-006C15-LTR-0169
30 June 25 - Awaiting Contractor's revised submission
14 July 25 - Awaiting Contractor's revised submission
23 July 25 - Awaiting Contractor's revised submission
28 JUl 25: Ditto, commercial to follow-up
12 Aug 25: Follow-up letters sent Ref. 1TB01006-006C15-AMA-LTR-0179 dated 05 August. Revised submission received  Ref. 1TB01006-006C15-SPM-LTR-0226 on 03 August2025. Commercial to review and discussed way forward with planning by 16 August 2025
25 Aug 25 - Commercial is drafting the entitlement and chronology , target date to issue to Claims 06 September 2025
06 Sept 25 - Further particulars were requested from the Contractor (Letter Ref. 1TB01006-006C15-AMA-LTR-0197 dated 02-Sep-25)
18 Sept 25 - Further particulars received via 1TB01006-006C15-SPM-LTR-0237 on 14 Sep 25. Under review by Commercial - 
04 Oct 25 - Commercial is preparing the report. Target to issue first draft on 10 Oct 25.
19 Oct 25 - Under review with Commercial, targeted to submit for claims team's review by 23 Oct 25
03 Nov 25: Ditto, target date 07 Nov 25.
10 Nov 25: Target date moved to 13 Nov 25
17 Nov 25 - report under preperation with commercial, Targeted to submit for claims team's review by 23 Nov 25
29 Nov 25 - EAR will be sent to Claims for review by the end of the week (04 Dec 25)
01 Dec 25: Ditto
14 Dec 25: targeted to be sent to calims by 18 Dec 25. 
16 Dec 25: Draft EAR sent to claims fore review
21 Dec 25: Draft EAR sent back comm with review and comments
10 Jan 26 - Draft EAR with BK (awaiting further particulars from SPM that was requested via email) 
12 Jan 26: comm targeted to submit the EAR for claims review by 19 Jan 2025
19 Jan 26: further particulars received via email on 08 Jan 2026, updated draft EAR sent to claims team for review
20 Jan 26: EAR sent back to commercial with comments to update and resubmit
21 Jan 26: Updated Draft EAR sent to Claims team for final review prior to planning's TIA
23 Jan 26: Draft EAR sent to Planning for TIA
27 Jan 26 - Targeted to revert back with comments end of teh day today
28 Jan 26: Claims to address the comments raised by planning // commercial responded to the queires raised by Planning
29 Jan 26: planning requested further clarification on DE#03
02 Feb 26: commercial responded with the Draft EAR and clarifications on the queries raised by Planning // email exchanges between commercial and planning raising queries &amp; clarifications. action currently with planning to commence TIA
05 Feb 26: Updated draft EAR sent to Planning to proceed with TIA
07 Feb 26 - Email exchanges between Planning and Commercial. Finally agreed Planning to proceed with the TIA.  Updated EAR sent to Planning on 05 Feb 26
09 Feb 26: Target date moved to 26 Feb 26
16 Feb 26: Ditto, TIA under process
23 Feb 26: Ditto</text>
  </threadedComment>
  <threadedComment ref="BR56" dT="2025-10-19T12:18:00.20" personId="{C840B14E-9604-4731-8AA8-7C14D629FDE0}" id="{75A05CCD-2BB6-4B16-A885-45C646DD6FD4}">
    <text>3 Nov 2024 - EOT Claim No.1 received through Transmittal ref. RAQTAN-CLM-000001 dated 31 Oct 2024
17 Nov 24: Claim was rejected (Revise and resubmit) letter Ref/ 1Tb01006-006C06-AMA-LTR-0018 
04 Dec 24: Ditto. Awaiting contractor's resubmission
12  Dec 24 - Awaiting Contractor's resubmission
12 Jan 25: Ditto
27 Jan 25 - Ditto. commercial to follow up with contractor and get a target date for the resubmission
09 Feb 25 - Awaiting for Contractor's revised submission. Reminder sent to Contractor (AMA01006-GENCORR-002811
11 Feb 25 - Revised EOT submission received on 30 Jan 25 (Raqtan-TRANSMIT-000105). Commercial is reviewing
11 Feb 2025 Additional particulars requested, AMA01006-GENCORR-002834
16 Feb 25 - Awaiting Contractor's revised submission 
24 Feb 25 - Ditto
10 Mar 25: Ditto
24 Mar 25: Ditto
09 Apr 25: Ditto
22 Apr 25: Ditto, commercial to chase the contractor for resubmission
03 May 25 -  Follow-up letter under WF-029852
05 may 25: Ditto
18 May 25 - Awaiting for Contractor's revised submission (follow up letter issued on 05 May (1TB01006-006C06-AMA-LTR-0028)
02 Jun 25: DEOT put in WF (WF-032410 - AMA01006-WTRAN-090895)
15 Jun 25: DEOT issued to contractor AMA01006-EMPI-000020
28 June 25 - Awaiting Contractor's revised submisison
14 July 25 - Awaiting Contractor's revised submission
23 July 25 - Awaiting Contractor's revised submission.  Raqtan is not performing an there is not enogh info to close this EOT ( writing the assessent at this point of time is premature) . 
28 JUl 25: Ditto, commercial to followup
12 Aug 25:  2nd follow-up letter sent on 10 August,  1TB01006-006C06-AMA-LTR-0032
25 August 2025: Awaiting Contractor's resubmission
08 Sep 25: Ditto
06 Oct 25 - Ditto, Comm to start preparing the report in the background
20 Oct 25 - Awaiting Contractor's revised submission, comm to review the information available to date to determine the outcome wthr or not to proceed with the assessment
21 Oct 25: Contractor submitted updated claim via Raqtan-CLM-000003 on 13 Oct 25, currently under review with commercial tem
03 Nov 25 Ditto, target date  10 Nov 25
17 Nov 25 - Planning provided input on 15 Nov 25 - methodology is acceptable and can proceed with the assessment, EAR udner process with comm, targeted to finalise the EAR by 01 Dec 2025
29 Nov 25 - Draft response under review with commercial, 
01 Dec 25: targeted to submit to claims team by 11 Dec 2025
13 Dec 25; Rejection letter sent to Contractor(Ref. 1TB01006-006C06-AMA-LTR-0043)
10 Jan 26 - Awaiting revised submission from the Contractor
12 Jan 26: comm to issue a follow up letter
13 Jan 26: follow up letter put in WF-040195
15 Jan 26: Contractor submitted updated claim via Raqtan-CLM-000004, under review with commercial
19 Jan 26: currently with site planning team to review the TIA methodology used by the contractor
20 Jan 26: site planning team confimred the methodology submitted by the contractor as accepted. commercial to proceed with EAR draft
27 Jan 26 - Planning intial review received on 20 Jan. Intial draft EAR target date - 8 February 26
04 Feb 26: further comments received from planning to be incorporated in the response letter to contractor
07 Feb 26 - Claim responded on 05 Feb 26 - requesting to resubmit as stand alone EOT 01 without reference to the issued Discretionary EOT. Further particulars were also requested (Ref. AMA01006-CLRSP-000002). Awaiting Contractor's revised submission
09 Feb 26: Ditto
23 Feb 26: Ditto
09 March 26: Awaiting Contractor's revised submission, comm to issue a follow up letter via aconex
15 Mar 26: Updated claim received on  15 March 26 via Raqtan-CLM-00005, under review with commercial 
02 Apr 26: possible HELAR candidate. Clarification requested on chronology on 02 April 2026 AMA01006-GENCORR-004519</text>
  </threadedComment>
  <threadedComment ref="BR57" dT="2025-01-06T13:13:19.32" personId="{C840B14E-9604-4731-8AA8-7C14D629FDE0}" id="{1D4F75C9-7ADF-45D0-BE7C-1EB9791E31EE}">
    <text xml:space="preserve">EOT Claim submitted 8 Oct 2024 - requesting 145 days extending the completion date from 12 December 2024 to 6 May 2025
03 Nov 2024 - under review with the Commercial and Planning Team.
17 Nov 2024: AMAALA’s initial comments regarding DEPA’s window Time Impact Analysis included in their EOT-01 submission were sent to DEPA under 1TB01003-003C09-AMA-LTR-0089 on 05 November 2024. In the meantime, as DEPA’s date of Completion of Works per Contract is 13 December 2024, a Request for Approval (RFA) will be prepared to waive applying Liquidated Damages on DEPA’s payments until reviewing and finalising the assessment of DEPA’s EOT-01.
04 Dec 24: DEPA submitted a revised window Time Impact Analysis on 26 Nov 24 via 1TB01003-003C09-DCC-LTR-0171 in response to AMAALA's initial comments on the EOT-01 submitted.
09 Dec 24: EOT Report sent to Claims for review prior to the TIA analysis by planning 
12 Dec 24: report sent to planning for TIA
14 Dec 24: Plannign made their comments on the chronology. commercial to add the ref of the latest claim submission by the contractor 
18 Dec 24 : Commercial updated and issued to Delivery to provide additional comments and information as per Planning request 
23 Dec 24: Planning provided comments or DEs, commercial to provide further clarification, information to support the analysis. associated response letter currently in WF approval process (WF-010150)
11 Jan 25: awaiting contractor to provide required info requested in the letter issued on 07 Jan 25 (1TB01003-003C09-AMA-LTR-0102)
09 Jan 25: Amaala requested additional information from the contractor via letter ref. 1TB01003-003C09-AMA-LTR-0102 dated 7 Jan 2025
27 Jan 25 - Commercial sent a reminder to the contractor to respond via aconex ref AMA01003-GENCORR-000964 on 18 Jan 25
30 Jan 25: Contractor submitted revised claim via 1TB01003-003C09-DCC-LTR-0202 dated 30 Jan 25 with further particulars. </text>
  </threadedComment>
  <threadedComment ref="BR58" dT="2025-03-24T05:58:34.30" personId="{C840B14E-9604-4731-8AA8-7C14D629FDE0}" id="{7DE6ADD3-8FAE-46E1-9801-44C04C1EC778}">
    <text xml:space="preserve">Employer's Review on claim received on 14th Nov 2024 is under process. Commercial team to issue initial response within 21 days from the receipt of the claim
04 Dec 24: intial response under process
15 Dec 24: Ditto
13 Jan 25: Al Saad has verbally agreed to withdraw this extension of time request, as the request is for an extension until December 2024. Al Saad has already received an extension until December due to the dewatering variation order. Awaiting Al Saad's official Confirmation 
27 Jan 25: PVO currently under process to exted the dewatering until April 25. RFC in WF-012627
10 Feb 25: Ditto
</text>
  </threadedComment>
  <threadedComment ref="BR60" dT="2025-02-23T10:45:47.57" personId="{C840B14E-9604-4731-8AA8-7C14D629FDE0}" id="{D4F5379C-11E6-4CA4-B6C6-D624B5E3484B}">
    <text>10 Dec 24: Contractor submitted the claim for 60 days and a proposed accelerated schedule to reduce the delay from 108 to 60 days on 20 Nov 24. An Initial response was made via aconex email on 21 Nov 24 (AMA01031-GENCORR-000929) to revise &amp; resubmit with further particulars. Contractor then submitted a revised claim on 23 Nov 24 under same letter reference via Transmittal (MME01031-TRANSMIT-000043). An initial draft assessment report is now sent to Claims team for an intial review on 10 Dec 24</text>
  </threadedComment>
  <threadedComment ref="BR60" dT="2025-04-20T11:42:27.70" personId="{FA2D4155-11CE-416B-8A98-DB844587F19F}" id="{699F9F8F-2977-47C7-A3D1-F2137781D4B6}" parentId="{D4F5379C-11E6-4CA4-B6C6-D624B5E3484B}">
    <text xml:space="preserve">
22 Dec 24: Draft report sent back to commercial to resubmit the report with the latest template.
25 Dec 24: commercial sent the revised &amp; updated EOT report to claim for review
13 Jan 25: Under review with claims
21 Jan 25: forwarded to Planning team for TIA</text>
  </threadedComment>
  <threadedComment ref="BR61" dT="2025-10-07T06:19:02.15" personId="{C840B14E-9604-4731-8AA8-7C14D629FDE0}" id="{9D041260-A0B4-4324-B581-1FB1C1EF63C0}">
    <text>12 Dec 24: Being reviewed. Initial response shall be issued.
12 Jan 24: Initial response is being drafted in coordination with Planning. Will be issued for review by 15 Jan 24
23 Jan 24: contractor submitted updated interim claim # 2 on 18 Jan 2025 via letter ref 1TB01009-009C19-HAM-LTR-0024
27 Jan 25: Initial response being prepared. Will be issued before 29 Jan 25. action with commercial &amp; planning
11 Feb 25: Initial response being drafted
17 Feb 25: Planning has provided their input, commercial to finalise the initial response
11 Feb 25: Initial response being drafted
24 Feb 25: Ditto
10 Mar 25: Ditto. targeted to issue to claims for review end of this week
23 Mar 25: Revise &amp; Resubmit letter issued to Contractor on 17 Mar 25. Ref. - 1TB01009-009C19-AMA-LTR-0043. 
19 Apr 25: Ditto
05 May 25: Ditto, commercial to chase
19 May 25: Standard follow-up letter issued.1TB01009-009C19-AMA-LTR-0049 dated 18 May 2025
27 May 25: Contractor responded to the Employer's letter requesting the Employer to respond on the merit for the Contractor's Claim
27 May 25: Contractor submitted updated interim report # 3 via letter ref 1TB01009-009C19-HAM-LTR-0040 on 27 May 25. Under review with commercial, target date for response 22 June 2025.  
26 May 25: Initiated the EI for DEOT in WF (WF-043767)
14 June 2025, EI for DEOT to be issued, WF approved on 11 June 2025. 1TB01009-009C19-AMA-EMI-PM-0005
26 Jun 25: Contractor replied to the DEOT clarifying gather corresponding cut-off date for the granted EOT and seeking confirmation on removal of Intermediate Milestones
30 Jun 25: Contractor's latest submission is being reviewed. If no further details are required, Assessment report shall be prepared.
13 Jul 25: Ditto, targeted to issue a response letter to claim today (on 13-July).
14 Jul 25: Draft response sent to claims team for review
27 Jul 25: Draft response approved and sent back to commercial team for issuance ( draft is in WF-050740)
12 Aug 25: Comments on the latest Contractor's submission provided to Contractor , 1TB01009-009C19-AMA-LTR-0053 dated 5 Aug 25.
25 Aug 25: Awaiting Contractor feedback
08 Sep 25: Ditto
07 Oct 25: Ditto
18 Oct 25: Ditto. There is  little possibility that they will resubmit the claim. The team is aiming for amicable settlement. comm to review the information available to date to determine the outcome wthr or not to proceed with the assessment
03 Nov 25: The Contractor resubmitted the claim  with the updated details which is under review (1TB01009-009C19-HAM-LTR-0044 dated 23 Oct 25) . target date 20 Nov 25.</text>
  </threadedComment>
  <threadedComment ref="BR62" dT="2025-05-04T10:56:22.52" personId="{C840B14E-9604-4731-8AA8-7C14D629FDE0}" id="{02ABE6EE-4EC4-418F-AE6E-C126E861AFE7}">
    <text>14 Dec 24: Formal response letter prepared by RSMLI Commercial team and sent to claims for review
05 Jan 24: Intial response issued to contractor on 16 Dec 24 to resubmit the claim
15 Jan 25 - Awaiting further response from Contractor
23 Jan 25: Ditto
27 Jan 25: Ditto. comemrcial to issue a follow up letter
09 Feb 25: Commercial to assess merit of existing Claim based on current information and site planning team to do the same. Site discussions ongoing with the Contractor to agree the Costs and revised end date. Target for draft report to planning by 20 Feb 25 and costings is 28 Feb 25.
24 Feb 25: Draft report not yet commenced, revised target 06Mar.
09 Mar 25: Draft report preparation on going - will be issued to Claims by 13 Mar
10 Mar 25: Draft report preparation on going while awaiting resubmission from contractor - targeted to be issued to Claims by 13 Mar
23 Mar 25 - Project team finalising report, target issue to Claims by 30 Mar
09 Apr 25 - Ditto - target date mid Apr
19 Apr 25 - Revised ToC submitted by Contractor on 5th April  (1TB01005-005C24-PRA-LTR-0011). Project team working on EoT assessment report. commercial to commit a date for finalisation of the claims by next meeting
05 May 25 - Information recieved from the delivery team on 22 Apr. Commercial will finalise the report by the 22nd May
19 May 25 - Commercial assessment report will be issued to claims by 22 May. Planning rejected the revised Contractor's revised TIA assessment following a workshop with the Contractor on the 13th May. The Contractor will update and resubmit. Rejection letter issued in WF-029469  (1TB01005-005C24-AMA-LTR-0036)
29 May 25: Draft EAR sent to claims team for review
01 June 25 - EOT Commercial assessment report issued to claims. Discretionary award EI in WF (Aconex ref WF-030051).
Discretionary award EI issued on  15 June 25 via aconex Ref: 1TB01005-005C24-AMA-LTR-0037
15 Jun 25: EAR with claims for review
17 Jun 25: further to a meeting bw planning and claims, an early draft report of the Pangea shared with planning team to start with the TIA
23 Jun 25: Contractor to resubmit updated claim to proceed with TIA
30 Jun 25: Site team chasing the revised TIA - note Contractor not currently on Site as no Work avilable due to delays by others.
14 Jul 25: Ditto
25 Jul 25: Revised Claim submitted 13 Jul 25 (1TB01005-005C24-PRA-LTR-0016). Assessment report ongoing.
12 Aug 25: commercial report firtst draft under review with BK. To be sent to Claims by 13-14 August .
19 Aug 25: Draft report sent to claims team for review
25 Aug 25: Report issued to Claims team on 19 Aug 25, targeted to revert by 04 Sep 25
08 Sep 25: Targeted to revert by 12 Sep 25
26 Sep 25: Draft report reviewed and sent back to commercial to update the report with relevant references and resubmit
02 Oct 25: Draft EAR sent to claims for review
06 Oct 25:  Ditto</text>
  </threadedComment>
  <threadedComment ref="BR63" dT="2025-04-20T11:46:51.75" personId="{FA2D4155-11CE-416B-8A98-DB844587F19F}" id="{671AF491-4696-4BCE-A5FE-B8AFA8BC768B}">
    <text xml:space="preserve">14 Dec 24: EOT submission under review by RSMLI planning team
15 Jan 25 - Claim rejected 1TB01005-005C06-AMA-LTR-0048 (31st Dec) and we await Salco response.
23 Jan 25: contractor has requested 15 days extension for resubmission via letter 1TB01005-005C06-SSC-LTR-0034 on 20 Jan 25. action remains with contractor
27 Jan 25: Ditto
11 Feb 25: Revised claim submitted 02 Feb 25 (1TB01005-005C06-SSC-LTR-0040). Not a vast improvement on the first and no costs included. Commercial to complete a report and issue to planning by 15 Feb 25. They have clear entitlment to an EoT.
24 Feb 25: Draft report issued to BK on 23 Feb. targeted to sent to claims team Eod
10 Mar 25: Draft report sent to planning for TIA
16 mar 25: Draft sent back to commercial with to validate the access dates chronology and to provide substantiations 
23 Mar 25: Planning team requested further information from Project team and this is being actioned. commercial to chase delivery team
09 Apr 25 - Discretionary EOT prepared by planning and go through approvals - 150 days awarded of a maximum 301 day exposure.
19 Apr 25 - Planning and delivery teams have not provided date information as requested. Commercial continue to chase. Revised Programme has been requested as part of discretionary EoT award. 
28 Apr 25: Planning provided their comments to  commercial to advise the contractor resubmit the claim 
04 May 25 - Date provided by delivery team on 27 Apr and issued to planning team on 03 May.
05 May 25: Planning conducted an initial review and advise that the contractor resubmit the claim in accordance with the contract, commercial to draft a letter and submit to claims &amp; planning for review
06 May 25: Draft response reviewed by claims, commercial to proceed with issuance
07 May 25: DEOT issued to contractor via 1TB01005-005C06-AMA-LTR-0063
19 May 25 - Rejection letter issued (1TB01005-005C06-AMA-LTR-0064) on 13th May 2025. We await the revised and updated claim. DEOT/EI  issued on 07 May 25, awarded upto 29 May 25
14 June 25: Ditto
30 Jun 25: Salco are arranaging a workshop with RSG site planning team to ensure TIA is in correct format
14 Jul 25: Awaiting revised TIA from Contractor. 
25 Jul 25: Awaiting revised TIA from Contractor. 
28 Jul 25: commercial to follow up
12 Aug 25 - Follow-up letter going through WF-032860  approvals, 1TB01005-005C06-AMA-LTR-0076 dated on 04 Aug 2025
25 Aug 25: contractor submitted revised claims via 1TB01005-005C06-SSC-LTR-0079 on 21 Aug 25 and being reviewed by Project team. </text>
  </threadedComment>
  <threadedComment ref="BR64" dT="2025-05-05T05:40:01.05" personId="{C840B14E-9604-4731-8AA8-7C14D629FDE0}" id="{751CC6FB-F014-418D-B181-BBCAD4F48D44}">
    <text>21 Dec 24 - Extension of Time Claim No. 01 received from the Contractor through letter ref. 1TB01006-006B01-MGS-LTR-0013
13 Jan 25 - Under review by the Commercial team. Commercial to prepare and issue the initial response withn 21 days from the reciept of the claim</text>
  </threadedComment>
  <threadedComment ref="BR65" dT="2025-12-01T06:35:57.09" personId="{C840B14E-9604-4731-8AA8-7C14D629FDE0}" id="{2580E1BB-7566-4A52-BCD0-AA59ECD97C0E}">
    <text xml:space="preserve">21 Jan 25 - EoT Claim No. 1 received from Contractor on 14 Jan 25
27 Jan 25 - Under review by the Commercial, commercial to issue the intial letter within 21 days from the receipt of claim
09 Feb 25 - Draft resposne approved by Nigel /PG and currently in the WF for approval to issue (WF-024677) Ref. 1TB01006-006C23-AMA-LTR-0054
16 Feb 25 -  Under WF approval, currently with Stuart Prosser.
24 Feb 25 - Response to Contractor was issued on 19 Feb 25 1Tb01006-006C23-AMA-LTR-0054
10 Mar 25: Ditto
07 Apr 25: Ditto
20 Apr 25: Awaiting revsied submission from the Contractor, commercial to chase the contractor for resubmission
20 Apr 25:Revised EOT received on 17 April 2025,  REA-TRANSMIT-000190,under review with commercial and planning.
05 May 25 - Under review by Commercial and Planning
18 May 25 - Response  sent to Contarctor on 14 May 25 (Ref. 1TB01006-006C23-AMA-LTR-0068)
16 Jun 25: Ditto
30 June 25 - Awaiting Contarctor's revised submission
14 July 25 - Awaiting Contractor's revised submission
23 July 25 - Awaiting Contractor's revised submission. A Part of the  works was  descoped, not enough info to proceed with the report.  
28 Jul 25: comm to follow up 
12 Aug 25: Follow-up letter issued Ref. 1TB01006-006C23-AMA-LTR-0079 dated 10 Aug 2025
25 August 2025: Awaiting Contractor's resubmission
08 Sept 25 - Awaiting Contractor's resubmission, comm to follow up with contractor via Aconex
06 Oct 25 :Second follow-up letter was issued on 01 Oct 25 (Ref. 1TB01006-006C23-AMA-LTR-0082).
19 Oct 25 - Awaiting Contractor's revised subnission. comm to review the information available to date to determine the outcome wthr or not to proceed with the assessment
25 Oct 25 -  Ditto, Contractor said that they will submit this week.
03 Nov 25: Ditto, comm to issue a follow up letter this week
17 Nov 25 - Awaiting Contractor's revised submission (Comm to provide ref of the follow up letter)
29 Nov 25 - Follow-up letter was sent to the Contractor on 17 Nov 2025 (Ref. AMA01006-GENCORR-003943.
01 Dec 25: Comm to commence internal EAR, same to be communicated formally with the contractor
13 Dec 25: Revised EOT 01 submission received (on 05 Dec 25) (Ref. 1Tb01006-006C23-RMA-LTR-0107), under review by Commercial. </text>
  </threadedComment>
  <threadedComment ref="BR66" dT="2025-11-03T05:10:20.96" personId="{C840B14E-9604-4731-8AA8-7C14D629FDE0}" id="{425E45E4-CAA5-4C08-A1A4-4B1CF2ECF0CB}">
    <text>26 Jan 2025 Draf letter response sent to commercial/legal on 22 Jan 25. 
27 Jan 25: commercial to issue the intial response within 21 days from the receipt of claim
30 Jan 25: initial response draft sent to claims for review
02 Feb 25: draft response sent back to commercial on 02 Feb 25 with minor amendments, commercial to issue initial repsonse to contractor
10 Feb 25: A response was issued (1TB01002-002C24-AMA-LTR-0051) to the contractor on February 9, 2025, requesting revision and resubmission
23 Feb 25: Ditto
10 Mar 25: Ditto
07 Apr 25 : Ditto to above. This EOT is subject to Discretionary EOT route, revised completion date is 22 May 2025.
09 Apr 25: contractor submitted a revised claim on 07 Apr 25, commercial to review
19 Apr 2025 - (DEOT) Discretionary  Extension of Time assessment  under review. Target of EI issuance on 30 April 2025
22 Apr 25: commercial to commit a date by next meeting
01 May  2025 - (DEOT) Discretionary  Extension of Time assessment  is under WF approval (WF-025232)
05 May 2025 -  Response to REEM's EOT  claim planned to be issued on 11 May 2025.
17 May 2025 - (DEOT) Discretionary  Extension of Time assessment ,  reference 1TB01002-002C24-AMAEMI-PM-0001  was issued  to Contractor on 15 May 2025
19 May 25: letter response to Contractor's claim for EOT,  reference  1TB01002-002C24-AMA-LTR-0063 was accepted with comments from SPD
01 June 25: letter response to Contractor's claim for EOT,  reference  1TB01002-002C24-AMA-LTR-0063 was issued to the Contractor on 25 May 25
30 June 25: Ditto, awaiting contractor's resubmission
13 July  25: Ditto, awaiting contractor's resubmission
23 July 25 - Awaiting Contractor's revised submission. A Part of the  works was  descoped, niot enough info to proceed with the report.  
28 Jul 25: comm to follow up 
12 Aug 25:  Follow-up  letter  1TB01002-002C24-AMA-LTR-0074 issued on 11 Aug 2025
25 August 2025: Awaiting Contractor's resubmission
08 Sept 25 - Awaiting Contractor's resubmission, comm to follow up with contractor via Aconex
06 Oct 25: Awaiting the Contractor’s resubmission. 2nd follow-up letter was issued to Contractor via  letter 1TB01002-002C24-AMA-LTR-0081 on 28-Sep-2025.
18 Oct 25: Awaiting the Contractor's resubmission, comm to review the information available to date to determine the outcome wthr or not to proceed with the assessment
03 Nov 25: Based on the REEM's Senior Management meeting with MLH Comm team on 29-Oct-25, the anticipated date of Contractor's submission on 6-Nov-25
17 Nov 2025: still awaiting the Contractor’s resubmission. 2nd follow-up letter Letter  under WF for approval (WF-033294)
29 Nov 25:  Further Follow-up  letter to Contractor was  issued (1TB01002-002C24-AMA-LTR-0086 dated 25-Nov-25)
01 Dec 25: Comm to commence internal EAR, same to be communicated formally with the contractor
13 Dec 25: Contractor sbmitted EOT claim no. 1 via  REA-TRANSMIT-000187 on 5-Dec-25 (1TB01002-002C24-RMA-LTR-0087). Planning cofirmed  methodology compliance. Commercial to ssue the response by 22 December. 
24 Dec '25: RSG response issued via AMA01002-GENCORR-003030 to request the additional information and revise and resubmit as the Delay Events are not appropriate the Contractor was acknowledged the same during the consultation meeting held on 22 Dec '25
12 Jan 26: Ditto
27 Jan 26: Reminder to revise and resubmit was issued to Contractor via  AMA01002-GENCORR-003045 on 12-Jan-26
07 Feb 26: Awaiting resubmission by the Contractor. Reminder via AMA01002-GENCORR-003089 on 05-Feb-26 was   issued to the Contractor.
09 Feb 26: Ditto</text>
  </threadedComment>
  <threadedComment ref="BR67" dT="2025-11-17T05:20:41.33" personId="{C840B14E-9604-4731-8AA8-7C14D629FDE0}" id="{B3CCAE81-0013-46F7-9000-CC77EF25683E}">
    <text>09 Feb- Extension of Time Claim No.01 received from the Contractor through letter ref. 1TB01100-100C29-ACN-LTR-0025
24 Feb 24: Initial response to be issued within 21 days from the receipt of the claim
10 Mar 25: Initial response letter to be finalisd by 10 Mar 25. EoT Assesment report under process in parallel.
24 Mar 25: Intial response sent to claims for review
06 April 25: Intial response sent to claims for review (2nd review after changes requested on 6 April 2025)
22 Apr 25: Inital response stuck in WF with Sasho since 17 of April. 
04 May 25: Initial response ref.1TB01100-100C29-AMA-LTR-0030 issued to Astra on 29 April 2025.
19 May 25: Awaiting the Contractor`s re- submission
03 Jun 25: Contractor submitted revised claim,under review with commercial
03 Jun 25: Contractor submitted revised claim,under review with commercial ref 1TB01100-100C29-ACC-LTR-0045 dated 3 Jun 2025. Target to complete draft report is 15 July 2025.
15 Jun 25: Ditto.
29 Jun 25: Ditto. targeted to finalise by 15 Jul 25
14 Jul 25: Ditto. targeted to finalise by 15 Jul 25
26 Jul 25: Ditto. targeted to finalise by 27 Jul 25
28 Jul 25: Targeted to submit to claims by 11 Aug 25
12 Aug 25: Ditto, targeted to finalise and submit to claims by 14 August 2025
25 Aug 25: No update</text>
  </threadedComment>
  <threadedComment ref="BR68" dT="2025-08-25T06:17:12.82" personId="{C840B14E-9604-4731-8AA8-7C14D629FDE0}" id="{9F3EC953-65FC-42B3-8230-C6F9CF008973}">
    <text>09 Feb 25:  EoT 1 submitted detailing 7nr DE. Delivery and GES team belive one event is valid and currently raising a restropective RFC for additional scope. Option to capture extension to TOC period of part of PVO / DVO being considered. Commercial team believe the claim should be assessed but suject to planning confirmation.
22 Feb 25: BK issued commercial assessment report to claims team on 20 Feb 25.
10 Mar 25: Draft report with claims team.
11 Mar 25: report sent back with comments and amendments, commercial to update and revert
12 Mar 25: updated draft report sent back to claims for review
19 Mar 25: Draft report sent to planning for revie &amp; TIA, targeted to be reverted by this week
07 Apr 25: EoT with planning team. Project team have raised PVO for change and going through approvals. Targeted to revert by 14 Apr 25</text>
  </threadedComment>
  <threadedComment ref="BR69" dT="2026-07-26T10:55:20.64" personId="{C840B14E-9604-4731-8AA8-7C14D629FDE0}" id="{9AC23C01-AAE1-446F-833C-67E5BFF79156}">
    <text>09 Feb 25:  EoT 1 submitted detailing 7nr DE. Delivery and GES team belive one event is valid and currently raising a retrospective RFC for additional scope. Option to capture extension to TOC period of part of PVO / DVO being considered. Commercial team believe the claim should be assessed but subject to planning confirmation.</text>
  </threadedComment>
  <threadedComment ref="BR70" dT="2025-08-24T17:03:40.25" personId="{C840B14E-9604-4731-8AA8-7C14D629FDE0}" id="{CA2CDA92-EC3D-47E4-87F6-4A7BB8F66CF1}">
    <text>22 Jan 2025 - AMA Issued Delay Notification to Alutec due to their contract expiring 
3 Feb 2025 - Alutec submitted their 1st eot
10 Feb 2025 - Commercial and planning team currently reviewing however we have identified a number of clarifications that need to be addressed. A formal letter will be issued shortly 
16 Feb 25: Initial response in WF (WF-010900)
20 Feb 25 : Employer Initial response issued - 1TB01003-003C27-AMA-LTR-0030 
10 Mar 25: awaiting response from contractor
24 Mar 25: Ditto
09 Apr 25: Ditto
20 Apr 25: Awaiting response from contractor
22 Apr 25: commercial to chase the contractor
29 Apr 25: Follow-up for the revised EOT-01 issued to Alutec under Aconex mail 1TB01003-003C27-AMA-LTR-0037 dated 28 Apr 2025.
05 May 25: Ditto
08 May 25: Alutec responded under 1TB01003-003C27-ATA-LTR-0025 on 08 May 25 confirming that the comments from the Employer will be captured in the Interim Submission No. 02.
18 May 25: Employer is still waiting for the Interim Submission No. 0 2. 
03 Jun 25: contractor submitted revised claim via ref 1TB01003-003C27-ATA-LTR-0027, under review with commercial
14 June 25: Employer responded requesting detailed breakdown and back up justification from alutec Aconex Ref AMA01003-GENCORR-001142 dated 10 June 2025.
30 Jun 25: Ditto
14 Jul 25: Ditto, commercial to issue a follow up letter
28 July 2025 - Letter raised for approval on 20 July 2025 under WF-014287. Pending with Delivery for approval. 
12 Aug 2025: EOT reminder letter ref 1TB01003-003C27-AMA-LTR-0044 dated 5 August 2025 
21 Aug 2025: Alutec submitted updated EOT claim under 1TB01003-003C27-ATA-LTR-0028.
25 Aug 2925: Employer requested Alutec to submit the Appendices via AMA01003-GENCORR-001283 referred to in the Delay Events Chronology for Employer to commence the review of the updated EOT claim submitted.
26 Aug 25: Contractor submitted the requested supporting documents via 1TB01003-003C27-ATA-LTR-0029, commercial to commence EOT report process
08 Sep 25: On-going review by the Commercial Team, target date TBC
23 Sep 25: Draft EOT Report issued by Commercial Team to Delivery and Planning Team for review of the Chronology of Events prepared by the Commercial Team before issuing to Claims Team for review.
18 Oct 25: Still waiting from the Delivery Team's review.
20 Oct 25: Ditto
01 Nov 25: Report witth BK, needs some more work. Target date to issue to Claims 11 Nov 25. 
03 Nov 25: Targeted date to submit for claim's review updated  by 13 Nov 25
17 Nov 25: Target date moved to 20 Nov 25. 
23 Nov 25: Draft EAR sent to claims team for review
27 Nov 25: EAR sent back to commercial with comments to update</text>
  </threadedComment>
  <threadedComment ref="BR71" dT="2025-04-16T08:41:01.06" personId="{FA2D4155-11CE-416B-8A98-DB844587F19F}" id="{CFD46667-1E39-4B27-A0AE-FA5638A711FC}">
    <text>26 Jan 2025 - Essco Submitted EOT Claim No 1
2 Feb 2025 - AMA Responded with comments and requested additional information 
3 Feb 2025 - Escco responded with AMA comments 
3 Feb 2025 - AMA requested additional clarification on the additional information provided 
5 Feb 2025 - AMA responded with additional clarifications requesting further information
5 Feb 2025 - Essco responded to AMA comments and provided further clarifications</text>
  </threadedComment>
  <threadedComment ref="BR72" dT="2025-12-14T17:59:20.31" personId="{C840B14E-9604-4731-8AA8-7C14D629FDE0}" id="{3B8DEC18-7CEE-42CB-ABF0-1541A901CE6D}">
    <text>10 Mar 25: Submission being reviewed and initial response shall be drafted. 
23 Mar 25: Initial response being drafted. Target date to issue 31 Mar 25
6 Apr 25: Draft being prepared. 
09 Apr 25: Ditto, Target date to be confirmed, by next meeting
22 Apr 25: Initial response under process, targeted to issue it to claims for review by 28 Apr 25
30 Apr 25: Draft response sent to claims for review
05 May 25: Draft response reviewed and sent back for issuance
19 May 25: Comments issued to Contractor. Awaiting revised submission from Contractor (1TB01009-009C05-AMA-LTR-0076 dated 13 May 2025)
14 Jun 25: Ditto
30 Jun 25: Ditto
14 Jul 25: Ditto, commercial to follow up with contractor on resubmission
24 July 25: Ditto. The Contractor updated that they will resubmit this week. 
28 Jul 25: Ditto
12 Aug 25: Follow up letter in WF-051725, 1TB01009-009C05-AMA-LTR-0083
25 Aug 25: Further clarifications, has been provided by Contractor on 05 August 2025 (KTH01009-TRANSMIT-000190)  Commercial to review and prepare the report. Tentative target date is 30 Sep 25
08 Sep 25: On-going review by the Commercial Team, target date 11 September for response or set new target date for report. 
06 Oct 25: Comments issued to the Contractor on 29 Sep 25 to provide further particulars, through Aconex GC ref. AMA01009-GENCORR-005458</text>
  </threadedComment>
  <threadedComment ref="BR73" dT="2025-12-14T17:59:53.60" personId="{C840B14E-9604-4731-8AA8-7C14D629FDE0}" id="{82D3ABB7-4E75-4A37-9244-4B2EDBFA2291}">
    <text>23 Mar 25: Initial response being drafted. Target date to issue 27 Mar 25.
6 Apr 25: Draft being prepared. 
09 Apr 25: Ditto, Target date to be confirmed by next meeting
19 Apr 25: Initial discussions happened. Contractor agreed to retract this EOT on submission and approval of Second Stage along with time. However, an initial response shall be issued in due course. 
22 Apr 25: commercial to provide target date
04 May 25: Initial response draft sent to claims team for review
19 May 25: Draft response reviewed and sent back to commercial to update and resubmit for further review
26 May 25: Final Draft reviewed and sent back to commercial for issuance 
10 June 25:The intial response was issued to the Contractor via 1TB01009-009C03-AMA-LTR-0174 dated 10 June  2025
03 Jun 25: contractor submitted revised claim on 03 Jun 25 via 1TB01009-009C03-HAM-LTR-0239
29 Jun 25: latest submission under review with commercial. 
14 Jul 25: Ditto, target 20 July to be issued to Claims
23 Jul 25: Draft Response sent to claims team for review
28 Jul 25: reviewed and sent back to commercial for issuance
12 Aug 25: Comments issued to Contractor on 5 Aug 25, 1TB01009-009C03-AMA-LTR-0183
25 Aug 25: Awaiting Contractor feedback
08 Sep 25: Ditto, comm to follow up via aconex
06 Oct 25: Ditto
18 Oct 25: Awaiting Contractor feedback. There is  little possibility that they will resubmit the claim. The team is aiming for amicable settlement.
20 Oct 25: comm to review the information available to date to determine the outcome wthr or not to proceed with the assessment
03 Nov 25: First follow up letter (1TB01009-009C03-AMA-LTR-0192) requesting additional details issued on 2 Nov 25.
17 Nov 25: Contractor replied with Extension of Time Claim #02 – Interim Report #03 dated 11 Nov 25, 1TB01009-009C03-HAM-LTR-0254. Commercial to review by 04 Dec 2025. 
01 Dec 25: Ditto</text>
  </threadedComment>
  <threadedComment ref="BR75" dT="2025-10-27T07:18:36.40" personId="{C840B14E-9604-4731-8AA8-7C14D629FDE0}" id="{770A84D9-0E06-449B-9072-CD69C8D47EE3}">
    <text>20 Apr 25: Claim submission under review, commercial to issue initial response within 21 days from the receipt on this claim
04 May 25: Ditto
11 May 25: Initial response sent to contractor acknowledging receipt of the claim and that it is under review.
19 May 25: Ditto, we didn't issue the response because we expect an updated claim from MME based on additioanl scope (EI preparation in  process) Commercial to prepare an initial response 
01-June-25: MME has submitted the Revised Claim via  MME01031-TRANSMIT-000130 on 22 May 25.
02-June-25 Prolongation cost submitted, 1TB01031-031C10-MME-LTR-0039 on 02 june 25
14-June-2025 commercial is reviewing the claim, target date for response 30 June 2025. There is no provision in the Contract on when is the Employer’s response due.
24 Jun 25: Draft report sent to claims team for review
29 Jun 25 : Draft Employer's Assessment on EOT-02 has sent to Head Office Claim team for review.
22 Jul 25: Draft report not ready for claims team's review and was advised to use the approved template and resubmit 
28 Jul 25: Targeted to submit the draft report to claims team by 03 Aug 2025
12-Aug-25: Commercial team addressing the final stages of the Comments, Expected to submit to Claim team by 13 Aug 2025
25 Aug 25:  Marina Commercial Teams has addressed the comments on Employer's EOT report and issued back to RSG Claims team for final approval, target date BK to issue to claims is 26 August 2025
28 Aug 25: Draft report sent to claims team for review
01 Sep 25: Draft report sent back to commercial with comments to be addressed prior to TIA.
04 Sep 25: Draft report sent to claims team for review prior to planning's TIA
08 Sep 25: Target date TBC</text>
  </threadedComment>
  <threadedComment ref="BR78" dT="2025-12-14T18:00:47.11" personId="{C840B14E-9604-4731-8AA8-7C14D629FDE0}" id="{29752194-A1F9-4F70-B2A1-1C9CF9D230CA}">
    <text>30 Apr 25: Interim claims received from Ojec, commercial to draft initial response 
05 May 25: Claim validity being assessed by commercial and project team. Its clear that the Contractor has concurrent delays but these have not be included within the Contractors EoT assessment. Comercial to initiate initial review on the DEs and prepare draft response 
18 May 25 - Claim to be rejected. Events do have validity but no concurrency has be included by the Contractor. Planning to confirm their comments on the TIA assessment.
14 June 25: EOT 2 rejection letter under process. Target date?  There is no provision in the Contract on when is the Employer’s response due.
15 Jun 25: Response letter draft sent to claims team for review
16 Jun 25: Draft letter reviewed and sent back to commercial for issuance
30 June 25: Rejection letter issued via to Contractor on 25 June via 1TB01005-005C45-AMA-LTR-0011
14 Jul 25: Awaiting response from Contractor.
25 Jul 25: Ditto
28 Jul 25: awaiting resubmission from contractor, commercial to follow up with contractor
12 Aug 25: Follow-up letter going through WF approvals - 1TB01005-005C45-AMA-LTR-0015 dated on 04 Aug 2025
23 Aug 25: Follow-up letter issued 14 Aug. Project team continue to chase, see item 54.
08 Sept 25: Updated Claim recieved on Aconex on 27 Aug - Under review by Site team - Target 11 Sept 
1TB01005-005C45-OJC-LTR-0005
23 Sept 25: Rejection letter to be issued to Aconex by 25 Sept - We have off-line requested further information from the Contractor but they have not provided it - No other option but to reject Claim.
06 Oct 25: Discussions ongoing with Site planning on claim acceptance - may be better to assess and determine to close the account given the Works are complete
**14 Oct 25: Contractor submitted revised claim via 1TB01005-005C45-OJC-LTR-0005 (OJC01005-TRANSMIT-000034) 
17 Oct 25: Commercial preparing a EAR report, target date for draft to claims team is 17 Nov 25
20 Oct 25: Ditto</text>
  </threadedComment>
  <threadedComment ref="BR79" dT="2026-01-12T05:58:32.94" personId="{C840B14E-9604-4731-8AA8-7C14D629FDE0}" id="{0FE90408-457D-4867-8871-EB98005CB5F1}">
    <text>04 May 25: Claim against damage caused by the alleged unathorised movement of the Acrylic Dome by the employer and the associated cost. (anticiapated delay from 28 days to 52 weeks with a total cost for the replacement / Major repair of SAR 1,312,425) Draft response under preperation, to be submitted to claims team for review 
18 May 25 - Rejection letter issued 7th May 2025, 1TB01005-005C20-AMA-LTR-0056
14 June 25: Ditto
30 Jun 25: WS Meeting arranged with Contractor to resolve, meeting date 01 July 25
14 Jul 25: Contractor revising claim and TIA following Site discussion. Expect by 17 Jul 25
25 Jul 25: Ditto
28 Jul 25: Ditto
12 Aug 25 - PVO now approved and VO issued - Formal close out by the End Aug
23 Aug 25 - To be formally closed by Site team - Target now end Sept.
08 Sept 25: Ditto
06 Oct 25: Commercial Targeted to finalise by 11 Oct 25
17 Oct 25: Commercial to respond via letter - target date is 30 Oct 25.  DVO approved on 15 Oct 25, WF-035254. The issue is that we need to award them time as a result and they are working on a claim for this.
The letter is to clarify the above.
20 Oct 25: Ditto
03 Nov 25:a letter (1TB01005-005C20-AMA-LTR-0068) is in WF to be issued contractor confirming the agreement made during the online meeting on 01 Jul 25 btw both parties, that VO and an EI was issued for the damage repairs with an amount of SAR 95,887 and to be completed by 30 Aug 2025. Employer frurther reminded the contractopr to submit an updated EOT accordingly 
17 Nov 25: Unlikely Contractor will produce a compliant EoT report. Commercial team will complete one if not received from Contractor by end Dec 25. Please note the specific damage Claim is now resolved - This item can be closed on the tracker in the Project teams view.
Comm to share the DVO with claims team
01 Dec 25: Ditto, 
14 Dec 25: DVO for the cost of repair issued without time cost claim. therefore, cost claim (item 66 below) closed, claim team to advise whether an EOT report is required for this claim item for the repair of the Dome
09 Jan 26: Discussions ongoing in regard to EoT submission. Likely internal EAR will be required to close.
22 Jan 26: Ditto
27 Jan 26: Ditto
09 Feb 26: Ditto
23 Feb 26: Site team believe this items can be closed. Contractor will need to produce a full EoT Claim to demonstrate any entitlement.
(possible candidate for HLEAR)
09 Mar 26: The Contractor's performance has been too poor to gain HLEAR approval. The intention here will be to deduct damages given the Contractor's delays resulted in significant delays and Cost to the Project.
06 Apr 26: Ditto</text>
  </threadedComment>
  <threadedComment ref="BR81" dT="2025-10-27T07:18:48.70" personId="{C840B14E-9604-4731-8AA8-7C14D629FDE0}" id="{FF77ED10-F0E5-4274-BF98-D29608C841A9}">
    <text>03 May 25. Related to access delays to  work areas.The areas were provided late but the Contractor have had their own delays with design, procurement and Material deliveries. Claim validity being assessed by commercial and project team. Its clear that the Contractor has concurrent delays but these have not be included within the Contractors EoT assessment.
05 May 25: Commercial to prepare the initial response and issue to contractor within 21 days from the receipt of claim
18 May 25 - Rejection letter issued to claims 14 May for their review.
19 May 25: draft reviewd and sent back to commercial for issuance 
01 June 25: Rejection letter issued to the Contractor on 28 May 2025 (Aconex Ref. 1TB01005-005C11-AMA-LTR-0078)
14 June 2025 - Contractor responded to the above letter on 10 June 2025 via aconex ref: 1TB01005-005C11-ALE-LTR-0117. The Employer's response under process
30 Jun 25: response letter in Workflow confirming that the Employers reasons for rejecting the claim &amp; contractor's TIA are valid and to propose three dates to schedule a workshop meeting to review the contractor's claim"
07 July 2025: 1TB01005-005C11-AMA-LTR-0084[C0] dated 01 July 2025 issued to Contractor to revise and resubmit
14 Jul 25: a Site meeting held on (date) with Contractor and planning to explain claim rejection. Contractor to resubmit Claim and also include additional delay event for the F&amp;B Works EI and include its concurrent delay for the onoing lab tank defects / replacements. 
25 Jul 25: Ditto 
12 Aug 25 - Site team to chase the revised submission. commercial to follow up with the contractor
23 Aug 25 - contractor submitted revised claim via 1TB01005-005C11-ALE-LTR-0146 on 14 Aug 25. Project team have reviewed submission and confirmed Claim is acceptable for assessment. Target date for draft to be with Claims is 13 Sept 
08 Sept 25: Ditto
23 Sep 25: Draft Report sent to BK for review
06 Oct 25: EAR comments sent back to RSMLI. EAR needs tidying up, to be reissued by 12 October. 
10 Oct 25: Draft report was sent to claims for review and forwarded to planning to proceed with TIA
13 Oct 25: target date TBC, delivery has requested to prioratise this report
17 Oct 25: EAR issued to planning on 10 Oct 25
20 Oct 25: Ditto, targeted to conclude by 28 Oct 25 (Chris_B priority request)
26 Oct 25: Targeted to revert by 30 Oct 25
27 Oct 25: Ditto</text>
  </threadedComment>
  <threadedComment ref="BR82" dT="2026-05-03T11:45:19.10" personId="{C840B14E-9604-4731-8AA8-7C14D629FDE0}" id="{B095E895-1329-4FFD-9C5A-A64C79555434}">
    <text xml:space="preserve">4 May 25: 3 Pages EOT Claim with no substantiation or particulars. Will be rejected by 10 May 25
05 May 25: Commercial to prepare the initial response and issue to contractor within 21 days from the receipt of claim
18 May 25: Rejection sent to Contractor and requested for a detailed submission, 1TB01009-009C04-AMA-LTR-0072 dated 05 May  2025
01 June 25: waiting for the Contractor's detailed submission
16 Jun 25: Ditto
30 Jun 25: awaiting contractor's resubmission
30 June  25: 3 EOT Claim 2 pages long with no substantiation  received on 30 June 2025  via 1TB01009-009C04-TIC-LTR-0027 or particulars. Will be rejected by 16 May 25
24 July 25: EOT rejected on 8 July 25,  1TB01009-009C04-AMA-LTR-0078
12 August 2025:  Awaiting Contractor's revised submission. 
25 August 2025: Ditto, commercial to follow up with contractor via letter
08 Sep 25: Follow-up letter in WF-056266.
5 Oct 25: Awaiting Contractor's revised submission
20 Oct 25: Ditto
03 Nov 25: Comm to issue a follow up letter 
17 Nov 25: Ditto, Draft under prep with comm
29 Nov 25: Follow-up letter issued on 25 Nov 25
01 Dec 25: Ditto
13 Dec 25: Contractor has sent a letter stating they are preparing the EOT Claim. 1 Dec 2025 - 1TB01009-009C04-TIC-LTR-0043.
10 Jan 26: Ditto. Awaiting Contractor's EOT submission.
12 Jan 26: Comm to issue a follow up letter
22 Jan 26: Follow-up issued through Aconex GC ref. AMA01009-GENCORR-005898 dated 22 Jan 26
27 Jan 26: awaiting response from contractor
09 Feb 26: Ditto
</text>
  </threadedComment>
  <threadedComment ref="BR83" dT="2026-09-17T06:27:12.52" personId="{C840B14E-9604-4731-8AA8-7C14D629FDE0}" id="{89C534CA-5C23-4ED1-922A-AFA09B90ED57}">
    <text>10 Jun 25: Contractor submitted cost claim assosiated with EOT 2 on 02 Jun 25
an aconex mail response was sent to contractor to resubmit with supporting documents 
29 June25 : Ditto Contractror's response is awaited
27 July 2025:  MME has not submitted the Revised Cost assessment after RSG's rejection earlier.. Linked to outcome of item 61. 
11 August 2025:  Awaiting Contractor's revised submission. 
07 Sept 25: Ditto 
01 Dec 25: Ditto ( EAR for time extension is still under process, EOT cost assessment/approval will be actioned upon finalization of EAR for time)  
11 Jan 26 : Ditto</text>
  </threadedComment>
  <threadedComment ref="BR85" dT="2025-05-04T10:56:22.52" personId="{C840B14E-9604-4731-8AA8-7C14D629FDE0}" id="{08A5AD13-79B4-4535-92C2-9036FB6D2EDB}">
    <text>14 Dec 24: Formal response letter prepared by RSMLI Commercial team and sent to claims for review
05 Jan 24: Intial response issued to contractor on 16 Dec 24 to resubmit the claim
15 Jan 25 - Awaiting further response from Contractor
23 Jan 25: Ditto
27 Jan 25: Ditto. comemrcial to issue a follow up letter
09 Feb 25: Commercial to assess merit of existing Claim based on current information and site planning team to do the same. Site discussions ongoing with the Contractor to agree the Costs and revised end date. Target for draft report to planning by 20 Feb 25 and costings is 28 Feb 25.</text>
  </threadedComment>
  <threadedComment ref="BR95" dT="2025-11-03T05:13:34.58" personId="{C840B14E-9604-4731-8AA8-7C14D629FDE0}" id="{392630B1-0095-40B2-8CBA-5A4D5922AE33}">
    <text xml:space="preserve">01 July 25: Contractor submitted EOT 01 Claim
13 July 2025 : Commercial issued Draft EOT Report to Claims team for review 
27 Jul 25: Ditto, targeted to revert on 05 Aug 25
02 Aug 25: Initial review &amp; comments provided and sent back to commercial to address them.
03 Aug 25: Draft EAR sent to planning for TIA
04 Aug 25: under review with planning 
05 Aug 25: EAR sent back to commercial to address comments on DE 5.2.3
12 Aug 25 - Commercial  Assessment Report  is with Planning team. planning currently reviewing the time impact. 
13 Aug 25: following  a meeting b/w RSG claims, commercial &amp; planning, it has been decided to move ahead with the EOT procedure and not a CA as the TIA shows 23 days slippage in project completion date prior to issuing the VO
14 Aug 25: Draft report sent back to Commercial to update the chronology to include cause(s) of the 23 days delay (prior to instruction of Variation), and the Employer’s culpability for this delay. </text>
  </threadedComment>
  <threadedComment ref="BR96" dT="2026-05-17T09:53:46.62" personId="{C840B14E-9604-4731-8AA8-7C14D629FDE0}" id="{B9FF2BFF-0271-41C0-92E1-C6EA8314E0F1}">
    <text>12 July  25:  EOT Claim submitted by the Contractor  
12 July 2025: EOT Claim forwarded to delivery and site planing team for initial response
24 July 25: Ditto
28 Jul 25: Ditto
10 Aug 25: Comments on Contractor submission issued to the Contractor on 28 Jul 25
25 Aug 25: Ditto, commercial to follow up with contractor via letter
7 Sep 25: Follow-up letter in WF-056266.
24 Sep 25: Following the Employer's follow up letter (1TB01009-009C34-AMA-LTR-0017); Contractor submitted the revised EOT submission (1TB01009-009C34-DAC-LTR-0024) which is under rview. 
06 Oct 25: Under review. Target date for issuance of a response or report preparation - 30 Oct 25. 
20 Oct 25: Ditto
03 Nov 25: Contract resubmitted their claim with updated details 1TB01009-009C34-DAC-LTR-0028 dated 19 Oct 25 and is currently under review. Target date 10 Nov 25.
17 Nov 25: Planning requested  missing xer files on 17 Nov 25 (AMA01009-GENCORR-005658)
29 Nov 25: action with contractor to respond
13 Dec 25: EAR under preparation. Target date - 30 Dec 25
16 Dec 25: contractor provided additional particulars via 1TB01009-009C34-DAC-LTR-0033
10 Jan 26: EAR target date deferred to 30 Jan 26 
24 Jan 26: Contractor resubmitted the EOT Claim ref. on 24 January 2026 with updated cut-off date. EAR shall be updated. 
27 Jan 26: Draft EAR Targeted to submit for claims team's review by 15 Feb 26
09 Feb 26: Ditto</text>
  </threadedComment>
  <threadedComment ref="BR97" dT="2026-05-17T09:53:55.14" personId="{C840B14E-9604-4731-8AA8-7C14D629FDE0}" id="{EBACA3D5-A226-41F4-94A6-E0A102C2A891}">
    <text>24 July 25: Initial response being drafted. Awaiting Planning &amp; Delivery feedback.
28 Jul 25: Comm to provid ref once issued
12 Aug 25: Awaiting feedback from the team
25 Aug 25: Planning feedback received. Response to Contractor to be prepared. Tentative target date shall be 30 August 25
08 Sep 25: Commercial drafting the letter, to be issued to claims EOD
09 Sep 25: Draft Initial response sent to claims team for review
02 Oct 25: Draft responde reviewed and sent back for issuance
06 Oct 25: Response to Contractor in WF-060015 (1TB01009-009C13-AMA-LTR-0065)
18 Oct 25: Response requesting further particulars issued to Contractor on 8 Oct 25 - 1TB01009-009C13-AMA-LTR-0065 
03 Nov 25: Contractor responded via 1TB01009-009C13-LUT-LTR-0027 to Employer's rejection via and requested for a meeting. RSG shall review and proceed with the report after the meeting. 
17 Nov 25: Meeting with the Contractor to be scheduled</text>
  </threadedComment>
  <threadedComment ref="BR98" dT="2026-01-12T05:58:48.85" personId="{C840B14E-9604-4731-8AA8-7C14D629FDE0}" id="{DF713701-CD55-49B1-9896-BCCFDC5EF752}">
    <text>10 Aug 25:Commercial team has rejected the Claim Report, requesting supporting documents . AMA01031-GENCORR-001021 dated 06 August 25
25 Aug 25: Contractor's response to Employer's rejection on 6th Aug 25 is awaited, expected in this week. 
21 Aug 25 Contractor has submitted the Revised EOT-01 Claim via 1TB01031-031C15-EMC-LTR-0010
30 Aug 25: Marina Commercial team is currently reviewing the Revised EOT-01 report submitted by the Contractor on 21st Aug 2025
08 Sept 25: Ditto, target date to be updated prior the meeting. 
15 Sep 25: Commercial has completed the report, However commercial had comments on missing information. Contractor busy compiling</text>
  </threadedComment>
  <threadedComment ref="BR100" dT="2026-02-09T06:13:35.32" personId="{C840B14E-9604-4731-8AA8-7C14D629FDE0}" id="{60D63A3D-F851-4773-B6A0-664842454303}">
    <text>10 August 25: Received EoT Claim 01. Commercial team to issue draft report to claims team on 16 August 2025
14 August 25: under process with commercial, targte date moved to 02 September 2025
07 Sep 25: New target to be updated prior the meeting.  TBC
06 October 2025: Commercial team to submit EAR report to claims team  07 October 2025.
12 Oct 25: Targeted date moved to 16 Oct 25
19 Oct 25 -Submitted to BK on 11 Oct 25. Initial response sent on 13 Oct 25.  BK to update on discussion with Litha. (Stuart's Priority)
26 Oct 25:Comm to confirm the target date for the draft EAR submission for claims team's review
27 Oct 25: Contractor to submit updated claims by 30 Oct 2025
03 Nov 25: Target date 06 Nov 25 to be submiited to claim, providing that DEPA submit missing info by then (emails exchanged following the workshop with planning held on 22 Oct 25, additioanl back-up requested through email on 30 Oct and 02 Nov)
02 Nov 25: contractor provided additional particulars via email
9 Nov 25: under review by commercial, targeted to submit the EAR by 10 Nov 25
12 Nov 25: Depa confirmed via email that they will provide additional substantiation and the required details by 13 Nov 25, still pending. EAR drafted, awaiting Contractor's particulars to be concluded. 
17 Nov 25: Ditto
18 Nov 25: Depa submitted further particulars via DCC01006-GENCORR-000660, EAR under process with commercial 
27 Nov 25: Draft EAR sent to claims team for review
01 Dec 25: Ditto, Draft EAR sent back to commercial with comments to finalise prior to planning's TIA 
02 Dec 25: Draft EAR sent to claims team for review
04 Dec 25: Draft EAR sent to planning for TIA
08 Dec 25: TIA targeted to conclude by 22 Dec 25
16 Dec 25: planning team noted that several items in the draft report are not included in the Contractor’s TIA, furtehr suggested that we either ask teh contractor to resubmit the claim or not to consider these events in the EAR
17 Dec 25: Commercial team clarified that since this is a prioroty by HOC, it cannot be sent back to contractor for resubmission and that planning need to consider these events in the assessment 
12 Jan 26: Targeted to revert by 13 Jan 26
13 Jan 26: TIA incorporated and sent to commercial for finalisation prior to claims team's offline pre-approval // Final Draft Report sent to claims team for review &amp; approval
19 Jan 26: EAR put in workflow (WF-040404)
25 Jan 26 - EAR under Workflow WF-040404 currently with  Paul Donaghy
01 FEB 26: COVER LETTER IN WORKFLOW (WF-040865)
07 Feb 26 - EAR approved and issued to Contractor (1TB01006-006C05-AMA-LTR-0098) on 05 Feb 26
09 Feb 26: awaiting contractor's acceptance
22 Feb 26: Ditto</text>
  </threadedComment>
  <threadedComment ref="BR101" dT="2026-08-09T07:58:24.52" personId="{C840B14E-9604-4731-8AA8-7C14D629FDE0}" id="{2C697158-D228-4614-9AAF-17AFDE38ED4B}">
    <text>25 Aug 25: Commercial, Planning &amp; Delivery to review and prepare initial response
7 Sep 25: Following planning input, letter will be drafted , target date 18 September 2025
24 Sep 25: Planning input received. Initial response is being drafted. Will be issued for Claims review by 8 Oct 25
06 Oct 25: Ditto
18 Oct 25: Commercial will review and prepare draft by first week of November. Targeted to submit for review by 06 Nov 25
03 Nov 25: Ditto
16 Nov 25: Targeted to finilise review by 20 Nov 25. 
01 Dec 25: Target date moved to 10 Dec 25
13 Dec 25: AMA01009-GENCORR-005743 with planning response  sent on 08 Dec 25.
12 Jan 26: Awaiting Contractor's resubmission. , Comm to issue a follow up letter</text>
  </threadedComment>
  <threadedComment ref="BR102" dT="2026-05-17T09:54:05.23" personId="{C840B14E-9604-4731-8AA8-7C14D629FDE0}" id="{087D466D-C438-4DD0-8C62-561EC9ED0C04}">
    <text>28 Aug 25: Commercial, Planning &amp; Delivery to review and prepare initial response
7 Sep 25: Following planning input, letter will be drafted , target date 18 September 2025
29 Sep 25: Draft Response sent to claims team for review
30 Sep 25: Sent back to commercial with comments for resubmission
5 Oct 25: Response to Contractor in WF-059876
06 Oct 25: response issued to contractor via 1TB01009-009C16-AMA-LTR-0043
18 Oct 25: Awaiting Contractor feedback
03 Nov 25: Contractor has resubmitted their claim and this is currently under revie, 1TB01009-009C16-SSC-LTR-0058 dated 29 Oct 25. comm targeted to finalise the report by 13 Nov 25 for claims review 
17 Nov 25: Targeted to finilise report by 23 Nov 25. 
01 Dec 25: Target date moved to 10 Dec 25, comm to set up a meeting with claims team to discuss the way forward
13 Dec 25: Target date moved to 15 Dec 25
16 Dec 25: Draft EAR sent to claims for review
17 Dec 25: EAR sent back to comm to resubmit addressing the comments 
21 Dec 25: updated draft sent to claims for review // Draft EAR sent to planning for TIA</text>
  </threadedComment>
  <threadedComment ref="BR103" dT="2026-05-03T11:48:08.81" personId="{C840B14E-9604-4731-8AA8-7C14D629FDE0}" id="{FDD436DD-4181-494C-8E7B-6C2D33414F41}">
    <text>28 Aug 25: Commercial, Planning &amp; Delivery to review and prepare initial response
7 Sep 25: Following planning input, letter will be drafted , target date 18 September 2025
29 Sep 25: Draft Response sent to claims team for review
30 Sep 25: Sent back to commercial with comments to revise and issuance 
5 Oct 25: Response to Contractor in WF-059876
06 Oct 25: response issued to contractor via 1TB01009-009C15-AMA-LTR-0050
18 Oct 25: Awaiting Contractor feedback
03 Nov 25: Contractor has resubmitted their claim and this is currently under review, 1TB01009-009C15-SSC-LTR-0091 dated 29 Oct 25. comm targeted to finalise the report by 25 Nov 25 for claims review 
17 Nov 25: Targeted to finilise report by 04 Dec 25 . 
01 Dec 25: Comm to set up a meeting with claims team to discuss the way forward
13 Dec 25: Target date moved to 24 Dec 25
12 Jan 26: Target date moved to 25 Feb 26
13 Jan 26: Contractor to revise, update and resubmit the EOT claim based on the revised Programme incorporating the second stage. 
Formal request shall be sent by RSG</text>
  </threadedComment>
  <threadedComment ref="BR104" dT="2025-11-30T12:24:51.16" personId="{C840B14E-9604-4731-8AA8-7C14D629FDE0}" id="{B0B156AA-9618-487F-BD7A-9B86590FB2DC}">
    <text>29 Apr 25: Employer's Assessment Report for EOT-01 issued to DEPA for review and agreement under Aconex mail 1TB01003-003C09-AMA-LTR-0126 on 28 April 2025.
19 May 25: Awaiting DEPA's response/agreement to the assessment.
14 June 25 : Ditto to Last
21 Jun 25: received Depa's response requesting for a reassessment (1TB01003-003C09-DCC-LTR-0255)
30 Jun 25: Depa issued disagreement letter on the employer's assessment via aconex ref (DCC01003-GENCORR-000953) commercial to review and respond
14 Jul 25:action with Delivery to assess technical merit, commercial to respond that reassessment / review of the additional substantiation provided is ongoing and will submit an assessment shortly
28 July 25: Commercial carried out the review, in process of  approval/agreeing with Delivery. 
12 Aug 25 - Planning team currently reviewing DEPA dispute of the time assessment from the Planning Team
18 Aug 25: Targeted to revert by 24 Aug 25
25 Aug 25: Ditto. Planning team target to complete their response by 26 Aug 2025. 
01 Sep 25: Target date moved to 04 Sep 25
08 Sep 25: Targeted to issue by 09 Sep 25
13 Sep 25: Draft EAR Rev 01 sent to claims team for review
07 Oct 25: targeted to finalise by 11 Oct 25
10 Oct 25: Draft EAR sent to Planning to provide bullet point reasons as to why there is a difference between the 164 claimed and 94 day assessed
12 Oct 25: comments and queries raised on DE 02 by planning, commercial reverted with comments &amp; clarification. action with claims to review &amp; approval
13 Oct 25: EAR approved and sent to commercial to initiate WF
18 Octi 25: Iniated in WF (WF-017001). Under approval (Chris_B Priority)
24 Oct 25: Report approved in WF, commercial to initiate WF for cover letter
26 Oct 25: EOT 01 - Rev 01 Assessment Report issued to contractor via 1TB01003-003C09-AMA-LTR-0169
03 Nov 25: Ditto
17 Nov 25: Ditto
20 Nov 25: Depa responded disagreeing with the reassessment of EOT 1 via DCC01003-GENCORR-001103, response sent to planning for review
24 Nov 25: under review targeted to revert by EOD
27 Nov 25: Under review by commercial &amp; Delivery Team.
01 Dec 25: Ditto, awaiting delivery's response
13 Dec 25:Ditto
10 Jan 26: Required information and clarification issued to the Planning Team. The Planning Team is preparing its response to DEPA's  letter under DCC01003-GENCORR-001103.
19 Jan 26: targeted to revert with the concurrent delay analysis by 22 Jan 26
24 Jan 26: Planning and Commercial to draft response to DEPA's letter DCC01003-GENCORR-001103 as per Planning conclusion, target date 27 Jan to be in the WF.
02 Feb 26: Targeted to review and respond by 03 Feb 26
07 Feb 26: Comments received from Planning on 07 Feb 26. Commercial to draft the response to DEPA's letter.
09 Feb 26: Draft response to be sent for claims teams by (TBC), NE to talk to BE</text>
  </threadedComment>
  <threadedComment ref="BR106" dT="2026-08-09T08:03:27.79" personId="{C840B14E-9604-4731-8AA8-7C14D629FDE0}" id="{4B2AD0A4-D60F-4E25-A811-E422B1F8F3A8}">
    <text>5 Oct 25: Planning has provided comments. Initial response will be issued before 15 Oct 25.
20 Oct 25: Response to be issued to Claims for review by 25 Oct 25
03 Nov 25: Response to Claims team shall be issued by 15 Nov 25
17 Nov 25: Planning response to be sent via email on 17 Nov 25.  Commercial to review and send response by 20 Nov 25.
29 Nov 25: Response issued to Contractor on AMA01009-GENCORR-005683 with planning's comments.
01 Dec 25: Target date moved to 10 Dec 25
13 Dec 25: Target date moved to 10 Jan 26
10 Jan 26: Awaiting Contractor's resubmission addressing planning comments.
12 Jan 26: Comm to issue a follow up letter
25 Jan 26: Follow up letter in WF-WF-075754</text>
  </threadedComment>
  <threadedComment ref="BR108" dT="2026-06-29T12:20:35.74" personId="{C840B14E-9604-4731-8AA8-7C14D629FDE0}" id="{A8D0EE0B-3C7B-483C-9C9D-9306D96C1D58}">
    <text>24 Sept 25: Claim under review with Site commercial and planning teams - Review to be complete by 8 Oct 25
03 Nov 25: Additional particulars requested from Contractor on 28 Oct 25 AMA01009-GENCORR-005582
29 Nov 25: The Contractor submitted additional particulars on 17 November 2025, ref: 1TB01009-009C09-IMR-LTR-0085. The Commercial to draft the report by 25 Dec 25.
01 Dec 25: revised claim under review with commercial 
13 Dec 25: Priority claim. EAR to be prepared. Target date - 15 Jan 26
10 Jan 26: Target date to conclude the EAR by 14 Mar 2026
25 Jan 26: Ditto
09 Feb 26: Ditto
22 Feb 26: Ditto
09 March 26: Ditto, target date moved to 17 Mar 26
28 Mar 26: Clarification provided by Contractor on 28 Mar 26 for Employer's queries via 1TB01009-009C09-IMR-LTR-0114. 
06 Apr 26: EAR is under preparation. Target date considering the latest feedback received from contrator is 15 Apr 26 (Chris B Priority)
20 April 26: finishing of the EAR, will be with NE by 22 April 26.
22 Apr 26: Draft EAR sent to claims team for review (23-04 NE-PB)
28 Apr 26: Draft EAR sent back to commercial with comments and to follow the template // commercial confirmed it followed the right Template</text>
  </threadedComment>
  <threadedComment ref="BR109" dT="2026-05-11T06:51:05.76" personId="{C840B14E-9604-4731-8AA8-7C14D629FDE0}" id="{5CBBC799-CEC9-4509-B8C8-3A07C842672E}">
    <text>23 Sept 25: Claim under review with Site commercial and planning teams - Review to be complete by 25th Sept
03 Oct 25: Rejection issued 02 Oct 25 - 1TB01005-005C19-AMA-LTR-0165
17 Oct 25 - Awaiting contractor re-submission
31 Oct 25 - Contractor has stated they would need to go to a 3rd Party (UK) to revise and submit a compliant Claim. They have requested the facilitation of a zero Cost / DD waver EoT settlement which the Project and Commercial teams have no objection to. Planning and Claims teams to advise on way forward.
03 Nov 25: NE to discuss with BK offline
17 Nov 25: Commercial team to complete an EAR report - Target date for issuance to Claims 14 Dec 25.
01 Dec 25: Ditto
12 Dec 25: Target date moved to 14 Jan 25 (Ad hoc delivery handover support taking precedence)
09 Jan 26: Ditto, contractor targeted to submit the revised claim by 07 Feb 2026 via email
26 Jan 26: Ditto
07 Feb 25: Site team preference is to prepare an HLEAR - Template requested. Contractor will accept a time award with zero cost and this is acceptable to SPD. Email send 07 Feb to Amaala Comm Exec for their view.
09 Feb 25: template and a check list shared with commercial
16 Feb 26: Draft RFA for HLEAR shared with commercial to finalise and initiate WF approval process
23 Feb 26: RFA for HLEAR being finalised prior to WF submission</text>
  </threadedComment>
  <threadedComment ref="BR110" dT="2026-05-03T11:49:20.81" personId="{C840B14E-9604-4731-8AA8-7C14D629FDE0}" id="{4C21B5AD-4986-496D-999C-44812A6C5256}">
    <text>21 Oct 25: Depa submitted EOT 2 via 1TB01003-003C09-DCC-LTR-0299 on 09 Oct 25, commercial &amp; planning  currently reviewing the submission
26 Oct 25: DEOT under preperation with Planning team, Comm to confirm the target date for the draft EAR submission for claims team's review
26 Oct 25: Comm to provide EAR on 09 Nov 2025, DEOT under process with Planning (DEOT targeted to finalise by 30 Oct 25)
02 Nov 25: Draft report sent to site planning team for review.
09 Nov 25: DEOT in WF, WF-017971. detailed report under review by commercial
17 Nov 25: Draft report with Design-Delivery for review (DE 06), Targeted to finalise by (TBC)
23 Nov 25: Draft being finalised by commercial for claims team's initial review
01 Dec 25: Draft being finalised by the Commercial for Claims Team review, currently with BK, targeted to submit for claims review by 02 Dec 2025
02 Dec 25: Draft EAR sent to claims for review</text>
  </threadedComment>
  <threadedComment ref="BR111" dT="2026-04-19T05:38:21.95" personId="{C840B14E-9604-4731-8AA8-7C14D629FDE0}" id="{337F5000-DBE0-4336-B196-41CC29260CE7}">
    <text>23 Oct 25: Contractor submitted its claim via 1TB01006-006C52-MIN-LTR-0014 on 24 Sep 25: and submitted further particulars on 19 Oct 25 via MIN01006-GENCORR-000039. upon iniital review, commercial wrot back on 23 Oct 25 via AMA01006-GENCORR-003854 to resubmit the claim
25 Oct 25 - Employer responded advising the Contractor to revise and resubmit as the submission is not in accordance with the requirements of the Contract (AMA01006-GENCORR-003854)
03 Nov 25: awaiting response from contractor
13 Nov 25- Received Contractor's revised submission on 08 Nov 25 (MIN01006-TRANSMIT-000044) , 1TB01006-006C52-MIN-LTR-0020. Commercial to review.
17 Nov 25 - Received feedback from Planning . Commercial to prepare EAR by 27 Nov 25
23 Nov 25 - Rejection letter was sent to Contractor (Ref. 1TB01006-006C52-AMA-LTR-0024) and was asked to resubmit in compliance with the contract requirement
01 Dec 25: awaiting contractor's resubmission
13 Dec 25: Ditto
05 Jan 26 - Revised submission received thorugh MIN01006-TRANSMIT-000061 dated 20 Dec 2025, letter Ref. 1Tb01006-006C52-LTR-0030. Commercial and Planning to review.
10 Jan 26 - Under review by Commercial. EAR being drafted to finish by 23 Jan 26
20 Jan 26: Updated claims submitted via MIN01006-TRANSMIT-000071
25 Jan 26 - Updated submission received on 20 Jan 26 (EOT Rev 5 Ref. MIN01006-TRANSMIT-000071, 1TB01006-006C52-MIN-LTR-0034). Commercial is rveising the EAR base don the lates submission. Further particulars still not provided in the latest submission and again requested on 21 Jan 26 (AMA01006-GENCORR-004225).
09 Feb 26 - Draft EAR with Biljana. Still wating for some reference document from Contractor - reminder sent on 03 Feb 26 (ref. AMA01006-GENCORR-004302)
23 Feb 25: Ditto. Will finilise by 03 March, revised claim recevied on 17 Feb, MIN01006-GENCORR-000094
08 March 26: Revised EAR currently with BK for review
02 Apr 26: Draft EAR sent to Claims Team for review
06 Apr 26: Targeted to revert by 14 Apr 26
13 Apr 26: Draft EAR sent to planning for TIA
18 Apr 26: Draft EAR sent back to Commercial with comments from planning
19 Apr 26: Updated EAR sent to claims addressing the comments // Returned back by Planning to Commercial with comments, Commercial responded and reverted back to Claims, updated draft EAR sent to planning to proceed with TIA
20 Apr 26: Targeted to conclude TIA by 27 Apr 26
27 Apr 26: Targeted to conclude TIA by 30 Apr 26
29 Apr 26: Contractor submitted revised claim via 1TB01006-006C52-MIN-LTR-0051  &amp; MIN01006-GENCORR-000106 on 15 Apr 26, however the TIA is not in compliance and has responded to the contractor to resubmit the claim with updated TIA in compliance with the contract (letter in WF-043471)</text>
  </threadedComment>
  <threadedComment ref="BR112" dT="2026-02-22T10:43:18.99" personId="{C840B14E-9604-4731-8AA8-7C14D629FDE0}" id="{6C0A4881-BDC7-4119-8A61-C3287A09DD74}">
    <text>19 Oct 25 - Contractor submitted EOT 02 through Gen. Corr. reference CBE01006-GENCORR-000055, 1TB01006-006C20-CBE-LTR-0016 on 12 oct 25.  The Contractor included for all the events already assessed in EOT 01 and added additiaonal delay events. 
25 Oct 25 - Employer responded to EOT 02 submission (AMA01006-GENCORR-003855) advising that TIA used is acceptable and been asked to submit all supporting documents as per the required acceptable standard.
03 Nov 25: NE to discuss with SV, 
17 Nov 25: Clevaland resubmitted EOT2 rev 01, on 08 Nov 25, CBE01006-GENCORR-000056. Commercial to review/comply the report, target date 28 Nov 25.
25 Nov 25 - A meeting was held with Cleveland and has agreed to revise and submit a FINAL claim  covering all delay events outside the cut-off date of EOT 01 (27 June 2025). confirmation of the same was communicated via AMA01006-GENCORR-003979 with the contractor
01 Dec 25: awaiting contractor's resubmission
02 Dec 25: contractor submitted final claim via CBE01006-GENCORR-000059
10 Dec 25: Additional particulars submitted via CBE01006-GENCORR-000061
15 Dec 25: EOT 02 EAR sent to BK for review prior to sending to Claims team, target date 21 Dec 25. 
25 Dec 25: Draft EAR sent to claims team for review
03 Jan 26: Draft EAR sent back to comm with comments
04 Jan 26: updated draft report sent to claims for further review
05 Jan 26: EAR sent to planning for TIA
10 Jan 26 - EAR currenlty with Planning
27 Jan 26: Targeted to conclude TIA by 05 Feb 2026
02 Feb 26: Ditto
07 Feb 26 - TIA still with Planning, Targeted to finalise by 12 Feb 26
16 Feb 26: Targed to revert by end of the day today (16 Feb 26)
17 Feb 26: TIA incorporated and sent to commercial for finalisation for claims pre-approval prior to WF initiation
18 Feb 26: Claims team advise planning team whether to treat this claim as the final claim and adjust the TIA accordingly 
23 Feb 26: Planning came back, treating this an interim claim, now with Claims to respond. Claims team targeted to revert by 27 Feb 26</text>
  </threadedComment>
  <threadedComment ref="BR113" dT="2026-06-28T05:38:45.57" personId="{C840B14E-9604-4731-8AA8-7C14D629FDE0}" id="{A75F165A-4B8E-4A2C-9C35-582400D4BF1C}">
    <text>01 Nov 25: The Contarctor submitted its EOT Rev# 2 via  letter reference 1TB01002-002C06-HOI-LTR-0056 on 20-Oct-25.  Initial Planning review is complete with methodology accepted. Contractor EOT submission under Commercial Team review. The target completion date for the Commercial review is 09 Nov 2025.
17 Nov 25: Target Completion date for the Commercial Review extened to 18 November 2025
29 Nov 25: Target Completion date for Commercial Review moved to 02 December 2025
13 Dec 25: Target Completion date for Commercial Review moved to 15 December 2025
10 Jan 26: Commercial Review target submission to claims team  moved to 12 January 2026
25 Jan 26: Commercial Review target submission to P1 claims team  moved to 27 -Jan-26
07 Feb 26: Commercial review target submission to P1 Claims team moved to 12 February 2026
23 Feb 26: Target commercial review  date of 25 February 2026 to P1 Claims team, comm to provide a final target date for claims team's review
08 Mar 26: Commercial team shared the draft EAR to BK on 3 March 2026. Target date TBC
18 Mar 26:  The Contractor submited EOT claims (EOT Rev 03) via letter ref 1TB01002-002C06-HOI-LTR-0076 dated 18-Mar-26.
06 Apr 26: under review with commercial, Targeted to submit Draft EAR for claims review by (TBC), Litha to advise whether to incorporate EOT 3 in EOT 2
20 Apr 26: comm awaiting response from delivery team regarding confirmation on whether or not the dates tabled by Havelock in the absence of the formal clearance is truein meantime, a draft response to contractor requesting revised claim was sent to claims for review and the same has been reveiwed and sent back to commercial for issuance
04 May 26: Ditto, awaiting response from delivery team
16 May 26: Initial Planning review is complete with methodology accepted. HOI updatd missing access clearance dates. EAR preparation in progress. Target date 24 May 26.</text>
  </threadedComment>
  <threadedComment ref="BR114" dT="2026-05-17T09:54:25.83" personId="{C840B14E-9604-4731-8AA8-7C14D629FDE0}" id="{B077E006-83B2-45B8-802C-4AE210D42521}">
    <text>01 Nov 25:  The Contarctor submitted its EOT Rev# 1 via  letter reference 1TB01002-002C61-HOI-LTR-0007 on 20-Oct-25.  Initial Planning review is complete with methodology accepted. Contractor EOT submission under Commercial Team review. The target completion date for the Commercial review is 11 Nov 2025.
17 Nov 25: Target Completion date for the Commercial Review extened to 18 November 2025.
01 Dec  25: Target Completion date for Commercial Review moved to 02 December 2025
13 Dec 25: Target Completion date for Commercial Review moved to 15 December 2025
10 Jan 26: Commercial Review target submission to claims team moved to (TBC)
22 Jan 26: Draft EAR sent to claims for initial review</text>
  </threadedComment>
  <threadedComment ref="BR115" dT="2026-08-09T08:08:37.57" personId="{C840B14E-9604-4731-8AA8-7C14D629FDE0}" id="{16B44BFB-2B02-452C-A86D-8C216CCE6D7A}">
    <text>17 Nov 25: Prolongation cost submitted on the 8th of Nov 2025. Under review with comm
01 Dec 25: Based on the preliminary review of the Contractor's submission, the substantiation/contemporary records are not complete. Initial response to MAS's submission is under review. comm to respond to the contractor by 04 Dec 2025
13 Dec 25: Employer's letter response (1TB01002-002C03-AMA-LTR-0120) to Contractor's letter (1TB01002-002C03-MEC-LTR-0077) is under WF for approval (WF-034354)
22 Dec '25 - RSG's response to the Contractor's prolongation cost issued via 1TB01002-002C03-AMA-LTR-0120. Pending response from the Contractor..
12 Jan 26: Ditto, Comm to issue a follow up letter
25 Jan 26: Contractor  issued Supplementary and Updated Interim Extension of Time Claim via  letter ref. 1TB01002-002C03-MEC-LTR-0084 on 18-Jan-26.
07 Feb 26: Letter response to follow up was issued on 07 Feb 26 (Ref. AMA01006-GENCORR-003095)
09 Feb 26: Ditto</text>
  </threadedComment>
  <threadedComment ref="BR116" dT="2026-05-17T09:54:36.95" personId="{C840B14E-9604-4731-8AA8-7C14D629FDE0}" id="{01C346E0-BB5F-4846-9BD2-AF2FA695705F}">
    <text>17 Nov 25: Contractor submitted EOT claim no. 1 via Aconex with the  ref no  ICAE-TRANSMIT-000012 on 13 Nov 2025. To be reviewed by Commercial team, Comm review / initial response under process, targeted to submit for claims team by 07 Dec 25
19 Nov 25: Commercail team has requested for additional backup (AMA01002-GENCORR-002961 dated 19-Nov-25) which the Conatractor has provided (ICAE-TRANSMIT-000012 dated -19-Nov-25)
01 Dec 25: under review with commercial, targeted to finalise the report and submit for claims team's review by 11 Dec 2025
13 Dec 25: Contractor was requested to revise and resubmit the EOT via Aconex on 29 Nov 25, 
AMA01002-GENCORR-002992 dated 29 Nov 25. XER files missing 
27 Dec '25 : RSG's response issued to the Contractor's EOT Claim via AMA01002-GENCORR-003032. Contractor to revise and resubmit the EOT Claim. 
25 Jan 26: Reminder to revise and resubmit was issued to Contractor via  AMA01002-GENCORR-003046 on 12-Jan-26
7 Feb 26: The Contractor submitted its revised EOT claims along  with the backup via ICAE-TRANSMIT-000027 (1TB01002-002C59-ICA-LTR-0022) on 28-Jan-26. RSGresponded to Contractor's submission via AMA01002-GENCORR-003086 dated 03-Feb-26, to resubmit the EOT claims in compliance with RSG's comments.
21 Feb 26: Awaiting resubmission of EOT claims from the Contractor in compliance to RSG's comments
08 Mar 26: The Contractor submitted its EoT claims via ICAE-TRANSMIT-00005 on 2-Mar-26 (1TB01002-002C59-ICA-LTR-0050). Under Commercial review. Workshop with the Contractor scheduled on 11 March 26.
15 Mar 26:  The Contractor submitted its EoT claims via ICAE-TRANSMIT-000055 on 15-Mar-26 (1TB01002-002C59-ICA-LTR-0057). Further to that an online workshop was held on 17Mar 26.Subsequently, via AMA01002-GENCORR-003151 dated 22-Mar-26, RSG issued as general comments on the Contractor’s submission, instructing that the EOT claim be revised and resubmitted in accordance with the comments and in compliance with the Contract requirements.
06 Apr 26: awaiting response from contractor
19 Apr 26 : Contractor's revised submission received via ICAE-TRANSMIT-000070 dated 7 April 2026; Plannig's queries issued via AMA01002-GENCORR-003171 dated 9 April 2026 and Commercial response will be issued to the Contractor on 20 April 2026. Contractor to revise and resubmit.
04 May 26:  RSG's response issued to the Contractor's EOT Claim via AMA01002-GENCORR-003208 on 29-Apr-26. Contractor to comply on RSG's comments
16 May 26: Contractor's revised EOT submission received on 16 May 2026 via ICAE-TRANSMIT-000094. Under commercial and planning review.</text>
  </threadedComment>
  <threadedComment ref="BR117" dT="2026-07-13T08:25:56.82" personId="{C840B14E-9604-4731-8AA8-7C14D629FDE0}" id="{631A886F-9EED-4F86-800F-81FFA70F0684}">
    <text>17 Nov 25: Prolongation cost received on 23 October 25, under review by Commercial. Initial response targeted to submit for claims team by 24 Nov 25
01 Dec 25: Ditto, Initial response target to issue by 10 Dec 25
13 Dec 25: Contractor was requested to revise and resubmit the prolongation cost with the complete support documents via Aconex on 3 Dec 25 as Contractor submitted one page letter without any detailed backup and substantiation, 1TB01002-002C22-AMA-LTR-0051 dated 03 Dec 25.
12 Jan 25: Comm to issue a follow up letter
25 Jan 26:  Contractor replied  to RSG Letter Ref. No. 1TB01002-002C22-AMA-LTR-0051 along with the submission of Additional Cost Claim via CBE01002-GENCORR-000054 on 20-Jan-26. Awaiting conclusion of EOT 01 anyway. 
09 Feb 26: As per the EOT actions meeting, the prolongation costs shall be reviewed and concluded based on the Contarctoctor's time entitlement.
23 Feb 26: Ditto
08 Mar 26: EAR for time issued on 05 March 2026 under letter ref. 1TB01002-002C22-AMA-LTR-0056, awaiting contractor's acceptance upon which contractor will be requested to submit the revised cost claim 
06 Apr 26: The Contractor has responded to RSG's leter via ref CBE01002-GENCORR-000058 (1TB01002-002C22-CBE-LTR-0029) dated 11-Mar-26, and provided addendum for the claim for RSG's review. Under Review by Planning.
20 Apr 26: Planning and Commercial review completed. Employer's response currently under workflow. Employer reaffirmed that the issued EAR remains valid.
02 May 26: Meeting/ Workshop scheduled on Sunday, 03-May-26.
04 May 26: Comm to update</text>
  </threadedComment>
  <threadedComment ref="BR120" dT="2026-06-28T14:41:10.08" personId="{C840B14E-9604-4731-8AA8-7C14D629FDE0}" id="{89B8800D-E91B-496C-971D-884167130409}">
    <text>12 Dec 25: Claim reviewed by commercial and planning and rejected - No detailed chronology, No monthly window analysis, Global cost assessment - Letter to be issued to WF by 18 Dec 25.
09 Jan 26: Line item removed from tracker? Revised claim submitted on 07 Jan 26 and TIA comments not addressed - site team to arrange a meeting with Contractor.
26 Jan 26: Meeting held with Contractors Claim consultant on 15 Jan 26 and they will update the Claim so it is compliant with the Contract. Letter to confirm issued to WF for approvals 1TB01005-005C26-AMA-LTR-0122.
09 Feb 26: Further letter from Contractor requesting an EI to prepare the TIA as requested by the Employer. Response being drafted to confirm an EI will not be issued as the TIA needs to be in a format acceptable to the Employer -To be issued to WF by 10 Feb
23 Feb 26: Letter 1TB01005-005C26-AMA-LTR-0123 issued 16 Feb confirming Employer stance on compliant Claim and we await Contractor response.
08 March 26 : Ditto
06 Apr 26: Ditto, comm to issue a follow up letter
20 Apr 26: Follow-up letter pending acceptance with CB (WF-042333) he back in office Sunday 19 Apr. BKG advised verbally on 15 Apr that they has received the first draft from its consultant and they are working on the concurrent delay update - they are targeting issuance in the next one to two weeks.
23 Apr 26: Contractor submitted updated claim via BGC01005-GENCORR-000169 (1TB01005-005C26-BGC-LTR-0255), currently with site planning team to review and provide comments
27 Apr 26: Targeted to be reverted by 30 Apr 26
04 May 26: Site review to be concluded by 06 May 26. The Contractor has not demonstrated it was ready to commence the works and places heavy reliance on weekly progress reports to substantiate its access delays - Need to decide if it would be beneficial for RSG to fill in the blanks to increase the concurrent delay if possible.</text>
  </threadedComment>
  <threadedComment ref="BR124" dT="2026-08-09T08:12:08.67" personId="{C840B14E-9604-4731-8AA8-7C14D629FDE0}" id="{8B43862E-CAA1-4292-99B0-BF6B9446096C}">
    <text>11 Jan 26: Under review. 
27 Jan 26: Target date to be confirmed by (TBC)
09 February 2026: Target commercial review  date of 15 February 2026 to P1 Claims team
23 Feb 26: Target commercial review  date of 26 February 2026 to P1 Claims team
08 Mar 26: Draft EAR under preparation. Commercial team's target date to share with P1 Commercial team on 12 March 2026
06 Apr 26: Draft EAR under preparation, Target date moved to (TBC)
20 Apr 26: Ditto, Targeted to submit draft EAR for claims team's review by 23 Apr 26
26 Apr 26: Draft EAR sent to claims team for initial review
28 Apr 26: Draft EAR sent back to commercial with comments
29 Apr 26: updated draft EAR sent to claims team for review</text>
  </threadedComment>
  <threadedComment ref="BR126" dT="2026-09-06T18:55:43.66" personId="{C840B14E-9604-4731-8AA8-7C14D629FDE0}" id="{BA89D8BC-E66B-4C1C-9BA8-48B28F346506}">
    <text>25 Jan 26:  Interim EoT submitted on 13 Jan 2026. Targeted to finalise and submit to claims by 25 April 2026
09 Feb 26: Ditto
21 Feb 26: Ditto
08 Mar 26: Draft EOT Assesment Report with BK for review, prior to Claims Team submission. Target date TBC
19 MAr 26: Draft EAR sent to claims team for review
31 Mar 26: reviewed and sent to planning for TIA
06 Apr 26: Ditto, TIA targeted to be concluded by 21 Apr 26
13 Apr 26: Ditto
20 Apr 26: Ditto</text>
  </threadedComment>
  <threadedComment ref="BR127" dT="2025-05-04T10:56:22.52" personId="{C840B14E-9604-4731-8AA8-7C14D629FDE0}" id="{0ACC8559-4BE6-4B50-8CC7-A2E910D7CE11}">
    <text>14 Dec 24: Formal response letter prepared by RSMLI Commercial team and sent to claims for review
05 Jan 24: Intial response issued to contractor on 16 Dec 24 to resubmit the claim
15 Jan 25 - Awaiting further response from Contractor
23 Jan 25: Ditto
27 Jan 25: Ditto. comemrcial to issue a follow up letter
09 Feb 25: Commercial to assess merit of existing Claim based on current information and site planning team to do the same. Site discussions ongoing with the Contractor to agree the Costs and revised end date. Target for draft report to planning by 20 Feb 25 and costings is 28 Feb 25.
24 Feb 25: Draft report not yet commenced, revised target 06Mar.
09 Mar 25: Draft report preparation on going - will be issued to Claims by 13 Mar
10 Mar 25: Draft report preparation on going while awaiting resubmission from contractor - targeted to be issued to Claims by 13 Mar
23 Mar 25 - Project team finalising report, target issue to Claims by 30 Mar
09 Apr 25 - Ditto - target date mid Apr
19 Apr 25 - Revised ToC submitted by Contractor on 5th April  (1TB01005-005C24-PRA-LTR-0011). Project team working on EoT assessment report. commercial to commit a date for finalisation of the claims by next meeting
05 May 25 - Information recieved from the delivery team on 22 Apr. Commercial will finalise the report by the 22nd May
19 May 25 - Commercial assessment report will be issued to claims by 22 May. Planning rejected the revised Contractor's revised TIA assessment following a workshop with the Contractor on the 13th May. The Contractor will update and resubmit. Rejection letter issued in WF-029469  (1TB01005-005C24-AMA-LTR-0036)
29 May 25: Draft EAR sent to claims team for review
01 June 25 - EOT Commercial assessment report issued to claims. Discretionary award EI in WF (Aconex ref WF-030051).
Discretionary award EI issued on  15 June 25 via aconex Ref: 1TB01005-005C24-AMA-LTR-0037
15 Jun 25: EAR with claims for review
17 Jun 25: further to a meeting bw planning and claims, an early draft report of the Pangea shared with planning team to start with the TIA
23 Jun 25: Contractor to resubmit updated claim to proceed with TIA
30 Jun 25: Site team chasing the revised TIA - note Contractor not currently on Site as no Work avilable due to delays by others.
14 Jul 25: Ditto
25 Jul 25: Revised Claim submitted 13 Jul 25 (1TB01005-005C24-PRA-LTR-0016). Assessment report ongoing.
12 Aug 25: commercial report firtst draft under review with BK. To be sent to Claims by 13-14 August .
19 Aug 25: Draft report sent to claims team for review
25 Aug 25: Report issued to Claims team on 19 Aug 25, targeted to revert by 04 Sep 25
08 Sep 25: Targeted to revert by 12 Sep 25
26 Sep 25: Draft report reviewed and sent back to commercial to update the report with relevant references and resubmit
02 Oct 25: Draft EAR sent to claims for review
06 Oct 25:  Ditto
11 Oct 25: Draft report sent to planning to proceed with TIA
13 Oct 25: Target date TBC
17 Oct 25: EAR issued to planning on 11 Oct 25
20 Oct 25: Planning team targeted to revert by 30 Oct 25
27 Oct 25: Target date moved to 05 Nov 25
03 Nov 25: Ditto
10 Nov 25: Target date moved to 13 Nov 25
17 Nov 25: Ditto, to be finalised and send to commercial by 17 Nov 25
19 Nov 25: TIA incorporated and sent to claims team
23 Nov 25: EAR approved and sent to commercial to initiate WF
25 Nov 25: EAR put in workflow for approval - WF-036960
14 Dec 25: EAR questioned by BE in regard to concurrent delay. NE said he would close out with BE prior to issuance to Contractor. Meeting held with planning on 14 Dec 25, commercial to updat the chronology following the meeting. NE to advise if the new WF is required.
15 Dec 25: KM confirmed that the report can be issued directly to the contractor with amendments
24 Dec 25: EAR issued to contractor via 1TB01005-005C24-AMA-LTR-0042 
09 Jan 26: Pangea have responded confirming they do not accept concurrent delay and have issued a letter to confirm the reasons why procurement of handrails, lifts and ladders were delayed.(1TB01005-005C24-PRA-LTR-0020). 
10 Jan 26: Letter forwaded to planning and claims team to advise next steps.
12 Jan 25: claims team to responde by end of the day today
20 Jan 26: planning was advised to reassess the TIA
22 Jan 26: Issued to planning on 20 Jan
28 Jan 26: TIA incorporated and issued to claims
03 Feb 26: Final Draft approved and sent to commercial to intiiate WF
06 Feb 26: EAR going through WF for approval (WF-040009)
21 Feb 26: EAR approved 19 Feb. Issuance approval ongoing WF-040621 
01 Mar 26: EAR issued to contractor via 1TB01005-005C24-AMA-LTR-0047 
07 Mar 26: Pangea via 1TB01005-005C24-PRA-LTR-0022  on 07 Mar 26 has challenged the delay assessment in the latest EAR regarding the bubble tank design, noting it was introduced as a Variation, commercial requested planning to review our position and advise on the appropriate response. // Planning responded that the delay event was not included in the Contractor’s EOT claim or the EAR, and stated that its contractual merit and full supporting details must first be incorporated into the EAR before any assessment or apportionment of Employer-related delay can be made.
08 May 26: Commercial responded clarifying that the delay events in question are DE 03 and 04 and the access delays to the tanks. Claims team to advise (targeted to revert by end of the day today)</text>
  </threadedComment>
  <threadedComment ref="BR134" dT="2026-09-06T18:58:41.12" personId="{C840B14E-9604-4731-8AA8-7C14D629FDE0}" id="{8B830D0C-4121-470D-A455-BE191A6E5F5B}">
    <text>08 March 2026: Full Claims document received on 03 March 26. Under review by Commercial, target to finish EAR by 21 April 2026
04 Apr 2026: Ditto
20 Apr 26: Ditto
04 May 2026: Draft EAR with BK,  target date 05 May 26 to be with Claims - Query / advise raised with claims team in regards to DE07 "damage to Contractor's works" 
09 May 26: Claims team responded that contractor will be responsible for any loss or damage to its Works as per Clause 17.2.3 unless otherwise it is able to succesfully demonstrate that it had adequately protected its Works, where an EOT may be considered without Cost</text>
  </threadedComment>
  <threadedComment ref="BR154" dT="2026-05-03T11:49:20.81" personId="{C840B14E-9604-4731-8AA8-7C14D629FDE0}" id="{D75C3C7F-4A1E-40EB-93DC-F8F6B6920CF4}">
    <text>21 Oct 25: Depa submitted EOT 2 via 1TB01003-003C09-DCC-LTR-0299 on 09 Oct 25, commercial &amp; planning  currently reviewing the submission
26 Oct 25: DEOT under preperation with Planning team, Comm to confirm the target date for the draft EAR submission for claims team's review
26 Oct 25: Comm to provide EAR on 09 Nov 2025, DEOT under process with Planning (DEOT targeted to finalise by 30 Oct 25)
02 Nov 25: Draft report sent to site planning team for review.
09 Nov 25: DEOT in WF, WF-017971. detailed report under review by commercial
17 Nov 25: Draft report with Design-Delivery for review (DE 06), Targeted to finalise by (TBC)
23 Nov 25: Draft being finalised by commercial for claims team's initial review
01 Dec 25: Draft being finalised by the Commercial for Claims Team review, currently with BK, targeted to submit for claims review by 02 Dec 2025
02 Dec 25: Draft EAR sent to claims for review
05 Dec 25: Draft EAR sent to Planning for TIA
08 Dec 25: TIA targeted to conclude by (TBC)
13 Dec 25: Draft EAR with Planning Team for Time Impact Assessment,
15 Dec 25: TIA targeted to conclude by 06 Jan 25
10 Jan 26: TIA under review by Planning Team., Shaju to update 
13 Jan 26: Targeted to finalise by 25 Jan 26
19 Jan 26: Targeted to finalise by 22 Jan 26
24 Jan 26: Under review by Planning Team.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C59E9-348D-4082-ABFC-9D784CFDC93E}">
  <sheetPr>
    <tabColor rgb="FFFF0000"/>
    <pageSetUpPr autoPageBreaks="0" fitToPage="1"/>
  </sheetPr>
  <dimension ref="A2:BC72"/>
  <sheetViews>
    <sheetView topLeftCell="A34" zoomScale="115" zoomScaleNormal="115" workbookViewId="0">
      <selection activeCell="BR152" sqref="BR152"/>
    </sheetView>
  </sheetViews>
  <sheetFormatPr baseColWidth="10" defaultColWidth="9" defaultRowHeight="13"/>
  <cols>
    <col min="1" max="1" width="4.796875" customWidth="1"/>
    <col min="2" max="2" width="37.796875" customWidth="1"/>
    <col min="3" max="15" width="11.3984375" customWidth="1"/>
    <col min="16" max="20" width="11.3984375" hidden="1" customWidth="1"/>
    <col min="21" max="21" width="11.796875" customWidth="1"/>
  </cols>
  <sheetData>
    <row r="2" spans="1:55" s="3" customFormat="1" ht="18" customHeight="1">
      <c r="A2" s="1" t="s">
        <v>0</v>
      </c>
      <c r="B2" s="1"/>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row>
    <row r="3" spans="1:55" s="3" customFormat="1" ht="18" customHeight="1">
      <c r="A3" s="4" t="s">
        <v>20</v>
      </c>
      <c r="B3" s="5"/>
      <c r="C3" s="6">
        <f>COUNTIFS(Summary!$A:$A,C$2,Summary!$AV:$AV,$A$3)+COUNTIFS(Summary!$A:$A,C$2,Summary!$AW:$AW,$A$3)</f>
        <v>83</v>
      </c>
      <c r="D3" s="6">
        <f>COUNTIFS(Summary!$A:$A,D$2,Summary!$AV:$AV,$A$3)+COUNTIFS(Summary!$A:$A,D$2,Summary!$AW:$AW,$A$3)</f>
        <v>0</v>
      </c>
      <c r="E3" s="6">
        <f>COUNTIFS(Summary!$A:$A,E$2,Summary!$AV:$AV,$A$3)+COUNTIFS(Summary!$A:$A,E$2,Summary!$AW:$AW,$A$3)</f>
        <v>0</v>
      </c>
      <c r="F3" s="6">
        <f>COUNTIFS(Summary!$A:$A,F$2,Summary!$AV:$AV,$A$3)+COUNTIFS(Summary!$A:$A,F$2,Summary!$AW:$AW,$A$3)</f>
        <v>0</v>
      </c>
      <c r="G3" s="6">
        <f>COUNTIFS(Summary!$A:$A,G$2,Summary!$AV:$AV,$A$3)+COUNTIFS(Summary!$A:$A,G$2,Summary!$AW:$AW,$A$3)</f>
        <v>0</v>
      </c>
      <c r="H3" s="6">
        <f>COUNTIFS(Summary!$A:$A,H$2,Summary!$AV:$AV,$A$3)+COUNTIFS(Summary!$A:$A,H$2,Summary!$AW:$AW,$A$3)</f>
        <v>0</v>
      </c>
      <c r="I3" s="6">
        <f>COUNTIFS(Summary!$A:$A,I$2,Summary!$AV:$AV,$A$3)+COUNTIFS(Summary!$A:$A,I$2,Summary!$AW:$AW,$A$3)</f>
        <v>0</v>
      </c>
      <c r="J3" s="6">
        <f>COUNTIFS(Summary!$A:$A,J$2,Summary!$AV:$AV,$A$3)+COUNTIFS(Summary!$A:$A,J$2,Summary!$AW:$AW,$A$3)</f>
        <v>0</v>
      </c>
      <c r="K3" s="6">
        <f>COUNTIFS(Summary!$A:$A,K$2,Summary!$AV:$AV,$A$3)+COUNTIFS(Summary!$A:$A,K$2,Summary!$AW:$AW,$A$3)</f>
        <v>0</v>
      </c>
      <c r="L3" s="6">
        <f>COUNTIFS(Summary!$A:$A,L$2,Summary!$AV:$AV,$A$3)+COUNTIFS(Summary!$A:$A,L$2,Summary!$AW:$AW,$A$3)</f>
        <v>0</v>
      </c>
      <c r="M3" s="6">
        <f>COUNTIFS(Summary!$A:$A,M$2,Summary!$AV:$AV,$A$3)+COUNTIFS(Summary!$A:$A,M$2,Summary!$AW:$AW,$A$3)</f>
        <v>0</v>
      </c>
      <c r="N3" s="6">
        <f>COUNTIFS(Summary!$A:$A,N$2,Summary!$AV:$AV,$A$3)+COUNTIFS(Summary!$A:$A,N$2,Summary!$AW:$AW,$A$3)</f>
        <v>0</v>
      </c>
      <c r="O3" s="6">
        <f>COUNTIFS(Summary!$A:$A,O$2,Summary!$AV:$AV,$A$3)+COUNTIFS(Summary!$A:$A,O$2,Summary!$AW:$AW,$A$3)</f>
        <v>0</v>
      </c>
      <c r="P3" s="6">
        <f>COUNTIFS(Summary!$A:$A,P$2,Summary!$AV:$AV,$A$3)+COUNTIFS(Summary!$A:$A,P$2,Summary!$AW:$AW,$A$3)</f>
        <v>0</v>
      </c>
      <c r="Q3" s="6">
        <f>COUNTIFS(Summary!$A:$A,Q$2,Summary!$AV:$AV,$A$3)+COUNTIFS(Summary!$A:$A,Q$2,Summary!$AW:$AW,$A$3)</f>
        <v>0</v>
      </c>
      <c r="R3" s="6">
        <f>COUNTIFS(Summary!$A:$A,R$2,Summary!$AV:$AV,$A$3)+COUNTIFS(Summary!$A:$A,R$2,Summary!$AW:$AW,$A$3)</f>
        <v>0</v>
      </c>
      <c r="S3" s="6">
        <f>COUNTIFS(Summary!$A:$A,S$2,Summary!$AV:$AV,$A$3)+COUNTIFS(Summary!$A:$A,S$2,Summary!$AW:$AW,$A$3)</f>
        <v>0</v>
      </c>
      <c r="T3" s="6">
        <f>COUNTIFS(Summary!$A:$A,T$2,Summary!$AV:$AV,$A$3)+COUNTIFS(Summary!$A:$A,T$2,Summary!$AW:$AW,$A$3)</f>
        <v>0</v>
      </c>
      <c r="U3" s="7">
        <f>SUM(C3:T3)</f>
        <v>83</v>
      </c>
    </row>
    <row r="4" spans="1:55" s="3" customFormat="1" ht="18" customHeight="1">
      <c r="A4" s="8" t="s">
        <v>21</v>
      </c>
      <c r="B4" s="8"/>
      <c r="C4" s="9">
        <f>COUNTIFS(Summary!$A:$A,C$2,Summary!$AV:$AV,$A$4)+COUNTIFS(Summary!$A:$A,C$2,Summary!$AW:$AW,$A$4)</f>
        <v>79</v>
      </c>
      <c r="D4" s="9">
        <f>COUNTIFS(Summary!$A:$A,D$2,Summary!$AV:$AV,$A$4)+COUNTIFS(Summary!$A:$A,D$2,Summary!$AW:$AW,$A$4)</f>
        <v>0</v>
      </c>
      <c r="E4" s="9">
        <f>COUNTIFS(Summary!$A:$A,E$2,Summary!$AV:$AV,$A$4)+COUNTIFS(Summary!$A:$A,E$2,Summary!$AW:$AW,$A$4)</f>
        <v>0</v>
      </c>
      <c r="F4" s="9">
        <f>COUNTIFS(Summary!$A:$A,F$2,Summary!$AV:$AV,$A$4)+COUNTIFS(Summary!$A:$A,F$2,Summary!$AW:$AW,$A$4)</f>
        <v>0</v>
      </c>
      <c r="G4" s="9">
        <f>COUNTIFS(Summary!$A:$A,G$2,Summary!$AV:$AV,$A$4)+COUNTIFS(Summary!$A:$A,G$2,Summary!$AW:$AW,$A$4)</f>
        <v>0</v>
      </c>
      <c r="H4" s="9">
        <f>COUNTIFS(Summary!$A:$A,H$2,Summary!$AV:$AV,$A$4)+COUNTIFS(Summary!$A:$A,H$2,Summary!$AW:$AW,$A$4)</f>
        <v>0</v>
      </c>
      <c r="I4" s="9">
        <f>COUNTIFS(Summary!$A:$A,I$2,Summary!$AV:$AV,$A$4)+COUNTIFS(Summary!$A:$A,I$2,Summary!$AW:$AW,$A$4)</f>
        <v>0</v>
      </c>
      <c r="J4" s="9">
        <f>COUNTIFS(Summary!$A:$A,J$2,Summary!$AV:$AV,$A$4)+COUNTIFS(Summary!$A:$A,J$2,Summary!$AW:$AW,$A$4)</f>
        <v>0</v>
      </c>
      <c r="K4" s="9">
        <f>COUNTIFS(Summary!$A:$A,K$2,Summary!$AV:$AV,$A$4)+COUNTIFS(Summary!$A:$A,K$2,Summary!$AW:$AW,$A$4)</f>
        <v>0</v>
      </c>
      <c r="L4" s="9">
        <f>COUNTIFS(Summary!$A:$A,L$2,Summary!$AV:$AV,$A$4)+COUNTIFS(Summary!$A:$A,L$2,Summary!$AW:$AW,$A$4)</f>
        <v>0</v>
      </c>
      <c r="M4" s="9">
        <f>COUNTIFS(Summary!$A:$A,M$2,Summary!$AV:$AV,$A$4)+COUNTIFS(Summary!$A:$A,M$2,Summary!$AW:$AW,$A$4)</f>
        <v>0</v>
      </c>
      <c r="N4" s="9">
        <f>COUNTIFS(Summary!$A:$A,N$2,Summary!$AV:$AV,$A$4)+COUNTIFS(Summary!$A:$A,N$2,Summary!$AW:$AW,$A$4)</f>
        <v>0</v>
      </c>
      <c r="O4" s="9">
        <f>COUNTIFS(Summary!$A:$A,O$2,Summary!$AV:$AV,$A$4)+COUNTIFS(Summary!$A:$A,O$2,Summary!$AW:$AW,$A$4)</f>
        <v>0</v>
      </c>
      <c r="P4" s="9">
        <f>COUNTIFS(Summary!$A:$A,P$2,Summary!$AV:$AV,$A$4)+COUNTIFS(Summary!$A:$A,P$2,Summary!$AW:$AW,$A$4)</f>
        <v>0</v>
      </c>
      <c r="Q4" s="9">
        <f>COUNTIFS(Summary!$A:$A,Q$2,Summary!$AV:$AV,$A$4)+COUNTIFS(Summary!$A:$A,Q$2,Summary!$AW:$AW,$A$4)</f>
        <v>0</v>
      </c>
      <c r="R4" s="9">
        <f>COUNTIFS(Summary!$A:$A,R$2,Summary!$AV:$AV,$A$4)+COUNTIFS(Summary!$A:$A,R$2,Summary!$AW:$AW,$A$4)</f>
        <v>0</v>
      </c>
      <c r="S4" s="9">
        <f>COUNTIFS(Summary!$A:$A,S$2,Summary!$AV:$AV,$A$4)+COUNTIFS(Summary!$A:$A,S$2,Summary!$AW:$AW,$A$4)</f>
        <v>0</v>
      </c>
      <c r="T4" s="9">
        <f>COUNTIFS(Summary!$A:$A,T$2,Summary!$AV:$AV,$A$4)+COUNTIFS(Summary!$A:$A,T$2,Summary!$AW:$AW,$A$4)</f>
        <v>0</v>
      </c>
      <c r="U4" s="10">
        <f>SUM(C4:T4)</f>
        <v>79</v>
      </c>
    </row>
    <row r="5" spans="1:55" s="3" customFormat="1" ht="18" customHeight="1">
      <c r="A5" s="11" t="s">
        <v>19</v>
      </c>
      <c r="B5" s="11"/>
      <c r="C5" s="12">
        <f>SUM(C3:C4)</f>
        <v>162</v>
      </c>
      <c r="D5" s="12">
        <f t="shared" ref="D5:T5" si="0">SUM(D3:D4)</f>
        <v>0</v>
      </c>
      <c r="E5" s="12">
        <f t="shared" si="0"/>
        <v>0</v>
      </c>
      <c r="F5" s="12">
        <f t="shared" si="0"/>
        <v>0</v>
      </c>
      <c r="G5" s="12">
        <f t="shared" si="0"/>
        <v>0</v>
      </c>
      <c r="H5" s="12">
        <f t="shared" si="0"/>
        <v>0</v>
      </c>
      <c r="I5" s="12">
        <f t="shared" si="0"/>
        <v>0</v>
      </c>
      <c r="J5" s="12">
        <f t="shared" si="0"/>
        <v>0</v>
      </c>
      <c r="K5" s="12">
        <f t="shared" si="0"/>
        <v>0</v>
      </c>
      <c r="L5" s="12">
        <f t="shared" si="0"/>
        <v>0</v>
      </c>
      <c r="M5" s="12">
        <f t="shared" si="0"/>
        <v>0</v>
      </c>
      <c r="N5" s="12">
        <f t="shared" si="0"/>
        <v>0</v>
      </c>
      <c r="O5" s="12">
        <f t="shared" si="0"/>
        <v>0</v>
      </c>
      <c r="P5" s="12">
        <f t="shared" si="0"/>
        <v>0</v>
      </c>
      <c r="Q5" s="12">
        <f t="shared" si="0"/>
        <v>0</v>
      </c>
      <c r="R5" s="12">
        <f t="shared" si="0"/>
        <v>0</v>
      </c>
      <c r="S5" s="12">
        <f t="shared" si="0"/>
        <v>0</v>
      </c>
      <c r="T5" s="12">
        <f t="shared" si="0"/>
        <v>0</v>
      </c>
      <c r="U5" s="12">
        <f>SUM(C5:T5)</f>
        <v>162</v>
      </c>
    </row>
    <row r="6" spans="1:55">
      <c r="C6" s="13"/>
      <c r="D6" s="13"/>
      <c r="E6" s="13"/>
      <c r="F6" s="13"/>
      <c r="G6" s="13"/>
      <c r="H6" s="13"/>
      <c r="I6" s="13"/>
      <c r="J6" s="13"/>
      <c r="K6" s="13"/>
      <c r="L6" s="13"/>
      <c r="M6" s="13"/>
      <c r="N6" s="13"/>
      <c r="O6" s="13"/>
      <c r="P6" s="13"/>
      <c r="Q6" s="13"/>
      <c r="R6" s="13"/>
      <c r="S6" s="13"/>
      <c r="T6" s="13"/>
      <c r="U6" s="13"/>
      <c r="BC6" s="14"/>
    </row>
    <row r="7" spans="1:55" ht="16">
      <c r="A7" s="15" t="s">
        <v>22</v>
      </c>
      <c r="B7" s="16" t="s">
        <v>23</v>
      </c>
      <c r="C7" s="13"/>
      <c r="D7" s="13"/>
      <c r="E7" s="13"/>
      <c r="F7" s="13"/>
      <c r="G7" s="13"/>
      <c r="H7" s="13"/>
      <c r="I7" s="13"/>
      <c r="J7" s="13"/>
      <c r="K7" s="13"/>
      <c r="L7" s="13"/>
      <c r="M7" s="13"/>
      <c r="N7" s="13"/>
      <c r="O7" s="13"/>
      <c r="P7" s="13"/>
      <c r="Q7" s="13"/>
      <c r="R7" s="13"/>
      <c r="S7" s="13"/>
      <c r="T7" s="13"/>
      <c r="U7" s="13"/>
    </row>
    <row r="8" spans="1:55" s="3" customFormat="1" ht="18" customHeight="1">
      <c r="A8" s="1" t="s">
        <v>24</v>
      </c>
      <c r="B8" s="1"/>
      <c r="C8" s="2" t="s">
        <v>1</v>
      </c>
      <c r="D8" s="2" t="s">
        <v>2</v>
      </c>
      <c r="E8" s="2" t="s">
        <v>3</v>
      </c>
      <c r="F8" s="2" t="s">
        <v>4</v>
      </c>
      <c r="G8" s="2" t="s">
        <v>5</v>
      </c>
      <c r="H8" s="2" t="s">
        <v>6</v>
      </c>
      <c r="I8" s="2" t="s">
        <v>7</v>
      </c>
      <c r="J8" s="2" t="s">
        <v>8</v>
      </c>
      <c r="K8" s="2" t="s">
        <v>9</v>
      </c>
      <c r="L8" s="2" t="s">
        <v>10</v>
      </c>
      <c r="M8" s="2" t="s">
        <v>11</v>
      </c>
      <c r="N8" s="2" t="s">
        <v>12</v>
      </c>
      <c r="O8" s="2" t="s">
        <v>13</v>
      </c>
      <c r="P8" s="2" t="s">
        <v>14</v>
      </c>
      <c r="Q8" s="2" t="s">
        <v>15</v>
      </c>
      <c r="R8" s="2" t="s">
        <v>16</v>
      </c>
      <c r="S8" s="2" t="s">
        <v>17</v>
      </c>
      <c r="T8" s="2" t="s">
        <v>18</v>
      </c>
      <c r="U8" s="2" t="s">
        <v>19</v>
      </c>
    </row>
    <row r="9" spans="1:55" s="3" customFormat="1" ht="18" customHeight="1">
      <c r="A9" s="17" t="s">
        <v>25</v>
      </c>
      <c r="B9" s="18" t="s">
        <v>26</v>
      </c>
      <c r="C9" s="19">
        <f ca="1">COUNTIFS(Summary!$A:$A,C$8,Summary!$V:$V,0,Summary!$W:$W,"&gt;=1",Summary!$W:$W,"&lt;=7")</f>
        <v>0</v>
      </c>
      <c r="D9" s="19">
        <f>COUNTIFS(Summary!$A:$A,D$8,Summary!$V:$V,0,Summary!$W:$W,"&gt;=1",Summary!$W:$W,"&lt;=7")</f>
        <v>0</v>
      </c>
      <c r="E9" s="19">
        <f>COUNTIFS(Summary!$A:$A,E$8,Summary!$V:$V,0,Summary!$W:$W,"&gt;=1",Summary!$W:$W,"&lt;=7")</f>
        <v>0</v>
      </c>
      <c r="F9" s="19">
        <f>COUNTIFS(Summary!$A:$A,F$8,Summary!$V:$V,0,Summary!$W:$W,"&gt;=1",Summary!$W:$W,"&lt;=7")</f>
        <v>0</v>
      </c>
      <c r="G9" s="19">
        <f>COUNTIFS(Summary!$A:$A,G$8,Summary!$V:$V,0,Summary!$W:$W,"&gt;=1",Summary!$W:$W,"&lt;=7")</f>
        <v>0</v>
      </c>
      <c r="H9" s="19">
        <f>COUNTIFS(Summary!$A:$A,H$8,Summary!$V:$V,0,Summary!$W:$W,"&gt;=1",Summary!$W:$W,"&lt;=7")</f>
        <v>0</v>
      </c>
      <c r="I9" s="19">
        <f>COUNTIFS(Summary!$A:$A,I$8,Summary!$V:$V,0,Summary!$W:$W,"&gt;=1",Summary!$W:$W,"&lt;=7")</f>
        <v>0</v>
      </c>
      <c r="J9" s="19">
        <f>COUNTIFS(Summary!$A:$A,J$8,Summary!$V:$V,0,Summary!$W:$W,"&gt;=1",Summary!$W:$W,"&lt;=7")</f>
        <v>0</v>
      </c>
      <c r="K9" s="19">
        <f>COUNTIFS(Summary!$A:$A,K$8,Summary!$V:$V,0,Summary!$W:$W,"&gt;=1",Summary!$W:$W,"&lt;=7")</f>
        <v>0</v>
      </c>
      <c r="L9" s="19">
        <f>COUNTIFS(Summary!$A:$A,L$8,Summary!$V:$V,0,Summary!$W:$W,"&gt;=1",Summary!$W:$W,"&lt;=7")</f>
        <v>0</v>
      </c>
      <c r="M9" s="19">
        <f>COUNTIFS(Summary!$A:$A,M$8,Summary!$V:$V,0,Summary!$W:$W,"&gt;=1",Summary!$W:$W,"&lt;=7")</f>
        <v>0</v>
      </c>
      <c r="N9" s="19">
        <f>COUNTIFS(Summary!$A:$A,N$8,Summary!$V:$V,0,Summary!$W:$W,"&gt;=1",Summary!$W:$W,"&lt;=7")</f>
        <v>0</v>
      </c>
      <c r="O9" s="19">
        <f>COUNTIFS(Summary!$A:$A,O$8,Summary!$V:$V,0,Summary!$W:$W,"&gt;=1",Summary!$W:$W,"&lt;=7")</f>
        <v>0</v>
      </c>
      <c r="P9" s="19">
        <f>COUNTIFS(Summary!$A:$A,P$8,Summary!$V:$V,0,Summary!$W:$W,"&gt;=1",Summary!$W:$W,"&lt;=7")</f>
        <v>0</v>
      </c>
      <c r="Q9" s="19">
        <f>COUNTIFS(Summary!$A:$A,Q$8,Summary!$V:$V,0,Summary!$W:$W,"&gt;=1",Summary!$W:$W,"&lt;=7")</f>
        <v>0</v>
      </c>
      <c r="R9" s="19">
        <f>COUNTIFS(Summary!$A:$A,R$8,Summary!$V:$V,0,Summary!$W:$W,"&gt;=1",Summary!$W:$W,"&lt;=7")</f>
        <v>0</v>
      </c>
      <c r="S9" s="19">
        <f>COUNTIFS(Summary!$A:$A,S$8,Summary!$V:$V,0,Summary!$W:$W,"&gt;=1",Summary!$W:$W,"&lt;=7")</f>
        <v>0</v>
      </c>
      <c r="T9" s="19">
        <f>COUNTIFS(Summary!$A:$A,T$8,Summary!$V:$V,0,Summary!$W:$W,"&gt;=1",Summary!$W:$W,"&lt;=7")</f>
        <v>0</v>
      </c>
      <c r="U9" s="20">
        <f ca="1">SUM(C9:T9)</f>
        <v>0</v>
      </c>
    </row>
    <row r="10" spans="1:55" s="3" customFormat="1" ht="18" customHeight="1">
      <c r="A10" s="21" t="s">
        <v>27</v>
      </c>
      <c r="B10" s="22" t="s">
        <v>28</v>
      </c>
      <c r="C10" s="23">
        <f ca="1">COUNTIFS(Summary!$A:$A,C$8,Summary!$V:$V,0,Summary!$W:$W,"&gt;=8",Summary!$W:$W,"&lt;=14")</f>
        <v>1</v>
      </c>
      <c r="D10" s="23">
        <f>COUNTIFS(Summary!$A:$A,D$8,Summary!$V:$V,0,Summary!$W:$W,"&gt;=8",Summary!$W:$W,"&lt;=14")</f>
        <v>0</v>
      </c>
      <c r="E10" s="23">
        <f>COUNTIFS(Summary!$A:$A,E$8,Summary!$V:$V,0,Summary!$W:$W,"&gt;=8",Summary!$W:$W,"&lt;=14")</f>
        <v>0</v>
      </c>
      <c r="F10" s="23">
        <f>COUNTIFS(Summary!$A:$A,F$8,Summary!$V:$V,0,Summary!$W:$W,"&gt;=8",Summary!$W:$W,"&lt;=14")</f>
        <v>0</v>
      </c>
      <c r="G10" s="23">
        <f>COUNTIFS(Summary!$A:$A,G$8,Summary!$V:$V,0,Summary!$W:$W,"&gt;=8",Summary!$W:$W,"&lt;=14")</f>
        <v>0</v>
      </c>
      <c r="H10" s="23">
        <f>COUNTIFS(Summary!$A:$A,H$8,Summary!$V:$V,0,Summary!$W:$W,"&gt;=8",Summary!$W:$W,"&lt;=14")</f>
        <v>0</v>
      </c>
      <c r="I10" s="23">
        <f>COUNTIFS(Summary!$A:$A,I$8,Summary!$V:$V,0,Summary!$W:$W,"&gt;=8",Summary!$W:$W,"&lt;=14")</f>
        <v>0</v>
      </c>
      <c r="J10" s="23">
        <f>COUNTIFS(Summary!$A:$A,J$8,Summary!$V:$V,0,Summary!$W:$W,"&gt;=8",Summary!$W:$W,"&lt;=14")</f>
        <v>0</v>
      </c>
      <c r="K10" s="23">
        <f>COUNTIFS(Summary!$A:$A,K$8,Summary!$V:$V,0,Summary!$W:$W,"&gt;=8",Summary!$W:$W,"&lt;=14")</f>
        <v>0</v>
      </c>
      <c r="L10" s="23">
        <f>COUNTIFS(Summary!$A:$A,L$8,Summary!$V:$V,0,Summary!$W:$W,"&gt;=8",Summary!$W:$W,"&lt;=14")</f>
        <v>0</v>
      </c>
      <c r="M10" s="23">
        <f>COUNTIFS(Summary!$A:$A,M$8,Summary!$V:$V,0,Summary!$W:$W,"&gt;=8",Summary!$W:$W,"&lt;=14")</f>
        <v>0</v>
      </c>
      <c r="N10" s="23">
        <f>COUNTIFS(Summary!$A:$A,N$8,Summary!$V:$V,0,Summary!$W:$W,"&gt;=8",Summary!$W:$W,"&lt;=14")</f>
        <v>0</v>
      </c>
      <c r="O10" s="23">
        <f>COUNTIFS(Summary!$A:$A,O$8,Summary!$V:$V,0,Summary!$W:$W,"&gt;=8",Summary!$W:$W,"&lt;=14")</f>
        <v>0</v>
      </c>
      <c r="P10" s="23">
        <f>COUNTIFS(Summary!$A:$A,P$8,Summary!$V:$V,0,Summary!$W:$W,"&gt;=8",Summary!$W:$W,"&lt;=14")</f>
        <v>0</v>
      </c>
      <c r="Q10" s="23">
        <f>COUNTIFS(Summary!$A:$A,Q$8,Summary!$V:$V,0,Summary!$W:$W,"&gt;=8",Summary!$W:$W,"&lt;=14")</f>
        <v>0</v>
      </c>
      <c r="R10" s="23">
        <f>COUNTIFS(Summary!$A:$A,R$8,Summary!$V:$V,0,Summary!$W:$W,"&gt;=8",Summary!$W:$W,"&lt;=14")</f>
        <v>0</v>
      </c>
      <c r="S10" s="23">
        <f>COUNTIFS(Summary!$A:$A,S$8,Summary!$V:$V,0,Summary!$W:$W,"&gt;=8",Summary!$W:$W,"&lt;=14")</f>
        <v>0</v>
      </c>
      <c r="T10" s="23">
        <f>COUNTIFS(Summary!$A:$A,T$8,Summary!$V:$V,0,Summary!$W:$W,"&gt;=8",Summary!$W:$W,"&lt;=14")</f>
        <v>0</v>
      </c>
      <c r="U10" s="24">
        <f ca="1">SUM(C10:T10)</f>
        <v>1</v>
      </c>
    </row>
    <row r="11" spans="1:55" s="3" customFormat="1" ht="18" customHeight="1">
      <c r="A11" s="21" t="s">
        <v>29</v>
      </c>
      <c r="B11" s="22" t="s">
        <v>30</v>
      </c>
      <c r="C11" s="23">
        <f ca="1">COUNTIFS(Summary!$A:$A,C$8,Summary!$V:$V,0,Summary!$W:$W,"&gt;=15",Summary!$W:$W,"&lt;=21")</f>
        <v>1</v>
      </c>
      <c r="D11" s="23">
        <f>COUNTIFS(Summary!$A:$A,D$8,Summary!$V:$V,0,Summary!$W:$W,"&gt;=15",Summary!$W:$W,"&lt;=21")</f>
        <v>0</v>
      </c>
      <c r="E11" s="23">
        <f>COUNTIFS(Summary!$A:$A,E$8,Summary!$V:$V,0,Summary!$W:$W,"&gt;=15",Summary!$W:$W,"&lt;=21")</f>
        <v>0</v>
      </c>
      <c r="F11" s="23">
        <f>COUNTIFS(Summary!$A:$A,F$8,Summary!$V:$V,0,Summary!$W:$W,"&gt;=15",Summary!$W:$W,"&lt;=21")</f>
        <v>0</v>
      </c>
      <c r="G11" s="23">
        <f>COUNTIFS(Summary!$A:$A,G$8,Summary!$V:$V,0,Summary!$W:$W,"&gt;=15",Summary!$W:$W,"&lt;=21")</f>
        <v>0</v>
      </c>
      <c r="H11" s="23">
        <f>COUNTIFS(Summary!$A:$A,H$8,Summary!$V:$V,0,Summary!$W:$W,"&gt;=15",Summary!$W:$W,"&lt;=21")</f>
        <v>0</v>
      </c>
      <c r="I11" s="23">
        <f>COUNTIFS(Summary!$A:$A,I$8,Summary!$V:$V,0,Summary!$W:$W,"&gt;=15",Summary!$W:$W,"&lt;=21")</f>
        <v>0</v>
      </c>
      <c r="J11" s="23">
        <f>COUNTIFS(Summary!$A:$A,J$8,Summary!$V:$V,0,Summary!$W:$W,"&gt;=15",Summary!$W:$W,"&lt;=21")</f>
        <v>0</v>
      </c>
      <c r="K11" s="23">
        <f>COUNTIFS(Summary!$A:$A,K$8,Summary!$V:$V,0,Summary!$W:$W,"&gt;=15",Summary!$W:$W,"&lt;=21")</f>
        <v>0</v>
      </c>
      <c r="L11" s="23">
        <f>COUNTIFS(Summary!$A:$A,L$8,Summary!$V:$V,0,Summary!$W:$W,"&gt;=15",Summary!$W:$W,"&lt;=21")</f>
        <v>0</v>
      </c>
      <c r="M11" s="23">
        <f>COUNTIFS(Summary!$A:$A,M$8,Summary!$V:$V,0,Summary!$W:$W,"&gt;=15",Summary!$W:$W,"&lt;=21")</f>
        <v>0</v>
      </c>
      <c r="N11" s="23">
        <f>COUNTIFS(Summary!$A:$A,N$8,Summary!$V:$V,0,Summary!$W:$W,"&gt;=15",Summary!$W:$W,"&lt;=21")</f>
        <v>0</v>
      </c>
      <c r="O11" s="23">
        <f>COUNTIFS(Summary!$A:$A,O$8,Summary!$V:$V,0,Summary!$W:$W,"&gt;=15",Summary!$W:$W,"&lt;=21")</f>
        <v>0</v>
      </c>
      <c r="P11" s="23">
        <f>COUNTIFS(Summary!$A:$A,P$8,Summary!$V:$V,0,Summary!$W:$W,"&gt;=15",Summary!$W:$W,"&lt;=21")</f>
        <v>0</v>
      </c>
      <c r="Q11" s="23">
        <f>COUNTIFS(Summary!$A:$A,Q$8,Summary!$V:$V,0,Summary!$W:$W,"&gt;=15",Summary!$W:$W,"&lt;=21")</f>
        <v>0</v>
      </c>
      <c r="R11" s="23">
        <f>COUNTIFS(Summary!$A:$A,R$8,Summary!$V:$V,0,Summary!$W:$W,"&gt;=15",Summary!$W:$W,"&lt;=21")</f>
        <v>0</v>
      </c>
      <c r="S11" s="23">
        <f>COUNTIFS(Summary!$A:$A,S$8,Summary!$V:$V,0,Summary!$W:$W,"&gt;=15",Summary!$W:$W,"&lt;=21")</f>
        <v>0</v>
      </c>
      <c r="T11" s="23">
        <f>COUNTIFS(Summary!$A:$A,T$8,Summary!$V:$V,0,Summary!$W:$W,"&gt;=15",Summary!$W:$W,"&lt;=21")</f>
        <v>0</v>
      </c>
      <c r="U11" s="24">
        <f ca="1">SUM(C11:T11)</f>
        <v>1</v>
      </c>
    </row>
    <row r="12" spans="1:55" s="3" customFormat="1" ht="18" customHeight="1">
      <c r="A12" s="25" t="s">
        <v>31</v>
      </c>
      <c r="B12" s="26" t="s">
        <v>32</v>
      </c>
      <c r="C12" s="27">
        <f ca="1">COUNTIFS(Summary!$A:$A,C$8,Summary!$V:$V,0,Summary!$W:$W,"&gt;21")</f>
        <v>21</v>
      </c>
      <c r="D12" s="27">
        <f>COUNTIFS(Summary!$A:$A,D$8,Summary!$V:$V,0,Summary!$W:$W,"&gt;21")</f>
        <v>0</v>
      </c>
      <c r="E12" s="27">
        <f>COUNTIFS(Summary!$A:$A,E$8,Summary!$V:$V,0,Summary!$W:$W,"&gt;21")</f>
        <v>0</v>
      </c>
      <c r="F12" s="27">
        <f>COUNTIFS(Summary!$A:$A,F$8,Summary!$V:$V,0,Summary!$W:$W,"&gt;21")</f>
        <v>0</v>
      </c>
      <c r="G12" s="27">
        <f>COUNTIFS(Summary!$A:$A,G$8,Summary!$V:$V,0,Summary!$W:$W,"&gt;21")</f>
        <v>0</v>
      </c>
      <c r="H12" s="27">
        <f>COUNTIFS(Summary!$A:$A,H$8,Summary!$V:$V,0,Summary!$W:$W,"&gt;21")</f>
        <v>0</v>
      </c>
      <c r="I12" s="27">
        <f>COUNTIFS(Summary!$A:$A,I$8,Summary!$V:$V,0,Summary!$W:$W,"&gt;21")</f>
        <v>0</v>
      </c>
      <c r="J12" s="27">
        <f>COUNTIFS(Summary!$A:$A,J$8,Summary!$V:$V,0,Summary!$W:$W,"&gt;21")</f>
        <v>0</v>
      </c>
      <c r="K12" s="27">
        <f>COUNTIFS(Summary!$A:$A,K$8,Summary!$V:$V,0,Summary!$W:$W,"&gt;21")</f>
        <v>0</v>
      </c>
      <c r="L12" s="27">
        <f>COUNTIFS(Summary!$A:$A,L$8,Summary!$V:$V,0,Summary!$W:$W,"&gt;21")</f>
        <v>0</v>
      </c>
      <c r="M12" s="27">
        <f>COUNTIFS(Summary!$A:$A,M$8,Summary!$V:$V,0,Summary!$W:$W,"&gt;21")</f>
        <v>0</v>
      </c>
      <c r="N12" s="27">
        <f>COUNTIFS(Summary!$A:$A,N$8,Summary!$V:$V,0,Summary!$W:$W,"&gt;21")</f>
        <v>0</v>
      </c>
      <c r="O12" s="27">
        <f>COUNTIFS(Summary!$A:$A,O$8,Summary!$V:$V,0,Summary!$W:$W,"&gt;21")</f>
        <v>0</v>
      </c>
      <c r="P12" s="27">
        <f>COUNTIFS(Summary!$A:$A,P$8,Summary!$V:$V,0,Summary!$W:$W,"&gt;21")</f>
        <v>0</v>
      </c>
      <c r="Q12" s="27">
        <f>COUNTIFS(Summary!$A:$A,Q$8,Summary!$V:$V,0,Summary!$W:$W,"&gt;21")</f>
        <v>0</v>
      </c>
      <c r="R12" s="27">
        <f>COUNTIFS(Summary!$A:$A,R$8,Summary!$V:$V,0,Summary!$W:$W,"&gt;21")</f>
        <v>0</v>
      </c>
      <c r="S12" s="27">
        <f>COUNTIFS(Summary!$A:$A,S$8,Summary!$V:$V,0,Summary!$W:$W,"&gt;21")</f>
        <v>0</v>
      </c>
      <c r="T12" s="27">
        <f>COUNTIFS(Summary!$A:$A,T$8,Summary!$V:$V,0,Summary!$W:$W,"&gt;21")</f>
        <v>0</v>
      </c>
      <c r="U12" s="28">
        <f ca="1">SUM(C12:T12)</f>
        <v>21</v>
      </c>
    </row>
    <row r="13" spans="1:55" s="3" customFormat="1" ht="18" customHeight="1">
      <c r="A13" s="11"/>
      <c r="B13" s="29" t="s">
        <v>19</v>
      </c>
      <c r="C13" s="12">
        <f ca="1">SUM(C9:C12)</f>
        <v>23</v>
      </c>
      <c r="D13" s="12">
        <f>SUM(D9:D12)</f>
        <v>0</v>
      </c>
      <c r="E13" s="12">
        <f t="shared" ref="E13:P13" si="1">SUM(E9:E12)</f>
        <v>0</v>
      </c>
      <c r="F13" s="12">
        <f t="shared" si="1"/>
        <v>0</v>
      </c>
      <c r="G13" s="12">
        <f t="shared" si="1"/>
        <v>0</v>
      </c>
      <c r="H13" s="12">
        <f t="shared" si="1"/>
        <v>0</v>
      </c>
      <c r="I13" s="12">
        <f t="shared" si="1"/>
        <v>0</v>
      </c>
      <c r="J13" s="12">
        <f t="shared" si="1"/>
        <v>0</v>
      </c>
      <c r="K13" s="12">
        <f t="shared" si="1"/>
        <v>0</v>
      </c>
      <c r="L13" s="12">
        <f t="shared" si="1"/>
        <v>0</v>
      </c>
      <c r="M13" s="12">
        <f t="shared" si="1"/>
        <v>0</v>
      </c>
      <c r="N13" s="12">
        <f t="shared" si="1"/>
        <v>0</v>
      </c>
      <c r="O13" s="12">
        <f t="shared" si="1"/>
        <v>0</v>
      </c>
      <c r="P13" s="12">
        <f t="shared" si="1"/>
        <v>0</v>
      </c>
      <c r="Q13" s="12">
        <f>SUM(Q9:Q12)</f>
        <v>0</v>
      </c>
      <c r="R13" s="12">
        <f>SUM(R9:R12)</f>
        <v>0</v>
      </c>
      <c r="S13" s="12">
        <f>SUM(S9:S12)</f>
        <v>0</v>
      </c>
      <c r="T13" s="12">
        <f>SUM(T9:T12)</f>
        <v>0</v>
      </c>
      <c r="U13" s="12">
        <f ca="1">SUM(C13:T13)</f>
        <v>23</v>
      </c>
    </row>
    <row r="14" spans="1:55">
      <c r="AU14" s="3"/>
    </row>
    <row r="15" spans="1:55" ht="16">
      <c r="A15" s="15" t="s">
        <v>33</v>
      </c>
      <c r="B15" s="16" t="s">
        <v>34</v>
      </c>
      <c r="AU15" s="3"/>
      <c r="AX15" s="3"/>
      <c r="AY15" s="3"/>
    </row>
    <row r="16" spans="1:55" s="3" customFormat="1" ht="18" customHeight="1">
      <c r="A16" s="1" t="s">
        <v>35</v>
      </c>
      <c r="B16" s="1"/>
      <c r="C16" s="2" t="s">
        <v>1</v>
      </c>
      <c r="D16" s="2" t="s">
        <v>2</v>
      </c>
      <c r="E16" s="2" t="s">
        <v>3</v>
      </c>
      <c r="F16" s="2" t="s">
        <v>4</v>
      </c>
      <c r="G16" s="2" t="s">
        <v>5</v>
      </c>
      <c r="H16" s="2" t="s">
        <v>6</v>
      </c>
      <c r="I16" s="2" t="s">
        <v>7</v>
      </c>
      <c r="J16" s="2" t="s">
        <v>8</v>
      </c>
      <c r="K16" s="2" t="s">
        <v>9</v>
      </c>
      <c r="L16" s="2" t="s">
        <v>10</v>
      </c>
      <c r="M16" s="2" t="s">
        <v>11</v>
      </c>
      <c r="N16" s="2" t="s">
        <v>12</v>
      </c>
      <c r="O16" s="2" t="s">
        <v>13</v>
      </c>
      <c r="P16" s="2" t="s">
        <v>14</v>
      </c>
      <c r="Q16" s="2" t="s">
        <v>15</v>
      </c>
      <c r="R16" s="2" t="s">
        <v>16</v>
      </c>
      <c r="S16" s="2" t="s">
        <v>17</v>
      </c>
      <c r="T16" s="2" t="s">
        <v>18</v>
      </c>
      <c r="U16" s="2" t="s">
        <v>19</v>
      </c>
    </row>
    <row r="17" spans="1:51" s="3" customFormat="1" ht="18" customHeight="1">
      <c r="A17" s="30" t="s">
        <v>36</v>
      </c>
      <c r="B17" s="31" t="s">
        <v>37</v>
      </c>
      <c r="C17" s="32">
        <f>COUNTIFS(Summary!$A:$A,C$16,Summary!$AR:$AR,"Pending",Summary!$AT:$AT,$B17)</f>
        <v>18</v>
      </c>
      <c r="D17" s="32">
        <f>COUNTIFS(Summary!$A:$A,D$16,Summary!$AR:$AR,"Pending",Summary!$AT:$AT,$B17)</f>
        <v>0</v>
      </c>
      <c r="E17" s="32">
        <f>COUNTIFS(Summary!$A:$A,E$16,Summary!$AR:$AR,"Pending",Summary!$AT:$AT,$B17)</f>
        <v>0</v>
      </c>
      <c r="F17" s="32">
        <f>COUNTIFS(Summary!$A:$A,F$16,Summary!$AR:$AR,"Pending",Summary!$AT:$AT,$B17)</f>
        <v>0</v>
      </c>
      <c r="G17" s="32">
        <f>COUNTIFS(Summary!$A:$A,G$16,Summary!$AR:$AR,"Pending",Summary!$AT:$AT,$B17)</f>
        <v>0</v>
      </c>
      <c r="H17" s="32">
        <f>COUNTIFS(Summary!$A:$A,H$16,Summary!$AR:$AR,"Pending",Summary!$AT:$AT,$B17)</f>
        <v>0</v>
      </c>
      <c r="I17" s="32">
        <f>COUNTIFS(Summary!$A:$A,I$16,Summary!$AR:$AR,"Pending",Summary!$AT:$AT,$B17)</f>
        <v>0</v>
      </c>
      <c r="J17" s="32">
        <f>COUNTIFS(Summary!$A:$A,J$16,Summary!$AR:$AR,"Pending",Summary!$AT:$AT,$B17)</f>
        <v>0</v>
      </c>
      <c r="K17" s="32">
        <f>COUNTIFS(Summary!$A:$A,K$16,Summary!$AR:$AR,"Pending",Summary!$AT:$AT,$B17)</f>
        <v>0</v>
      </c>
      <c r="L17" s="32">
        <f>COUNTIFS(Summary!$A:$A,L$16,Summary!$AR:$AR,"Pending",Summary!$AT:$AT,$B17)</f>
        <v>0</v>
      </c>
      <c r="M17" s="32">
        <f>COUNTIFS(Summary!$A:$A,M$16,Summary!$AR:$AR,"Pending",Summary!$AT:$AT,$B17)</f>
        <v>0</v>
      </c>
      <c r="N17" s="32">
        <f>COUNTIFS(Summary!$A:$A,N$16,Summary!$AR:$AR,"Pending",Summary!$AT:$AT,$B17)</f>
        <v>0</v>
      </c>
      <c r="O17" s="32">
        <f>COUNTIFS(Summary!$A:$A,O$16,Summary!$AR:$AR,"Pending",Summary!$AT:$AT,$B17)</f>
        <v>0</v>
      </c>
      <c r="P17" s="32">
        <f>COUNTIFS(Summary!$A:$A,P$16,Summary!$AR:$AR,"Pending",Summary!$AT:$AT,$B17)</f>
        <v>0</v>
      </c>
      <c r="Q17" s="32">
        <f>COUNTIFS(Summary!$A:$A,Q$16,Summary!$AR:$AR,"Pending",Summary!$AT:$AT,$B17)</f>
        <v>0</v>
      </c>
      <c r="R17" s="32">
        <f>COUNTIFS(Summary!$A:$A,R$16,Summary!$AR:$AR,"Pending",Summary!$AT:$AT,$B17)</f>
        <v>0</v>
      </c>
      <c r="S17" s="32">
        <f>COUNTIFS(Summary!$A:$A,S$16,Summary!$AR:$AR,"Pending",Summary!$AT:$AT,$B17)</f>
        <v>0</v>
      </c>
      <c r="T17" s="32">
        <f>COUNTIFS(Summary!$A:$A,T$16,Summary!$AR:$AR,"Pending",Summary!$AT:$AT,$B17)</f>
        <v>0</v>
      </c>
      <c r="U17" s="7">
        <f t="shared" ref="U17:U26" si="2">SUM(C17:T17)</f>
        <v>18</v>
      </c>
    </row>
    <row r="18" spans="1:51" s="3" customFormat="1" ht="18" customHeight="1">
      <c r="A18" s="30" t="s">
        <v>38</v>
      </c>
      <c r="B18" s="33" t="s">
        <v>39</v>
      </c>
      <c r="C18" s="34">
        <f>COUNTIFS(Summary!$A:$A,C$16,Summary!$AR:$AR,"Pending",Summary!$AT:$AT,$B18)</f>
        <v>0</v>
      </c>
      <c r="D18" s="34">
        <f>COUNTIFS(Summary!$A:$A,D$16,Summary!$AR:$AR,"Pending",Summary!$AT:$AT,$B18)</f>
        <v>0</v>
      </c>
      <c r="E18" s="34">
        <f>COUNTIFS(Summary!$A:$A,E$16,Summary!$AR:$AR,"Pending",Summary!$AT:$AT,$B18)</f>
        <v>0</v>
      </c>
      <c r="F18" s="34">
        <f>COUNTIFS(Summary!$A:$A,F$16,Summary!$AR:$AR,"Pending",Summary!$AT:$AT,$B18)</f>
        <v>0</v>
      </c>
      <c r="G18" s="34">
        <f>COUNTIFS(Summary!$A:$A,G$16,Summary!$AR:$AR,"Pending",Summary!$AT:$AT,$B18)</f>
        <v>0</v>
      </c>
      <c r="H18" s="34">
        <f>COUNTIFS(Summary!$A:$A,H$16,Summary!$AR:$AR,"Pending",Summary!$AT:$AT,$B18)</f>
        <v>0</v>
      </c>
      <c r="I18" s="34">
        <f>COUNTIFS(Summary!$A:$A,I$16,Summary!$AR:$AR,"Pending",Summary!$AT:$AT,$B18)</f>
        <v>0</v>
      </c>
      <c r="J18" s="34">
        <f>COUNTIFS(Summary!$A:$A,J$16,Summary!$AR:$AR,"Pending",Summary!$AT:$AT,$B18)</f>
        <v>0</v>
      </c>
      <c r="K18" s="34">
        <f>COUNTIFS(Summary!$A:$A,K$16,Summary!$AR:$AR,"Pending",Summary!$AT:$AT,$B18)</f>
        <v>0</v>
      </c>
      <c r="L18" s="34">
        <f>COUNTIFS(Summary!$A:$A,L$16,Summary!$AR:$AR,"Pending",Summary!$AT:$AT,$B18)</f>
        <v>0</v>
      </c>
      <c r="M18" s="34">
        <f>COUNTIFS(Summary!$A:$A,M$16,Summary!$AR:$AR,"Pending",Summary!$AT:$AT,$B18)</f>
        <v>0</v>
      </c>
      <c r="N18" s="34">
        <f>COUNTIFS(Summary!$A:$A,N$16,Summary!$AR:$AR,"Pending",Summary!$AT:$AT,$B18)</f>
        <v>0</v>
      </c>
      <c r="O18" s="34">
        <f>COUNTIFS(Summary!$A:$A,O$16,Summary!$AR:$AR,"Pending",Summary!$AT:$AT,$B18)</f>
        <v>0</v>
      </c>
      <c r="P18" s="34">
        <f>COUNTIFS(Summary!$A:$A,P$16,Summary!$AR:$AR,"Pending",Summary!$AT:$AT,$B18)</f>
        <v>0</v>
      </c>
      <c r="Q18" s="34">
        <f>COUNTIFS(Summary!$A:$A,Q$16,Summary!$AR:$AR,"Pending",Summary!$AT:$AT,$B18)</f>
        <v>0</v>
      </c>
      <c r="R18" s="34">
        <f>COUNTIFS(Summary!$A:$A,R$16,Summary!$AR:$AR,"Pending",Summary!$AT:$AT,$B18)</f>
        <v>0</v>
      </c>
      <c r="S18" s="34">
        <f>COUNTIFS(Summary!$A:$A,S$16,Summary!$AR:$AR,"Pending",Summary!$AT:$AT,$B18)</f>
        <v>0</v>
      </c>
      <c r="T18" s="34">
        <f>COUNTIFS(Summary!$A:$A,T$16,Summary!$AR:$AR,"Pending",Summary!$AT:$AT,$B18)</f>
        <v>0</v>
      </c>
      <c r="U18" s="24">
        <f t="shared" si="2"/>
        <v>0</v>
      </c>
    </row>
    <row r="19" spans="1:51" s="3" customFormat="1" ht="18" customHeight="1">
      <c r="A19" s="30" t="s">
        <v>40</v>
      </c>
      <c r="B19" s="33" t="s">
        <v>41</v>
      </c>
      <c r="C19" s="34">
        <f>COUNTIFS(Summary!$A:$A,C$16,Summary!$AR:$AR,"Pending",Summary!$AT:$AT,$B19)</f>
        <v>8</v>
      </c>
      <c r="D19" s="34">
        <f>COUNTIFS(Summary!$A:$A,D$16,Summary!$AR:$AR,"Pending",Summary!$AT:$AT,$B19)</f>
        <v>0</v>
      </c>
      <c r="E19" s="34">
        <f>COUNTIFS(Summary!$A:$A,E$16,Summary!$AR:$AR,"Pending",Summary!$AT:$AT,$B19)</f>
        <v>0</v>
      </c>
      <c r="F19" s="35">
        <f>COUNTIFS(Summary!$A:$A,F$16,Summary!$AR:$AR,"Pending",Summary!$AT:$AT,$B19)</f>
        <v>0</v>
      </c>
      <c r="G19" s="34">
        <f>COUNTIFS(Summary!$A:$A,G$16,Summary!$AR:$AR,"Pending",Summary!$AT:$AT,$B19)</f>
        <v>0</v>
      </c>
      <c r="H19" s="34">
        <f>COUNTIFS(Summary!$A:$A,H$16,Summary!$AR:$AR,"Pending",Summary!$AT:$AT,$B19)</f>
        <v>0</v>
      </c>
      <c r="I19" s="34">
        <f>COUNTIFS(Summary!$A:$A,I$16,Summary!$AR:$AR,"Pending",Summary!$AT:$AT,$B19)</f>
        <v>0</v>
      </c>
      <c r="J19" s="34">
        <f>COUNTIFS(Summary!$A:$A,J$16,Summary!$AR:$AR,"Pending",Summary!$AT:$AT,$B19)</f>
        <v>0</v>
      </c>
      <c r="K19" s="34">
        <f>COUNTIFS(Summary!$A:$A,K$16,Summary!$AR:$AR,"Pending",Summary!$AT:$AT,$B19)</f>
        <v>0</v>
      </c>
      <c r="L19" s="34">
        <f>COUNTIFS(Summary!$A:$A,L$16,Summary!$AR:$AR,"Pending",Summary!$AT:$AT,$B19)</f>
        <v>0</v>
      </c>
      <c r="M19" s="34">
        <f>COUNTIFS(Summary!$A:$A,M$16,Summary!$AR:$AR,"Pending",Summary!$AT:$AT,$B19)</f>
        <v>0</v>
      </c>
      <c r="N19" s="34">
        <f>COUNTIFS(Summary!$A:$A,N$16,Summary!$AR:$AR,"Pending",Summary!$AT:$AT,$B19)</f>
        <v>0</v>
      </c>
      <c r="O19" s="34">
        <f>COUNTIFS(Summary!$A:$A,O$16,Summary!$AR:$AR,"Pending",Summary!$AT:$AT,$B19)</f>
        <v>0</v>
      </c>
      <c r="P19" s="34">
        <f>COUNTIFS(Summary!$A:$A,P$16,Summary!$AR:$AR,"Pending",Summary!$AT:$AT,$B19)</f>
        <v>0</v>
      </c>
      <c r="Q19" s="34">
        <f>COUNTIFS(Summary!$A:$A,Q$16,Summary!$AR:$AR,"Pending",Summary!$AT:$AT,$B19)</f>
        <v>0</v>
      </c>
      <c r="R19" s="34">
        <f>COUNTIFS(Summary!$A:$A,R$16,Summary!$AR:$AR,"Pending",Summary!$AT:$AT,$B19)</f>
        <v>0</v>
      </c>
      <c r="S19" s="34">
        <f>COUNTIFS(Summary!$A:$A,S$16,Summary!$AR:$AR,"Pending",Summary!$AT:$AT,$B19)</f>
        <v>0</v>
      </c>
      <c r="T19" s="34">
        <f>COUNTIFS(Summary!$A:$A,T$16,Summary!$AR:$AR,"Pending",Summary!$AT:$AT,$B19)</f>
        <v>0</v>
      </c>
      <c r="U19" s="24">
        <f t="shared" si="2"/>
        <v>8</v>
      </c>
    </row>
    <row r="20" spans="1:51" s="3" customFormat="1" ht="18" customHeight="1">
      <c r="A20" s="30" t="s">
        <v>42</v>
      </c>
      <c r="B20" s="31" t="s">
        <v>43</v>
      </c>
      <c r="C20" s="32">
        <f>COUNTIFS(Summary!$A:$A,C$16,Summary!$AR:$AR,"Pending",Summary!$AT:$AT,$B20)</f>
        <v>30</v>
      </c>
      <c r="D20" s="32">
        <f>COUNTIFS(Summary!$A:$A,D$16,Summary!$AR:$AR,"Pending",Summary!$AT:$AT,$B20)</f>
        <v>0</v>
      </c>
      <c r="E20" s="32">
        <f>COUNTIFS(Summary!$A:$A,E$16,Summary!$AR:$AR,"Pending",Summary!$AT:$AT,$B20)</f>
        <v>0</v>
      </c>
      <c r="F20" s="32">
        <f>COUNTIFS(Summary!$A:$A,F$16,Summary!$AR:$AR,"Pending",Summary!$AT:$AT,$B20)</f>
        <v>0</v>
      </c>
      <c r="G20" s="32">
        <f>COUNTIFS(Summary!$A:$A,G$16,Summary!$AR:$AR,"Pending",Summary!$AT:$AT,$B20)</f>
        <v>0</v>
      </c>
      <c r="H20" s="32">
        <f>COUNTIFS(Summary!$A:$A,H$16,Summary!$AR:$AR,"Pending",Summary!$AT:$AT,$B20)</f>
        <v>0</v>
      </c>
      <c r="I20" s="32">
        <f>COUNTIFS(Summary!$A:$A,I$16,Summary!$AR:$AR,"Pending",Summary!$AT:$AT,$B20)</f>
        <v>0</v>
      </c>
      <c r="J20" s="32">
        <f>COUNTIFS(Summary!$A:$A,J$16,Summary!$AR:$AR,"Pending",Summary!$AT:$AT,$B20)</f>
        <v>0</v>
      </c>
      <c r="K20" s="32">
        <f>COUNTIFS(Summary!$A:$A,K$16,Summary!$AR:$AR,"Pending",Summary!$AT:$AT,$B20)</f>
        <v>0</v>
      </c>
      <c r="L20" s="32">
        <f>COUNTIFS(Summary!$A:$A,L$16,Summary!$AR:$AR,"Pending",Summary!$AT:$AT,$B20)</f>
        <v>0</v>
      </c>
      <c r="M20" s="32">
        <f>COUNTIFS(Summary!$A:$A,M$16,Summary!$AR:$AR,"Pending",Summary!$AT:$AT,$B20)</f>
        <v>0</v>
      </c>
      <c r="N20" s="32">
        <f>COUNTIFS(Summary!$A:$A,N$16,Summary!$AR:$AR,"Pending",Summary!$AT:$AT,$B20)</f>
        <v>0</v>
      </c>
      <c r="O20" s="32">
        <f>COUNTIFS(Summary!$A:$A,O$16,Summary!$AR:$AR,"Pending",Summary!$AT:$AT,$B20)</f>
        <v>0</v>
      </c>
      <c r="P20" s="32">
        <f>COUNTIFS(Summary!$A:$A,P$16,Summary!$AR:$AR,"Pending",Summary!$AT:$AT,$B20)</f>
        <v>0</v>
      </c>
      <c r="Q20" s="32">
        <f>COUNTIFS(Summary!$A:$A,Q$16,Summary!$AR:$AR,"Pending",Summary!$AT:$AT,$B20)</f>
        <v>0</v>
      </c>
      <c r="R20" s="32">
        <f>COUNTIFS(Summary!$A:$A,R$16,Summary!$AR:$AR,"Pending",Summary!$AT:$AT,$B20)</f>
        <v>0</v>
      </c>
      <c r="S20" s="32">
        <f>COUNTIFS(Summary!$A:$A,S$16,Summary!$AR:$AR,"Pending",Summary!$AT:$AT,$B20)</f>
        <v>0</v>
      </c>
      <c r="T20" s="32">
        <f>COUNTIFS(Summary!$A:$A,T$16,Summary!$AR:$AR,"Pending",Summary!$AT:$AT,$B20)</f>
        <v>0</v>
      </c>
      <c r="U20" s="7">
        <f t="shared" si="2"/>
        <v>30</v>
      </c>
    </row>
    <row r="21" spans="1:51" s="3" customFormat="1" ht="18" customHeight="1">
      <c r="A21" s="30" t="s">
        <v>44</v>
      </c>
      <c r="B21" s="36" t="s">
        <v>45</v>
      </c>
      <c r="C21" s="34">
        <f>COUNTIFS(Summary!$A:$A,C$16,Summary!$AR:$AR,"Pending",Summary!$AT:$AT,$B21)</f>
        <v>8</v>
      </c>
      <c r="D21" s="34">
        <f>COUNTIFS(Summary!$A:$A,D$16,Summary!$AR:$AR,"Pending",Summary!$AT:$AT,$B21)</f>
        <v>0</v>
      </c>
      <c r="E21" s="34">
        <f>COUNTIFS(Summary!$A:$A,E$16,Summary!$AR:$AR,"Pending",Summary!$AT:$AT,$B21)</f>
        <v>0</v>
      </c>
      <c r="F21" s="34">
        <f>COUNTIFS(Summary!$A:$A,F$16,Summary!$AR:$AR,"Pending",Summary!$AT:$AT,$B21)</f>
        <v>0</v>
      </c>
      <c r="G21" s="34">
        <f>COUNTIFS(Summary!$A:$A,G$16,Summary!$AR:$AR,"Pending",Summary!$AT:$AT,$B21)</f>
        <v>0</v>
      </c>
      <c r="H21" s="34">
        <f>COUNTIFS(Summary!$A:$A,H$16,Summary!$AR:$AR,"Pending",Summary!$AT:$AT,$B21)</f>
        <v>0</v>
      </c>
      <c r="I21" s="34">
        <f>COUNTIFS(Summary!$A:$A,I$16,Summary!$AR:$AR,"Pending",Summary!$AT:$AT,$B21)</f>
        <v>0</v>
      </c>
      <c r="J21" s="34">
        <f>COUNTIFS(Summary!$A:$A,J$16,Summary!$AR:$AR,"Pending",Summary!$AT:$AT,$B21)</f>
        <v>0</v>
      </c>
      <c r="K21" s="34">
        <f>COUNTIFS(Summary!$A:$A,K$16,Summary!$AR:$AR,"Pending",Summary!$AT:$AT,$B21)</f>
        <v>0</v>
      </c>
      <c r="L21" s="34">
        <f>COUNTIFS(Summary!$A:$A,L$16,Summary!$AR:$AR,"Pending",Summary!$AT:$AT,$B21)</f>
        <v>0</v>
      </c>
      <c r="M21" s="34">
        <f>COUNTIFS(Summary!$A:$A,M$16,Summary!$AR:$AR,"Pending",Summary!$AT:$AT,$B21)</f>
        <v>0</v>
      </c>
      <c r="N21" s="34">
        <f>COUNTIFS(Summary!$A:$A,N$16,Summary!$AR:$AR,"Pending",Summary!$AT:$AT,$B21)</f>
        <v>0</v>
      </c>
      <c r="O21" s="34">
        <f>COUNTIFS(Summary!$A:$A,O$16,Summary!$AR:$AR,"Pending",Summary!$AT:$AT,$B21)</f>
        <v>0</v>
      </c>
      <c r="P21" s="34">
        <f>COUNTIFS(Summary!$A:$A,P$16,Summary!$AR:$AR,"Pending",Summary!$AT:$AT,$B21)</f>
        <v>0</v>
      </c>
      <c r="Q21" s="34">
        <f>COUNTIFS(Summary!$A:$A,Q$16,Summary!$AR:$AR,"Pending",Summary!$AT:$AT,$B21)</f>
        <v>0</v>
      </c>
      <c r="R21" s="34">
        <f>COUNTIFS(Summary!$A:$A,R$16,Summary!$AR:$AR,"Pending",Summary!$AT:$AT,$B21)</f>
        <v>0</v>
      </c>
      <c r="S21" s="34">
        <f>COUNTIFS(Summary!$A:$A,S$16,Summary!$AR:$AR,"Pending",Summary!$AT:$AT,$B21)</f>
        <v>0</v>
      </c>
      <c r="T21" s="34">
        <f>COUNTIFS(Summary!$A:$A,T$16,Summary!$AR:$AR,"Pending",Summary!$AT:$AT,$B21)</f>
        <v>0</v>
      </c>
      <c r="U21" s="7">
        <f t="shared" si="2"/>
        <v>8</v>
      </c>
    </row>
    <row r="22" spans="1:51" s="3" customFormat="1" ht="18" customHeight="1">
      <c r="A22" s="30" t="s">
        <v>46</v>
      </c>
      <c r="B22" s="36" t="s">
        <v>47</v>
      </c>
      <c r="C22" s="34">
        <f>COUNTIFS(Summary!$A:$A,C$16,Summary!$AR:$AR,"Pending",Summary!$AT:$AT,$B22)</f>
        <v>4</v>
      </c>
      <c r="D22" s="34">
        <f>COUNTIFS(Summary!$A:$A,D$16,Summary!$AR:$AR,"Pending",Summary!$AT:$AT,$B22)</f>
        <v>0</v>
      </c>
      <c r="E22" s="34">
        <f>COUNTIFS(Summary!$A:$A,E$16,Summary!$AR:$AR,"Pending",Summary!$AT:$AT,$B22)</f>
        <v>0</v>
      </c>
      <c r="F22" s="34">
        <f>COUNTIFS(Summary!$A:$A,F$16,Summary!$AR:$AR,"Pending",Summary!$AT:$AT,$B22)</f>
        <v>0</v>
      </c>
      <c r="G22" s="34">
        <f>COUNTIFS(Summary!$A:$A,G$16,Summary!$AR:$AR,"Pending",Summary!$AT:$AT,$B22)</f>
        <v>0</v>
      </c>
      <c r="H22" s="34">
        <f>COUNTIFS(Summary!$A:$A,H$16,Summary!$AR:$AR,"Pending",Summary!$AT:$AT,$B22)</f>
        <v>0</v>
      </c>
      <c r="I22" s="34">
        <f>COUNTIFS(Summary!$A:$A,I$16,Summary!$AR:$AR,"Pending",Summary!$AT:$AT,$B22)</f>
        <v>0</v>
      </c>
      <c r="J22" s="34">
        <f>COUNTIFS(Summary!$A:$A,J$16,Summary!$AR:$AR,"Pending",Summary!$AT:$AT,$B22)</f>
        <v>0</v>
      </c>
      <c r="K22" s="34">
        <f>COUNTIFS(Summary!$A:$A,K$16,Summary!$AR:$AR,"Pending",Summary!$AT:$AT,$B22)</f>
        <v>0</v>
      </c>
      <c r="L22" s="34">
        <f>COUNTIFS(Summary!$A:$A,L$16,Summary!$AR:$AR,"Pending",Summary!$AT:$AT,$B22)</f>
        <v>0</v>
      </c>
      <c r="M22" s="34">
        <f>COUNTIFS(Summary!$A:$A,M$16,Summary!$AR:$AR,"Pending",Summary!$AT:$AT,$B22)</f>
        <v>0</v>
      </c>
      <c r="N22" s="34">
        <f>COUNTIFS(Summary!$A:$A,N$16,Summary!$AR:$AR,"Pending",Summary!$AT:$AT,$B22)</f>
        <v>0</v>
      </c>
      <c r="O22" s="34">
        <f>COUNTIFS(Summary!$A:$A,O$16,Summary!$AR:$AR,"Pending",Summary!$AT:$AT,$B22)</f>
        <v>0</v>
      </c>
      <c r="P22" s="34">
        <f>COUNTIFS(Summary!$A:$A,P$16,Summary!$AR:$AR,"Pending",Summary!$AT:$AT,$B22)</f>
        <v>0</v>
      </c>
      <c r="Q22" s="34">
        <f>COUNTIFS(Summary!$A:$A,Q$16,Summary!$AR:$AR,"Pending",Summary!$AT:$AT,$B22)</f>
        <v>0</v>
      </c>
      <c r="R22" s="34">
        <f>COUNTIFS(Summary!$A:$A,R$16,Summary!$AR:$AR,"Pending",Summary!$AT:$AT,$B22)</f>
        <v>0</v>
      </c>
      <c r="S22" s="34">
        <f>COUNTIFS(Summary!$A:$A,S$16,Summary!$AR:$AR,"Pending",Summary!$AT:$AT,$B22)</f>
        <v>0</v>
      </c>
      <c r="T22" s="34">
        <f>COUNTIFS(Summary!$A:$A,T$16,Summary!$AR:$AR,"Pending",Summary!$AT:$AT,$B22)</f>
        <v>0</v>
      </c>
      <c r="U22" s="7">
        <f t="shared" si="2"/>
        <v>4</v>
      </c>
    </row>
    <row r="23" spans="1:51" s="3" customFormat="1" ht="18" customHeight="1">
      <c r="A23" s="30" t="s">
        <v>48</v>
      </c>
      <c r="B23" s="36" t="s">
        <v>49</v>
      </c>
      <c r="C23" s="34">
        <f>COUNTIFS(Summary!$A:$A,C$16,Summary!$AR:$AR,"Pending",Summary!$AT:$AT,$B23)</f>
        <v>0</v>
      </c>
      <c r="D23" s="34">
        <f>COUNTIFS(Summary!$A:$A,D$16,Summary!$AR:$AR,"Pending",Summary!$AT:$AT,$B23)</f>
        <v>0</v>
      </c>
      <c r="E23" s="34">
        <f>COUNTIFS(Summary!$A:$A,E$16,Summary!$AR:$AR,"Pending",Summary!$AT:$AT,$B23)</f>
        <v>0</v>
      </c>
      <c r="F23" s="34">
        <f>COUNTIFS(Summary!$A:$A,F$16,Summary!$AR:$AR,"Pending",Summary!$AT:$AT,$B23)</f>
        <v>0</v>
      </c>
      <c r="G23" s="34">
        <f>COUNTIFS(Summary!$A:$A,G$16,Summary!$AR:$AR,"Pending",Summary!$AT:$AT,$B23)</f>
        <v>0</v>
      </c>
      <c r="H23" s="34">
        <f>COUNTIFS(Summary!$A:$A,H$16,Summary!$AR:$AR,"Pending",Summary!$AT:$AT,$B23)</f>
        <v>0</v>
      </c>
      <c r="I23" s="34">
        <f>COUNTIFS(Summary!$A:$A,I$16,Summary!$AR:$AR,"Pending",Summary!$AT:$AT,$B23)</f>
        <v>0</v>
      </c>
      <c r="J23" s="34">
        <f>COUNTIFS(Summary!$A:$A,J$16,Summary!$AR:$AR,"Pending",Summary!$AT:$AT,$B23)</f>
        <v>0</v>
      </c>
      <c r="K23" s="34">
        <f>COUNTIFS(Summary!$A:$A,K$16,Summary!$AR:$AR,"Pending",Summary!$AT:$AT,$B23)</f>
        <v>0</v>
      </c>
      <c r="L23" s="34">
        <f>COUNTIFS(Summary!$A:$A,L$16,Summary!$AR:$AR,"Pending",Summary!$AT:$AT,$B23)</f>
        <v>0</v>
      </c>
      <c r="M23" s="34">
        <f>COUNTIFS(Summary!$A:$A,M$16,Summary!$AR:$AR,"Pending",Summary!$AT:$AT,$B23)</f>
        <v>0</v>
      </c>
      <c r="N23" s="34">
        <f>COUNTIFS(Summary!$A:$A,N$16,Summary!$AR:$AR,"Pending",Summary!$AT:$AT,$B23)</f>
        <v>0</v>
      </c>
      <c r="O23" s="34">
        <f>COUNTIFS(Summary!$A:$A,O$16,Summary!$AR:$AR,"Pending",Summary!$AT:$AT,$B23)</f>
        <v>0</v>
      </c>
      <c r="P23" s="34">
        <f>COUNTIFS(Summary!$A:$A,P$16,Summary!$AR:$AR,"Pending",Summary!$AT:$AT,$B23)</f>
        <v>0</v>
      </c>
      <c r="Q23" s="34">
        <f>COUNTIFS(Summary!$A:$A,Q$16,Summary!$AR:$AR,"Pending",Summary!$AT:$AT,$B23)</f>
        <v>0</v>
      </c>
      <c r="R23" s="34">
        <f>COUNTIFS(Summary!$A:$A,R$16,Summary!$AR:$AR,"Pending",Summary!$AT:$AT,$B23)</f>
        <v>0</v>
      </c>
      <c r="S23" s="34">
        <f>COUNTIFS(Summary!$A:$A,S$16,Summary!$AR:$AR,"Pending",Summary!$AT:$AT,$B23)</f>
        <v>0</v>
      </c>
      <c r="T23" s="34">
        <f>COUNTIFS(Summary!$A:$A,T$16,Summary!$AR:$AR,"Pending",Summary!$AT:$AT,$B23)</f>
        <v>0</v>
      </c>
      <c r="U23" s="7">
        <f t="shared" si="2"/>
        <v>0</v>
      </c>
    </row>
    <row r="24" spans="1:51" s="3" customFormat="1" ht="33" customHeight="1">
      <c r="A24" s="30" t="s">
        <v>50</v>
      </c>
      <c r="B24" s="36" t="s">
        <v>51</v>
      </c>
      <c r="C24" s="34">
        <f>COUNTIFS(Summary!$A:$A,C$16,Summary!$AR:$AR,"Pending",Summary!$AT:$AT,$B24)</f>
        <v>0</v>
      </c>
      <c r="D24" s="34">
        <f>COUNTIFS(Summary!$A:$A,D$16,Summary!$AR:$AR,"Pending",Summary!$AT:$AT,$B24)</f>
        <v>0</v>
      </c>
      <c r="E24" s="34">
        <f>COUNTIFS(Summary!$A:$A,E$16,Summary!$AR:$AR,"Pending",Summary!$AT:$AT,$B24)</f>
        <v>0</v>
      </c>
      <c r="F24" s="34">
        <f>COUNTIFS(Summary!$A:$A,F$16,Summary!$AR:$AR,"Pending",Summary!$AT:$AT,$B24)</f>
        <v>0</v>
      </c>
      <c r="G24" s="34">
        <f>COUNTIFS(Summary!$A:$A,G$16,Summary!$AR:$AR,"Pending",Summary!$AT:$AT,$B24)</f>
        <v>0</v>
      </c>
      <c r="H24" s="34">
        <f>COUNTIFS(Summary!$A:$A,H$16,Summary!$AR:$AR,"Pending",Summary!$AT:$AT,$B24)</f>
        <v>0</v>
      </c>
      <c r="I24" s="34">
        <f>COUNTIFS(Summary!$A:$A,I$16,Summary!$AR:$AR,"Pending",Summary!$AT:$AT,$B24)</f>
        <v>0</v>
      </c>
      <c r="J24" s="34">
        <f>COUNTIFS(Summary!$A:$A,J$16,Summary!$AR:$AR,"Pending",Summary!$AT:$AT,$B24)</f>
        <v>0</v>
      </c>
      <c r="K24" s="34">
        <f>COUNTIFS(Summary!$A:$A,K$16,Summary!$AR:$AR,"Pending",Summary!$AT:$AT,$B24)</f>
        <v>0</v>
      </c>
      <c r="L24" s="34">
        <f>COUNTIFS(Summary!$A:$A,L$16,Summary!$AR:$AR,"Pending",Summary!$AT:$AT,$B24)</f>
        <v>0</v>
      </c>
      <c r="M24" s="34">
        <f>COUNTIFS(Summary!$A:$A,M$16,Summary!$AR:$AR,"Pending",Summary!$AT:$AT,$B24)</f>
        <v>0</v>
      </c>
      <c r="N24" s="34">
        <f>COUNTIFS(Summary!$A:$A,N$16,Summary!$AR:$AR,"Pending",Summary!$AT:$AT,$B24)</f>
        <v>0</v>
      </c>
      <c r="O24" s="34">
        <f>COUNTIFS(Summary!$A:$A,O$16,Summary!$AR:$AR,"Pending",Summary!$AT:$AT,$B24)</f>
        <v>0</v>
      </c>
      <c r="P24" s="34">
        <f>COUNTIFS(Summary!$A:$A,P$16,Summary!$AR:$AR,"Pending",Summary!$AT:$AT,$B24)</f>
        <v>0</v>
      </c>
      <c r="Q24" s="34">
        <f>COUNTIFS(Summary!$A:$A,Q$16,Summary!$AR:$AR,"Pending",Summary!$AT:$AT,$B24)</f>
        <v>0</v>
      </c>
      <c r="R24" s="34">
        <f>COUNTIFS(Summary!$A:$A,R$16,Summary!$AR:$AR,"Pending",Summary!$AT:$AT,$B24)</f>
        <v>0</v>
      </c>
      <c r="S24" s="34">
        <f>COUNTIFS(Summary!$A:$A,S$16,Summary!$AR:$AR,"Pending",Summary!$AT:$AT,$B24)</f>
        <v>0</v>
      </c>
      <c r="T24" s="34">
        <f>COUNTIFS(Summary!$A:$A,T$16,Summary!$AR:$AR,"Pending",Summary!$AT:$AT,$B24)</f>
        <v>0</v>
      </c>
      <c r="U24" s="7">
        <f t="shared" si="2"/>
        <v>0</v>
      </c>
    </row>
    <row r="25" spans="1:51" s="3" customFormat="1" ht="18" customHeight="1">
      <c r="A25" s="37" t="s">
        <v>52</v>
      </c>
      <c r="B25" s="38" t="s">
        <v>53</v>
      </c>
      <c r="C25" s="39">
        <f>COUNTIFS(Summary!$A:$A,C$16,Summary!$AR:$AR,"Pending",Summary!$AT:$AT,$B25)</f>
        <v>0</v>
      </c>
      <c r="D25" s="39">
        <f>COUNTIFS(Summary!$A:$A,D$16,Summary!$AR:$AR,"Pending",Summary!$AT:$AT,$B25)</f>
        <v>0</v>
      </c>
      <c r="E25" s="39">
        <f>COUNTIFS(Summary!$A:$A,E$16,Summary!$AR:$AR,"Pending",Summary!$AT:$AT,$B25)</f>
        <v>0</v>
      </c>
      <c r="F25" s="39">
        <f>COUNTIFS(Summary!$A:$A,F$16,Summary!$AR:$AR,"Pending",Summary!$AT:$AT,$B25)</f>
        <v>0</v>
      </c>
      <c r="G25" s="39">
        <f>COUNTIFS(Summary!$A:$A,G$16,Summary!$AR:$AR,"Pending",Summary!$AT:$AT,$B25)</f>
        <v>0</v>
      </c>
      <c r="H25" s="39">
        <f>COUNTIFS(Summary!$A:$A,H$16,Summary!$AR:$AR,"Pending",Summary!$AT:$AT,$B25)</f>
        <v>0</v>
      </c>
      <c r="I25" s="39">
        <f>COUNTIFS(Summary!$A:$A,I$16,Summary!$AR:$AR,"Pending",Summary!$AT:$AT,$B25)</f>
        <v>0</v>
      </c>
      <c r="J25" s="39">
        <f>COUNTIFS(Summary!$A:$A,J$16,Summary!$AR:$AR,"Pending",Summary!$AT:$AT,$B25)</f>
        <v>0</v>
      </c>
      <c r="K25" s="39">
        <f>COUNTIFS(Summary!$A:$A,K$16,Summary!$AR:$AR,"Pending",Summary!$AT:$AT,$B25)</f>
        <v>0</v>
      </c>
      <c r="L25" s="39">
        <f>COUNTIFS(Summary!$A:$A,L$16,Summary!$AR:$AR,"Pending",Summary!$AT:$AT,$B25)</f>
        <v>0</v>
      </c>
      <c r="M25" s="39">
        <f>COUNTIFS(Summary!$A:$A,M$16,Summary!$AR:$AR,"Pending",Summary!$AT:$AT,$B25)</f>
        <v>0</v>
      </c>
      <c r="N25" s="39">
        <f>COUNTIFS(Summary!$A:$A,N$16,Summary!$AR:$AR,"Pending",Summary!$AT:$AT,$B25)</f>
        <v>0</v>
      </c>
      <c r="O25" s="39">
        <f>COUNTIFS(Summary!$A:$A,O$16,Summary!$AR:$AR,"Pending",Summary!$AT:$AT,$B25)</f>
        <v>0</v>
      </c>
      <c r="P25" s="39">
        <f>COUNTIFS(Summary!$A:$A,P$16,Summary!$AR:$AR,"Pending",Summary!$AT:$AT,$B25)</f>
        <v>0</v>
      </c>
      <c r="Q25" s="39">
        <f>COUNTIFS(Summary!$A:$A,Q$16,Summary!$AR:$AR,"Pending",Summary!$AT:$AT,$B25)</f>
        <v>0</v>
      </c>
      <c r="R25" s="39">
        <f>COUNTIFS(Summary!$A:$A,R$16,Summary!$AR:$AR,"Pending",Summary!$AT:$AT,$B25)</f>
        <v>0</v>
      </c>
      <c r="S25" s="39">
        <f>COUNTIFS(Summary!$A:$A,S$16,Summary!$AR:$AR,"Pending",Summary!$AT:$AT,$B25)</f>
        <v>0</v>
      </c>
      <c r="T25" s="39">
        <f>COUNTIFS(Summary!$A:$A,T$16,Summary!$AR:$AR,"Pending",Summary!$AT:$AT,$B25)</f>
        <v>0</v>
      </c>
      <c r="U25" s="10">
        <f t="shared" si="2"/>
        <v>0</v>
      </c>
    </row>
    <row r="26" spans="1:51" s="3" customFormat="1" ht="18" customHeight="1">
      <c r="A26" s="11" t="s">
        <v>19</v>
      </c>
      <c r="B26" s="11"/>
      <c r="C26" s="12">
        <f t="shared" ref="C26:T26" si="3">SUM(C17:C25)</f>
        <v>68</v>
      </c>
      <c r="D26" s="12">
        <f t="shared" si="3"/>
        <v>0</v>
      </c>
      <c r="E26" s="12">
        <f t="shared" si="3"/>
        <v>0</v>
      </c>
      <c r="F26" s="12">
        <f t="shared" si="3"/>
        <v>0</v>
      </c>
      <c r="G26" s="12">
        <f t="shared" si="3"/>
        <v>0</v>
      </c>
      <c r="H26" s="12">
        <f t="shared" si="3"/>
        <v>0</v>
      </c>
      <c r="I26" s="12">
        <f t="shared" si="3"/>
        <v>0</v>
      </c>
      <c r="J26" s="12">
        <f t="shared" si="3"/>
        <v>0</v>
      </c>
      <c r="K26" s="12">
        <f t="shared" si="3"/>
        <v>0</v>
      </c>
      <c r="L26" s="12">
        <f t="shared" si="3"/>
        <v>0</v>
      </c>
      <c r="M26" s="12">
        <f t="shared" si="3"/>
        <v>0</v>
      </c>
      <c r="N26" s="12">
        <f t="shared" si="3"/>
        <v>0</v>
      </c>
      <c r="O26" s="12">
        <f t="shared" si="3"/>
        <v>0</v>
      </c>
      <c r="P26" s="12">
        <f t="shared" si="3"/>
        <v>0</v>
      </c>
      <c r="Q26" s="12">
        <f t="shared" si="3"/>
        <v>0</v>
      </c>
      <c r="R26" s="12">
        <f t="shared" si="3"/>
        <v>0</v>
      </c>
      <c r="S26" s="12">
        <f t="shared" si="3"/>
        <v>0</v>
      </c>
      <c r="T26" s="12">
        <f t="shared" si="3"/>
        <v>0</v>
      </c>
      <c r="U26" s="12">
        <f t="shared" si="2"/>
        <v>68</v>
      </c>
    </row>
    <row r="27" spans="1:51">
      <c r="AU27" s="3"/>
    </row>
    <row r="28" spans="1:51" ht="16">
      <c r="A28" s="15" t="s">
        <v>54</v>
      </c>
      <c r="B28" s="16" t="s">
        <v>55</v>
      </c>
      <c r="AU28" s="3"/>
      <c r="AX28" s="3"/>
      <c r="AY28" s="3"/>
    </row>
    <row r="29" spans="1:51" s="3" customFormat="1" ht="18" customHeight="1">
      <c r="A29" s="1" t="s">
        <v>35</v>
      </c>
      <c r="B29" s="1"/>
      <c r="C29" s="2" t="s">
        <v>1</v>
      </c>
      <c r="D29" s="2" t="s">
        <v>2</v>
      </c>
      <c r="E29" s="2" t="s">
        <v>3</v>
      </c>
      <c r="F29" s="2" t="s">
        <v>4</v>
      </c>
      <c r="G29" s="2" t="s">
        <v>5</v>
      </c>
      <c r="H29" s="2" t="s">
        <v>6</v>
      </c>
      <c r="I29" s="2" t="s">
        <v>7</v>
      </c>
      <c r="J29" s="2" t="s">
        <v>8</v>
      </c>
      <c r="K29" s="2" t="s">
        <v>9</v>
      </c>
      <c r="L29" s="2" t="s">
        <v>10</v>
      </c>
      <c r="M29" s="2" t="s">
        <v>11</v>
      </c>
      <c r="N29" s="2" t="s">
        <v>12</v>
      </c>
      <c r="O29" s="2" t="s">
        <v>13</v>
      </c>
      <c r="P29" s="2" t="s">
        <v>14</v>
      </c>
      <c r="Q29" s="2" t="s">
        <v>15</v>
      </c>
      <c r="R29" s="2" t="s">
        <v>16</v>
      </c>
      <c r="S29" s="2" t="s">
        <v>17</v>
      </c>
      <c r="T29" s="2" t="s">
        <v>18</v>
      </c>
      <c r="U29" s="2" t="s">
        <v>19</v>
      </c>
    </row>
    <row r="30" spans="1:51" s="3" customFormat="1" ht="18" customHeight="1">
      <c r="A30" s="17" t="s">
        <v>56</v>
      </c>
      <c r="B30" s="31" t="s">
        <v>37</v>
      </c>
      <c r="C30" s="32">
        <f>COUNTIFS(Summary!$A:$A,C$29,Summary!$AR:$AR,"Assessment Report Issued",Summary!$AS:$AS,"Open",Summary!$AT:$AT,$B30)</f>
        <v>5</v>
      </c>
      <c r="D30" s="32">
        <f>COUNTIFS(Summary!$A:$A,D$29,Summary!$AR:$AR,"Assessment Report Issued",Summary!$AS:$AS,"Open",Summary!$AT:$AT,$B30)</f>
        <v>0</v>
      </c>
      <c r="E30" s="32">
        <f>COUNTIFS(Summary!$A:$A,E$29,Summary!$AR:$AR,"Assessment Report Issued",Summary!$AS:$AS,"Open",Summary!$AT:$AT,$B30)</f>
        <v>0</v>
      </c>
      <c r="F30" s="32">
        <f>COUNTIFS(Summary!$A:$A,F$29,Summary!$AR:$AR,"Assessment Report Issued",Summary!$AS:$AS,"Open",Summary!$AT:$AT,$B30)</f>
        <v>0</v>
      </c>
      <c r="G30" s="32">
        <f>COUNTIFS(Summary!$A:$A,G$29,Summary!$AR:$AR,"Assessment Report Issued",Summary!$AS:$AS,"Open",Summary!$AT:$AT,$B30)</f>
        <v>0</v>
      </c>
      <c r="H30" s="32">
        <f>COUNTIFS(Summary!$A:$A,H$29,Summary!$AR:$AR,"Assessment Report Issued",Summary!$AS:$AS,"Open",Summary!$AT:$AT,$B30)</f>
        <v>0</v>
      </c>
      <c r="I30" s="32">
        <f>COUNTIFS(Summary!$A:$A,I$29,Summary!$AR:$AR,"Assessment Report Issued",Summary!$AS:$AS,"Open",Summary!$AT:$AT,$B30)</f>
        <v>0</v>
      </c>
      <c r="J30" s="32">
        <f>COUNTIFS(Summary!$A:$A,J$29,Summary!$AR:$AR,"Assessment Report Issued",Summary!$AS:$AS,"Open",Summary!$AT:$AT,$B30)</f>
        <v>0</v>
      </c>
      <c r="K30" s="32">
        <f>COUNTIFS(Summary!$A:$A,K$29,Summary!$AR:$AR,"Assessment Report Issued",Summary!$AS:$AS,"Open",Summary!$AT:$AT,$B30)</f>
        <v>0</v>
      </c>
      <c r="L30" s="32">
        <f>COUNTIFS(Summary!$A:$A,L$29,Summary!$AR:$AR,"Assessment Report Issued",Summary!$AS:$AS,"Open",Summary!$AT:$AT,$B30)</f>
        <v>0</v>
      </c>
      <c r="M30" s="32">
        <f>COUNTIFS(Summary!$A:$A,M$29,Summary!$AR:$AR,"Assessment Report Issued",Summary!$AS:$AS,"Open",Summary!$AT:$AT,$B30)</f>
        <v>0</v>
      </c>
      <c r="N30" s="32">
        <f>COUNTIFS(Summary!$A:$A,N$29,Summary!$AR:$AR,"Assessment Report Issued",Summary!$AS:$AS,"Open",Summary!$AT:$AT,$B30)</f>
        <v>0</v>
      </c>
      <c r="O30" s="32">
        <f>COUNTIFS(Summary!$A:$A,O$29,Summary!$AR:$AR,"Assessment Report Issued",Summary!$AS:$AS,"Open",Summary!$AT:$AT,$B30)</f>
        <v>0</v>
      </c>
      <c r="P30" s="32">
        <f>COUNTIFS(Summary!$A:$A,P$29,Summary!$AR:$AR,"Assessment Report Issued",Summary!$AS:$AS,"Open",Summary!$AT:$AT,$B30)</f>
        <v>0</v>
      </c>
      <c r="Q30" s="32">
        <f>COUNTIFS(Summary!$A:$A,Q$29,Summary!$AR:$AR,"Assessment Report Issued",Summary!$AS:$AS,"Open",Summary!$AT:$AT,$B30)</f>
        <v>0</v>
      </c>
      <c r="R30" s="32">
        <f>COUNTIFS(Summary!$A:$A,R$29,Summary!$AR:$AR,"Assessment Report Issued",Summary!$AS:$AS,"Open",Summary!$AT:$AT,$B30)</f>
        <v>0</v>
      </c>
      <c r="S30" s="32">
        <f>COUNTIFS(Summary!$A:$A,S$29,Summary!$AR:$AR,"Assessment Report Issued",Summary!$AS:$AS,"Open",Summary!$AT:$AT,$B30)</f>
        <v>0</v>
      </c>
      <c r="T30" s="32">
        <f>COUNTIFS(Summary!$A:$A,T$29,Summary!$AR:$AR,"Assessment Report Issued",Summary!$AS:$AS,"Open",Summary!$AT:$AT,$B30)</f>
        <v>0</v>
      </c>
      <c r="U30" s="7">
        <f t="shared" ref="U30:U36" si="4">SUM(C30:T30)</f>
        <v>5</v>
      </c>
    </row>
    <row r="31" spans="1:51" s="3" customFormat="1" ht="18" customHeight="1">
      <c r="A31" s="30" t="s">
        <v>57</v>
      </c>
      <c r="B31" s="33" t="s">
        <v>39</v>
      </c>
      <c r="C31" s="34">
        <f>COUNTIFS(Summary!$A:$A,C$29,Summary!$AR:$AR,"Assessment Report Issued",Summary!$AS:$AS,"Open",Summary!$AT:$AT,$B31)</f>
        <v>0</v>
      </c>
      <c r="D31" s="34">
        <f>COUNTIFS(Summary!$A:$A,D$29,Summary!$AR:$AR,"Assessment Report Issued",Summary!$AS:$AS,"Open",Summary!$AT:$AT,$B31)</f>
        <v>0</v>
      </c>
      <c r="E31" s="34">
        <f>COUNTIFS(Summary!$A:$A,E$29,Summary!$AR:$AR,"Assessment Report Issued",Summary!$AS:$AS,"Open",Summary!$AT:$AT,$B31)</f>
        <v>0</v>
      </c>
      <c r="F31" s="34">
        <f>COUNTIFS(Summary!$A:$A,F$29,Summary!$AR:$AR,"Assessment Report Issued",Summary!$AS:$AS,"Open",Summary!$AT:$AT,$B31)</f>
        <v>0</v>
      </c>
      <c r="G31" s="34">
        <f>COUNTIFS(Summary!$A:$A,G$29,Summary!$AR:$AR,"Assessment Report Issued",Summary!$AS:$AS,"Open",Summary!$AT:$AT,$B31)</f>
        <v>0</v>
      </c>
      <c r="H31" s="34">
        <f>COUNTIFS(Summary!$A:$A,H$29,Summary!$AR:$AR,"Assessment Report Issued",Summary!$AS:$AS,"Open",Summary!$AT:$AT,$B31)</f>
        <v>0</v>
      </c>
      <c r="I31" s="34">
        <f>COUNTIFS(Summary!$A:$A,I$29,Summary!$AR:$AR,"Assessment Report Issued",Summary!$AS:$AS,"Open",Summary!$AT:$AT,$B31)</f>
        <v>0</v>
      </c>
      <c r="J31" s="34">
        <f>COUNTIFS(Summary!$A:$A,J$29,Summary!$AR:$AR,"Assessment Report Issued",Summary!$AS:$AS,"Open",Summary!$AT:$AT,$B31)</f>
        <v>0</v>
      </c>
      <c r="K31" s="34">
        <f>COUNTIFS(Summary!$A:$A,K$29,Summary!$AR:$AR,"Assessment Report Issued",Summary!$AS:$AS,"Open",Summary!$AT:$AT,$B31)</f>
        <v>0</v>
      </c>
      <c r="L31" s="34">
        <f>COUNTIFS(Summary!$A:$A,L$29,Summary!$AR:$AR,"Assessment Report Issued",Summary!$AS:$AS,"Open",Summary!$AT:$AT,$B31)</f>
        <v>0</v>
      </c>
      <c r="M31" s="34">
        <f>COUNTIFS(Summary!$A:$A,M$29,Summary!$AR:$AR,"Assessment Report Issued",Summary!$AS:$AS,"Open",Summary!$AT:$AT,$B31)</f>
        <v>0</v>
      </c>
      <c r="N31" s="34">
        <f>COUNTIFS(Summary!$A:$A,N$29,Summary!$AR:$AR,"Assessment Report Issued",Summary!$AS:$AS,"Open",Summary!$AT:$AT,$B31)</f>
        <v>0</v>
      </c>
      <c r="O31" s="34">
        <f>COUNTIFS(Summary!$A:$A,O$29,Summary!$AR:$AR,"Assessment Report Issued",Summary!$AS:$AS,"Open",Summary!$AT:$AT,$B31)</f>
        <v>0</v>
      </c>
      <c r="P31" s="34">
        <f>COUNTIFS(Summary!$A:$A,P$29,Summary!$AR:$AR,"Assessment Report Issued",Summary!$AS:$AS,"Open",Summary!$AT:$AT,$B31)</f>
        <v>0</v>
      </c>
      <c r="Q31" s="34">
        <f>COUNTIFS(Summary!$A:$A,Q$29,Summary!$AR:$AR,"Assessment Report Issued",Summary!$AS:$AS,"Open",Summary!$AT:$AT,$B31)</f>
        <v>0</v>
      </c>
      <c r="R31" s="34">
        <f>COUNTIFS(Summary!$A:$A,R$29,Summary!$AR:$AR,"Assessment Report Issued",Summary!$AS:$AS,"Open",Summary!$AT:$AT,$B31)</f>
        <v>0</v>
      </c>
      <c r="S31" s="34">
        <f>COUNTIFS(Summary!$A:$A,S$29,Summary!$AR:$AR,"Assessment Report Issued",Summary!$AS:$AS,"Open",Summary!$AT:$AT,$B31)</f>
        <v>0</v>
      </c>
      <c r="T31" s="34">
        <f>COUNTIFS(Summary!$A:$A,T$29,Summary!$AR:$AR,"Assessment Report Issued",Summary!$AS:$AS,"Open",Summary!$AT:$AT,$B31)</f>
        <v>0</v>
      </c>
      <c r="U31" s="24">
        <f t="shared" si="4"/>
        <v>0</v>
      </c>
    </row>
    <row r="32" spans="1:51" s="3" customFormat="1" ht="18" customHeight="1">
      <c r="A32" s="30" t="s">
        <v>58</v>
      </c>
      <c r="B32" s="31" t="s">
        <v>43</v>
      </c>
      <c r="C32" s="32">
        <f>COUNTIFS(Summary!$A:$A,C$29,Summary!$AR:$AR,"Assessment Report Issued",Summary!$AS:$AS,"Open",Summary!$AT:$AT,$B32)</f>
        <v>3</v>
      </c>
      <c r="D32" s="32">
        <f>COUNTIFS(Summary!$A:$A,D$29,Summary!$AR:$AR,"Assessment Report Issued",Summary!$AS:$AS,"Open",Summary!$AT:$AT,$B32)</f>
        <v>0</v>
      </c>
      <c r="E32" s="32">
        <f>COUNTIFS(Summary!$A:$A,E$29,Summary!$AR:$AR,"Assessment Report Issued",Summary!$AS:$AS,"Open",Summary!$AT:$AT,$B32)</f>
        <v>0</v>
      </c>
      <c r="F32" s="32">
        <f>COUNTIFS(Summary!$A:$A,F$29,Summary!$AR:$AR,"Assessment Report Issued",Summary!$AS:$AS,"Open",Summary!$AT:$AT,$B32)</f>
        <v>0</v>
      </c>
      <c r="G32" s="32">
        <f>COUNTIFS(Summary!$A:$A,G$29,Summary!$AR:$AR,"Assessment Report Issued",Summary!$AS:$AS,"Open",Summary!$AT:$AT,$B32)</f>
        <v>0</v>
      </c>
      <c r="H32" s="32">
        <f>COUNTIFS(Summary!$A:$A,H$29,Summary!$AR:$AR,"Assessment Report Issued",Summary!$AS:$AS,"Open",Summary!$AT:$AT,$B32)</f>
        <v>0</v>
      </c>
      <c r="I32" s="32">
        <f>COUNTIFS(Summary!$A:$A,I$29,Summary!$AR:$AR,"Assessment Report Issued",Summary!$AS:$AS,"Open",Summary!$AT:$AT,$B32)</f>
        <v>0</v>
      </c>
      <c r="J32" s="32">
        <f>COUNTIFS(Summary!$A:$A,J$29,Summary!$AR:$AR,"Assessment Report Issued",Summary!$AS:$AS,"Open",Summary!$AT:$AT,$B32)</f>
        <v>0</v>
      </c>
      <c r="K32" s="32">
        <f>COUNTIFS(Summary!$A:$A,K$29,Summary!$AR:$AR,"Assessment Report Issued",Summary!$AS:$AS,"Open",Summary!$AT:$AT,$B32)</f>
        <v>0</v>
      </c>
      <c r="L32" s="32">
        <f>COUNTIFS(Summary!$A:$A,L$29,Summary!$AR:$AR,"Assessment Report Issued",Summary!$AS:$AS,"Open",Summary!$AT:$AT,$B32)</f>
        <v>0</v>
      </c>
      <c r="M32" s="32">
        <f>COUNTIFS(Summary!$A:$A,M$29,Summary!$AR:$AR,"Assessment Report Issued",Summary!$AS:$AS,"Open",Summary!$AT:$AT,$B32)</f>
        <v>0</v>
      </c>
      <c r="N32" s="32">
        <f>COUNTIFS(Summary!$A:$A,N$29,Summary!$AR:$AR,"Assessment Report Issued",Summary!$AS:$AS,"Open",Summary!$AT:$AT,$B32)</f>
        <v>0</v>
      </c>
      <c r="O32" s="32">
        <f>COUNTIFS(Summary!$A:$A,O$29,Summary!$AR:$AR,"Assessment Report Issued",Summary!$AS:$AS,"Open",Summary!$AT:$AT,$B32)</f>
        <v>0</v>
      </c>
      <c r="P32" s="32">
        <f>COUNTIFS(Summary!$A:$A,P$29,Summary!$AR:$AR,"Assessment Report Issued",Summary!$AS:$AS,"Open",Summary!$AT:$AT,$B32)</f>
        <v>0</v>
      </c>
      <c r="Q32" s="32">
        <f>COUNTIFS(Summary!$A:$A,Q$29,Summary!$AR:$AR,"Assessment Report Issued",Summary!$AS:$AS,"Open",Summary!$AT:$AT,$B32)</f>
        <v>0</v>
      </c>
      <c r="R32" s="32">
        <f>COUNTIFS(Summary!$A:$A,R$29,Summary!$AR:$AR,"Assessment Report Issued",Summary!$AS:$AS,"Open",Summary!$AT:$AT,$B32)</f>
        <v>0</v>
      </c>
      <c r="S32" s="32">
        <f>COUNTIFS(Summary!$A:$A,S$29,Summary!$AR:$AR,"Assessment Report Issued",Summary!$AS:$AS,"Open",Summary!$AT:$AT,$B32)</f>
        <v>0</v>
      </c>
      <c r="T32" s="32">
        <f>COUNTIFS(Summary!$A:$A,T$29,Summary!$AR:$AR,"Assessment Report Issued",Summary!$AS:$AS,"Open",Summary!$AT:$AT,$B32)</f>
        <v>0</v>
      </c>
      <c r="U32" s="7">
        <f t="shared" si="4"/>
        <v>3</v>
      </c>
      <c r="W32" s="40" t="s">
        <v>59</v>
      </c>
      <c r="X32" s="40"/>
      <c r="Y32" s="41" t="s">
        <v>19</v>
      </c>
    </row>
    <row r="33" spans="1:51" s="3" customFormat="1" ht="18" customHeight="1">
      <c r="A33" s="21" t="s">
        <v>60</v>
      </c>
      <c r="B33" s="36" t="s">
        <v>45</v>
      </c>
      <c r="C33" s="34">
        <f>COUNTIFS(Summary!$A:$A,C$29,Summary!$AR:$AR,"Assessment Report Issued",Summary!$AS:$AS,"Open",Summary!$AT:$AT,$B33)</f>
        <v>1</v>
      </c>
      <c r="D33" s="34">
        <f>COUNTIFS(Summary!$A:$A,D$29,Summary!$AR:$AR,"Assessment Report Issued",Summary!$AS:$AS,"Open",Summary!$AT:$AT,$B33)</f>
        <v>0</v>
      </c>
      <c r="E33" s="34">
        <f>COUNTIFS(Summary!$A:$A,E$29,Summary!$AR:$AR,"Assessment Report Issued",Summary!$AS:$AS,"Open",Summary!$AT:$AT,$B33)</f>
        <v>0</v>
      </c>
      <c r="F33" s="34">
        <f>COUNTIFS(Summary!$A:$A,F$29,Summary!$AR:$AR,"Assessment Report Issued",Summary!$AS:$AS,"Open",Summary!$AT:$AT,$B33)</f>
        <v>0</v>
      </c>
      <c r="G33" s="34">
        <f>COUNTIFS(Summary!$A:$A,G$29,Summary!$AR:$AR,"Assessment Report Issued",Summary!$AS:$AS,"Open",Summary!$AT:$AT,$B33)</f>
        <v>0</v>
      </c>
      <c r="H33" s="34">
        <f>COUNTIFS(Summary!$A:$A,H$29,Summary!$AR:$AR,"Assessment Report Issued",Summary!$AS:$AS,"Open",Summary!$AT:$AT,$B33)</f>
        <v>0</v>
      </c>
      <c r="I33" s="34">
        <f>COUNTIFS(Summary!$A:$A,I$29,Summary!$AR:$AR,"Assessment Report Issued",Summary!$AS:$AS,"Open",Summary!$AT:$AT,$B33)</f>
        <v>0</v>
      </c>
      <c r="J33" s="34">
        <f>COUNTIFS(Summary!$A:$A,J$29,Summary!$AR:$AR,"Assessment Report Issued",Summary!$AS:$AS,"Open",Summary!$AT:$AT,$B33)</f>
        <v>0</v>
      </c>
      <c r="K33" s="34">
        <f>COUNTIFS(Summary!$A:$A,K$29,Summary!$AR:$AR,"Assessment Report Issued",Summary!$AS:$AS,"Open",Summary!$AT:$AT,$B33)</f>
        <v>0</v>
      </c>
      <c r="L33" s="34">
        <f>COUNTIFS(Summary!$A:$A,L$29,Summary!$AR:$AR,"Assessment Report Issued",Summary!$AS:$AS,"Open",Summary!$AT:$AT,$B33)</f>
        <v>0</v>
      </c>
      <c r="M33" s="34">
        <f>COUNTIFS(Summary!$A:$A,M$29,Summary!$AR:$AR,"Assessment Report Issued",Summary!$AS:$AS,"Open",Summary!$AT:$AT,$B33)</f>
        <v>0</v>
      </c>
      <c r="N33" s="34">
        <f>COUNTIFS(Summary!$A:$A,N$29,Summary!$AR:$AR,"Assessment Report Issued",Summary!$AS:$AS,"Open",Summary!$AT:$AT,$B33)</f>
        <v>0</v>
      </c>
      <c r="O33" s="34">
        <f>COUNTIFS(Summary!$A:$A,O$29,Summary!$AR:$AR,"Assessment Report Issued",Summary!$AS:$AS,"Open",Summary!$AT:$AT,$B33)</f>
        <v>0</v>
      </c>
      <c r="P33" s="34">
        <f>COUNTIFS(Summary!$A:$A,P$29,Summary!$AR:$AR,"Assessment Report Issued",Summary!$AS:$AS,"Open",Summary!$AT:$AT,$B33)</f>
        <v>0</v>
      </c>
      <c r="Q33" s="34">
        <f>COUNTIFS(Summary!$A:$A,Q$29,Summary!$AR:$AR,"Assessment Report Issued",Summary!$AS:$AS,"Open",Summary!$AT:$AT,$B33)</f>
        <v>0</v>
      </c>
      <c r="R33" s="34">
        <f>COUNTIFS(Summary!$A:$A,R$29,Summary!$AR:$AR,"Assessment Report Issued",Summary!$AS:$AS,"Open",Summary!$AT:$AT,$B33)</f>
        <v>0</v>
      </c>
      <c r="S33" s="34">
        <f>COUNTIFS(Summary!$A:$A,S$29,Summary!$AR:$AR,"Assessment Report Issued",Summary!$AS:$AS,"Open",Summary!$AT:$AT,$B33)</f>
        <v>0</v>
      </c>
      <c r="T33" s="34">
        <f>COUNTIFS(Summary!$A:$A,T$29,Summary!$AR:$AR,"Assessment Report Issued",Summary!$AS:$AS,"Open",Summary!$AT:$AT,$B33)</f>
        <v>0</v>
      </c>
      <c r="U33" s="7">
        <f t="shared" si="4"/>
        <v>1</v>
      </c>
      <c r="W33" s="42" t="s">
        <v>61</v>
      </c>
      <c r="X33" s="43"/>
      <c r="Y33" s="44">
        <f>U26+U36+U45</f>
        <v>77</v>
      </c>
    </row>
    <row r="34" spans="1:51" s="3" customFormat="1" ht="18" customHeight="1">
      <c r="A34" s="25" t="s">
        <v>62</v>
      </c>
      <c r="B34" s="36" t="s">
        <v>47</v>
      </c>
      <c r="C34" s="34">
        <f>COUNTIFS(Summary!$A:$A,C$29,Summary!$AR:$AR,"Assessment Report Issued",Summary!$AS:$AS,"Open",Summary!$AT:$AT,$B34)</f>
        <v>0</v>
      </c>
      <c r="D34" s="34">
        <f>COUNTIFS(Summary!$A:$A,D$29,Summary!$AR:$AR,"Assessment Report Issued",Summary!$AS:$AS,"Open",Summary!$AT:$AT,$B34)</f>
        <v>0</v>
      </c>
      <c r="E34" s="34">
        <f>COUNTIFS(Summary!$A:$A,E$29,Summary!$AR:$AR,"Assessment Report Issued",Summary!$AS:$AS,"Open",Summary!$AT:$AT,$B34)</f>
        <v>0</v>
      </c>
      <c r="F34" s="34">
        <f>COUNTIFS(Summary!$A:$A,F$29,Summary!$AR:$AR,"Assessment Report Issued",Summary!$AS:$AS,"Open",Summary!$AT:$AT,$B34)</f>
        <v>0</v>
      </c>
      <c r="G34" s="34">
        <f>COUNTIFS(Summary!$A:$A,G$29,Summary!$AR:$AR,"Assessment Report Issued",Summary!$AS:$AS,"Open",Summary!$AT:$AT,$B34)</f>
        <v>0</v>
      </c>
      <c r="H34" s="34">
        <f>COUNTIFS(Summary!$A:$A,H$29,Summary!$AR:$AR,"Assessment Report Issued",Summary!$AS:$AS,"Open",Summary!$AT:$AT,$B34)</f>
        <v>0</v>
      </c>
      <c r="I34" s="34">
        <f>COUNTIFS(Summary!$A:$A,I$29,Summary!$AR:$AR,"Assessment Report Issued",Summary!$AS:$AS,"Open",Summary!$AT:$AT,$B34)</f>
        <v>0</v>
      </c>
      <c r="J34" s="34">
        <f>COUNTIFS(Summary!$A:$A,J$29,Summary!$AR:$AR,"Assessment Report Issued",Summary!$AS:$AS,"Open",Summary!$AT:$AT,$B34)</f>
        <v>0</v>
      </c>
      <c r="K34" s="34">
        <f>COUNTIFS(Summary!$A:$A,K$29,Summary!$AR:$AR,"Assessment Report Issued",Summary!$AS:$AS,"Open",Summary!$AT:$AT,$B34)</f>
        <v>0</v>
      </c>
      <c r="L34" s="34">
        <f>COUNTIFS(Summary!$A:$A,L$29,Summary!$AR:$AR,"Assessment Report Issued",Summary!$AS:$AS,"Open",Summary!$AT:$AT,$B34)</f>
        <v>0</v>
      </c>
      <c r="M34" s="34">
        <f>COUNTIFS(Summary!$A:$A,M$29,Summary!$AR:$AR,"Assessment Report Issued",Summary!$AS:$AS,"Open",Summary!$AT:$AT,$B34)</f>
        <v>0</v>
      </c>
      <c r="N34" s="34">
        <f>COUNTIFS(Summary!$A:$A,N$29,Summary!$AR:$AR,"Assessment Report Issued",Summary!$AS:$AS,"Open",Summary!$AT:$AT,$B34)</f>
        <v>0</v>
      </c>
      <c r="O34" s="34">
        <f>COUNTIFS(Summary!$A:$A,O$29,Summary!$AR:$AR,"Assessment Report Issued",Summary!$AS:$AS,"Open",Summary!$AT:$AT,$B34)</f>
        <v>0</v>
      </c>
      <c r="P34" s="34">
        <f>COUNTIFS(Summary!$A:$A,P$29,Summary!$AR:$AR,"Assessment Report Issued",Summary!$AS:$AS,"Open",Summary!$AT:$AT,$B34)</f>
        <v>0</v>
      </c>
      <c r="Q34" s="34">
        <f>COUNTIFS(Summary!$A:$A,Q$29,Summary!$AR:$AR,"Assessment Report Issued",Summary!$AS:$AS,"Open",Summary!$AT:$AT,$B34)</f>
        <v>0</v>
      </c>
      <c r="R34" s="34">
        <f>COUNTIFS(Summary!$A:$A,R$29,Summary!$AR:$AR,"Assessment Report Issued",Summary!$AS:$AS,"Open",Summary!$AT:$AT,$B34)</f>
        <v>0</v>
      </c>
      <c r="S34" s="34">
        <f>COUNTIFS(Summary!$A:$A,S$29,Summary!$AR:$AR,"Assessment Report Issued",Summary!$AS:$AS,"Open",Summary!$AT:$AT,$B34)</f>
        <v>0</v>
      </c>
      <c r="T34" s="34">
        <f>COUNTIFS(Summary!$A:$A,T$29,Summary!$AR:$AR,"Assessment Report Issued",Summary!$AS:$AS,"Open",Summary!$AT:$AT,$B34)</f>
        <v>0</v>
      </c>
      <c r="U34" s="24">
        <f t="shared" si="4"/>
        <v>0</v>
      </c>
    </row>
    <row r="35" spans="1:51" s="3" customFormat="1" ht="18" customHeight="1">
      <c r="A35" s="25" t="s">
        <v>63</v>
      </c>
      <c r="B35" s="45" t="s">
        <v>64</v>
      </c>
      <c r="C35" s="9">
        <f>COUNTIFS(Summary!$A:$A,C$29,Summary!$AR:$AR,"Assessment Report Issued",Summary!$AS:$AS,"Open",Summary!$AT:$AT,$B35)</f>
        <v>0</v>
      </c>
      <c r="D35" s="9">
        <f>COUNTIFS(Summary!$A:$A,D$29,Summary!$AR:$AR,"Assessment Report Issued",Summary!$AS:$AS,"Open",Summary!$AT:$AT,$B35)</f>
        <v>0</v>
      </c>
      <c r="E35" s="9">
        <f>COUNTIFS(Summary!$A:$A,E$29,Summary!$AR:$AR,"Assessment Report Issued",Summary!$AS:$AS,"Open",Summary!$AT:$AT,$B35)</f>
        <v>0</v>
      </c>
      <c r="F35" s="9">
        <f>COUNTIFS(Summary!$A:$A,F$29,Summary!$AR:$AR,"Assessment Report Issued",Summary!$AS:$AS,"Open",Summary!$AT:$AT,$B35)</f>
        <v>0</v>
      </c>
      <c r="G35" s="9">
        <f>COUNTIFS(Summary!$A:$A,G$29,Summary!$AR:$AR,"Assessment Report Issued",Summary!$AS:$AS,"Open",Summary!$AT:$AT,$B35)</f>
        <v>0</v>
      </c>
      <c r="H35" s="9">
        <f>COUNTIFS(Summary!$A:$A,H$29,Summary!$AR:$AR,"Assessment Report Issued",Summary!$AS:$AS,"Open",Summary!$AT:$AT,$B35)</f>
        <v>0</v>
      </c>
      <c r="I35" s="9">
        <f>COUNTIFS(Summary!$A:$A,I$29,Summary!$AR:$AR,"Assessment Report Issued",Summary!$AS:$AS,"Open",Summary!$AT:$AT,$B35)</f>
        <v>0</v>
      </c>
      <c r="J35" s="9">
        <f>COUNTIFS(Summary!$A:$A,J$29,Summary!$AR:$AR,"Assessment Report Issued",Summary!$AS:$AS,"Open",Summary!$AT:$AT,$B35)</f>
        <v>0</v>
      </c>
      <c r="K35" s="9">
        <f>COUNTIFS(Summary!$A:$A,K$29,Summary!$AR:$AR,"Assessment Report Issued",Summary!$AS:$AS,"Open",Summary!$AT:$AT,$B35)</f>
        <v>0</v>
      </c>
      <c r="L35" s="9">
        <f>COUNTIFS(Summary!$A:$A,L$29,Summary!$AR:$AR,"Assessment Report Issued",Summary!$AS:$AS,"Open",Summary!$AT:$AT,$B35)</f>
        <v>0</v>
      </c>
      <c r="M35" s="9">
        <f>COUNTIFS(Summary!$A:$A,M$29,Summary!$AR:$AR,"Assessment Report Issued",Summary!$AS:$AS,"Open",Summary!$AT:$AT,$B35)</f>
        <v>0</v>
      </c>
      <c r="N35" s="9">
        <f>COUNTIFS(Summary!$A:$A,N$29,Summary!$AR:$AR,"Assessment Report Issued",Summary!$AS:$AS,"Open",Summary!$AT:$AT,$B35)</f>
        <v>0</v>
      </c>
      <c r="O35" s="9">
        <f>COUNTIFS(Summary!$A:$A,O$29,Summary!$AR:$AR,"Assessment Report Issued",Summary!$AS:$AS,"Open",Summary!$AT:$AT,$B35)</f>
        <v>0</v>
      </c>
      <c r="P35" s="9">
        <f>COUNTIFS(Summary!$A:$A,P$29,Summary!$AR:$AR,"Assessment Report Issued",Summary!$AS:$AS,"Open",Summary!$AT:$AT,$B35)</f>
        <v>0</v>
      </c>
      <c r="Q35" s="9">
        <f>COUNTIFS(Summary!$A:$A,Q$29,Summary!$AR:$AR,"Assessment Report Issued",Summary!$AS:$AS,"Open",Summary!$AT:$AT,$B35)</f>
        <v>0</v>
      </c>
      <c r="R35" s="9">
        <f>COUNTIFS(Summary!$A:$A,R$29,Summary!$AR:$AR,"Assessment Report Issued",Summary!$AS:$AS,"Open",Summary!$AT:$AT,$B35)</f>
        <v>0</v>
      </c>
      <c r="S35" s="9">
        <f>COUNTIFS(Summary!$A:$A,S$29,Summary!$AR:$AR,"Assessment Report Issued",Summary!$AS:$AS,"Open",Summary!$AT:$AT,$B35)</f>
        <v>0</v>
      </c>
      <c r="T35" s="9">
        <f>COUNTIFS(Summary!$A:$A,T$29,Summary!$AR:$AR,"Assessment Report Issued",Summary!$AS:$AS,"Open",Summary!$AT:$AT,$B35)</f>
        <v>0</v>
      </c>
      <c r="U35" s="28">
        <f t="shared" si="4"/>
        <v>0</v>
      </c>
    </row>
    <row r="36" spans="1:51" s="3" customFormat="1" ht="18" customHeight="1">
      <c r="A36" s="11" t="s">
        <v>19</v>
      </c>
      <c r="B36" s="11"/>
      <c r="C36" s="12">
        <f t="shared" ref="C36:O36" si="5">SUM(C30:C35)</f>
        <v>9</v>
      </c>
      <c r="D36" s="12">
        <f t="shared" si="5"/>
        <v>0</v>
      </c>
      <c r="E36" s="12">
        <f t="shared" si="5"/>
        <v>0</v>
      </c>
      <c r="F36" s="12">
        <f t="shared" si="5"/>
        <v>0</v>
      </c>
      <c r="G36" s="12">
        <f t="shared" si="5"/>
        <v>0</v>
      </c>
      <c r="H36" s="12">
        <f t="shared" si="5"/>
        <v>0</v>
      </c>
      <c r="I36" s="12">
        <f t="shared" si="5"/>
        <v>0</v>
      </c>
      <c r="J36" s="12">
        <f t="shared" si="5"/>
        <v>0</v>
      </c>
      <c r="K36" s="12">
        <f t="shared" si="5"/>
        <v>0</v>
      </c>
      <c r="L36" s="12">
        <f t="shared" si="5"/>
        <v>0</v>
      </c>
      <c r="M36" s="12">
        <f t="shared" si="5"/>
        <v>0</v>
      </c>
      <c r="N36" s="12">
        <f t="shared" si="5"/>
        <v>0</v>
      </c>
      <c r="O36" s="12">
        <f t="shared" si="5"/>
        <v>0</v>
      </c>
      <c r="P36" s="12">
        <f>SUM(P30:P35)</f>
        <v>0</v>
      </c>
      <c r="Q36" s="12">
        <f>SUM(Q30:Q35)</f>
        <v>0</v>
      </c>
      <c r="R36" s="12">
        <f>SUM(R30:R35)</f>
        <v>0</v>
      </c>
      <c r="S36" s="12">
        <f>SUM(S30:S35)</f>
        <v>0</v>
      </c>
      <c r="T36" s="12">
        <f>SUM(T30:T35)</f>
        <v>0</v>
      </c>
      <c r="U36" s="12">
        <f t="shared" si="4"/>
        <v>9</v>
      </c>
    </row>
    <row r="37" spans="1:51">
      <c r="C37" s="13"/>
      <c r="D37" s="13"/>
      <c r="E37" s="13"/>
      <c r="F37" s="13"/>
      <c r="G37" s="13"/>
      <c r="H37" s="13"/>
      <c r="I37" s="13"/>
      <c r="J37" s="13"/>
      <c r="K37" s="13"/>
      <c r="L37" s="13"/>
      <c r="M37" s="13"/>
      <c r="N37" s="13"/>
      <c r="O37" s="13"/>
      <c r="P37" s="13"/>
      <c r="Q37" s="13"/>
      <c r="R37" s="13"/>
      <c r="S37" s="13"/>
      <c r="T37" s="13"/>
      <c r="U37" s="13"/>
    </row>
    <row r="38" spans="1:51" ht="16">
      <c r="A38" s="15" t="s">
        <v>65</v>
      </c>
      <c r="B38" s="16" t="s">
        <v>66</v>
      </c>
      <c r="AU38" s="3"/>
      <c r="AX38" s="3"/>
      <c r="AY38" s="3"/>
    </row>
    <row r="39" spans="1:51" s="3" customFormat="1" ht="18" customHeight="1">
      <c r="A39" s="1" t="s">
        <v>35</v>
      </c>
      <c r="B39" s="1"/>
      <c r="C39" s="2" t="s">
        <v>1</v>
      </c>
      <c r="D39" s="2" t="s">
        <v>2</v>
      </c>
      <c r="E39" s="2" t="s">
        <v>3</v>
      </c>
      <c r="F39" s="2" t="s">
        <v>4</v>
      </c>
      <c r="G39" s="2" t="s">
        <v>5</v>
      </c>
      <c r="H39" s="2" t="s">
        <v>6</v>
      </c>
      <c r="I39" s="2" t="s">
        <v>7</v>
      </c>
      <c r="J39" s="2" t="s">
        <v>8</v>
      </c>
      <c r="K39" s="2" t="s">
        <v>9</v>
      </c>
      <c r="L39" s="2" t="s">
        <v>10</v>
      </c>
      <c r="M39" s="2" t="s">
        <v>11</v>
      </c>
      <c r="N39" s="2" t="s">
        <v>12</v>
      </c>
      <c r="O39" s="2" t="s">
        <v>13</v>
      </c>
      <c r="P39" s="2" t="s">
        <v>14</v>
      </c>
      <c r="Q39" s="2" t="s">
        <v>15</v>
      </c>
      <c r="R39" s="2" t="s">
        <v>16</v>
      </c>
      <c r="S39" s="2" t="s">
        <v>17</v>
      </c>
      <c r="T39" s="2" t="s">
        <v>18</v>
      </c>
      <c r="U39" s="2" t="s">
        <v>19</v>
      </c>
    </row>
    <row r="40" spans="1:51" s="3" customFormat="1" ht="18" customHeight="1">
      <c r="A40" s="30" t="s">
        <v>67</v>
      </c>
      <c r="B40" s="31" t="s">
        <v>37</v>
      </c>
      <c r="C40" s="32">
        <f>COUNTIFS(Summary!$A:$A,C$39,Summary!$AR:$AR,"&lt;&gt;Pending",Summary!$AS:$AS,"&lt;&gt;Open",Summary!$AT:$AT,$B40)</f>
        <v>0</v>
      </c>
      <c r="D40" s="32">
        <f>COUNTIFS(Summary!$A:$A,D$39,Summary!$AR:$AR,"&lt;&gt;Pending",Summary!$AS:$AS,"&lt;&gt;Open",Summary!$AT:$AT,$B40)</f>
        <v>0</v>
      </c>
      <c r="E40" s="32">
        <f>COUNTIFS(Summary!$A:$A,E$39,Summary!$AR:$AR,"&lt;&gt;Pending",Summary!$AS:$AS,"&lt;&gt;Open",Summary!$AT:$AT,$B40)</f>
        <v>0</v>
      </c>
      <c r="F40" s="32">
        <f>COUNTIFS(Summary!$A:$A,F$39,Summary!$AR:$AR,"&lt;&gt;Pending",Summary!$AS:$AS,"&lt;&gt;Open",Summary!$AT:$AT,$B40)</f>
        <v>0</v>
      </c>
      <c r="G40" s="32">
        <f>COUNTIFS(Summary!$A:$A,G$39,Summary!$AR:$AR,"&lt;&gt;Pending",Summary!$AS:$AS,"&lt;&gt;Open",Summary!$AT:$AT,$B40)</f>
        <v>0</v>
      </c>
      <c r="H40" s="32">
        <f>COUNTIFS(Summary!$A:$A,H$39,Summary!$AR:$AR,"&lt;&gt;Pending",Summary!$AS:$AS,"&lt;&gt;Open",Summary!$AT:$AT,$B40)</f>
        <v>0</v>
      </c>
      <c r="I40" s="32">
        <f>COUNTIFS(Summary!$A:$A,I$39,Summary!$AR:$AR,"&lt;&gt;Pending",Summary!$AS:$AS,"&lt;&gt;Open",Summary!$AT:$AT,$B40)</f>
        <v>0</v>
      </c>
      <c r="J40" s="32">
        <f>COUNTIFS(Summary!$A:$A,J$39,Summary!$AR:$AR,"&lt;&gt;Pending",Summary!$AS:$AS,"&lt;&gt;Open",Summary!$AT:$AT,$B40)</f>
        <v>0</v>
      </c>
      <c r="K40" s="32">
        <f>COUNTIFS(Summary!$A:$A,K$39,Summary!$AR:$AR,"&lt;&gt;Pending",Summary!$AS:$AS,"&lt;&gt;Open",Summary!$AT:$AT,$B40)</f>
        <v>0</v>
      </c>
      <c r="L40" s="32">
        <f>COUNTIFS(Summary!$A:$A,L$39,Summary!$AR:$AR,"&lt;&gt;Pending",Summary!$AS:$AS,"&lt;&gt;Open",Summary!$AT:$AT,$B40)</f>
        <v>0</v>
      </c>
      <c r="M40" s="32">
        <f>COUNTIFS(Summary!$A:$A,M$39,Summary!$AR:$AR,"&lt;&gt;Pending",Summary!$AS:$AS,"&lt;&gt;Open",Summary!$AT:$AT,$B40)</f>
        <v>0</v>
      </c>
      <c r="N40" s="32">
        <f>COUNTIFS(Summary!$A:$A,N$39,Summary!$AR:$AR,"&lt;&gt;Pending",Summary!$AS:$AS,"&lt;&gt;Open",Summary!$AT:$AT,$B40)</f>
        <v>0</v>
      </c>
      <c r="O40" s="32">
        <f>COUNTIFS(Summary!$A:$A,O$39,Summary!$AR:$AR,"&lt;&gt;Pending",Summary!$AS:$AS,"&lt;&gt;Open",Summary!$AT:$AT,$B40)</f>
        <v>0</v>
      </c>
      <c r="P40" s="32">
        <f>COUNTIFS(Summary!$A:$A,P$39,Summary!$AR:$AR,"&lt;&gt;Pending",Summary!$AS:$AS,"&lt;&gt;Open",Summary!$AT:$AT,$B40)</f>
        <v>0</v>
      </c>
      <c r="Q40" s="32">
        <f>COUNTIFS(Summary!$A:$A,Q$39,Summary!$AR:$AR,"&lt;&gt;Pending",Summary!$AS:$AS,"&lt;&gt;Open",Summary!$AT:$AT,$B40)</f>
        <v>0</v>
      </c>
      <c r="R40" s="32">
        <f>COUNTIFS(Summary!$A:$A,R$39,Summary!$AR:$AR,"&lt;&gt;Pending",Summary!$AS:$AS,"&lt;&gt;Open",Summary!$AT:$AT,$B40)</f>
        <v>0</v>
      </c>
      <c r="S40" s="32">
        <f>COUNTIFS(Summary!$A:$A,S$39,Summary!$AR:$AR,"&lt;&gt;Pending",Summary!$AS:$AS,"&lt;&gt;Open",Summary!$AT:$AT,$B40)</f>
        <v>0</v>
      </c>
      <c r="T40" s="32">
        <f>COUNTIFS(Summary!$A:$A,T$39,Summary!$AR:$AR,"&lt;&gt;Pending",Summary!$AS:$AS,"&lt;&gt;Open",Summary!$AT:$AT,$B40)</f>
        <v>0</v>
      </c>
      <c r="U40" s="7">
        <f t="shared" ref="U40:U45" si="6">SUM(C40:T40)</f>
        <v>0</v>
      </c>
    </row>
    <row r="41" spans="1:51" s="3" customFormat="1" ht="18" customHeight="1">
      <c r="A41" s="30" t="s">
        <v>68</v>
      </c>
      <c r="B41" s="31" t="s">
        <v>43</v>
      </c>
      <c r="C41" s="32">
        <f>COUNTIFS(Summary!$A:$A,C$39,Summary!$AR:$AR,"&lt;&gt;Pending",Summary!$AS:$AS,"&lt;&gt;Open",Summary!$AT:$AT,$B41)</f>
        <v>0</v>
      </c>
      <c r="D41" s="32">
        <f>COUNTIFS(Summary!$A:$A,D$39,Summary!$AR:$AR,"&lt;&gt;Pending",Summary!$AS:$AS,"&lt;&gt;Open",Summary!$AT:$AT,$B41)</f>
        <v>0</v>
      </c>
      <c r="E41" s="32">
        <f>COUNTIFS(Summary!$A:$A,E$39,Summary!$AR:$AR,"&lt;&gt;Pending",Summary!$AS:$AS,"&lt;&gt;Open",Summary!$AT:$AT,$B41)</f>
        <v>0</v>
      </c>
      <c r="F41" s="32">
        <f>COUNTIFS(Summary!$A:$A,F$39,Summary!$AR:$AR,"&lt;&gt;Pending",Summary!$AS:$AS,"&lt;&gt;Open",Summary!$AT:$AT,$B41)</f>
        <v>0</v>
      </c>
      <c r="G41" s="32">
        <f>COUNTIFS(Summary!$A:$A,G$39,Summary!$AR:$AR,"&lt;&gt;Pending",Summary!$AS:$AS,"&lt;&gt;Open",Summary!$AT:$AT,$B41)</f>
        <v>0</v>
      </c>
      <c r="H41" s="32">
        <f>COUNTIFS(Summary!$A:$A,H$39,Summary!$AR:$AR,"&lt;&gt;Pending",Summary!$AS:$AS,"&lt;&gt;Open",Summary!$AT:$AT,$B41)</f>
        <v>0</v>
      </c>
      <c r="I41" s="32">
        <f>COUNTIFS(Summary!$A:$A,I$39,Summary!$AR:$AR,"&lt;&gt;Pending",Summary!$AS:$AS,"&lt;&gt;Open",Summary!$AT:$AT,$B41)</f>
        <v>0</v>
      </c>
      <c r="J41" s="32">
        <f>COUNTIFS(Summary!$A:$A,J$39,Summary!$AR:$AR,"&lt;&gt;Pending",Summary!$AS:$AS,"&lt;&gt;Open",Summary!$AT:$AT,$B41)</f>
        <v>0</v>
      </c>
      <c r="K41" s="32">
        <f>COUNTIFS(Summary!$A:$A,K$39,Summary!$AR:$AR,"&lt;&gt;Pending",Summary!$AS:$AS,"&lt;&gt;Open",Summary!$AT:$AT,$B41)</f>
        <v>0</v>
      </c>
      <c r="L41" s="32">
        <f>COUNTIFS(Summary!$A:$A,L$39,Summary!$AR:$AR,"&lt;&gt;Pending",Summary!$AS:$AS,"&lt;&gt;Open",Summary!$AT:$AT,$B41)</f>
        <v>0</v>
      </c>
      <c r="M41" s="32">
        <f>COUNTIFS(Summary!$A:$A,M$39,Summary!$AR:$AR,"&lt;&gt;Pending",Summary!$AS:$AS,"&lt;&gt;Open",Summary!$AT:$AT,$B41)</f>
        <v>0</v>
      </c>
      <c r="N41" s="32">
        <f>COUNTIFS(Summary!$A:$A,N$39,Summary!$AR:$AR,"&lt;&gt;Pending",Summary!$AS:$AS,"&lt;&gt;Open",Summary!$AT:$AT,$B41)</f>
        <v>0</v>
      </c>
      <c r="O41" s="32">
        <f>COUNTIFS(Summary!$A:$A,O$39,Summary!$AR:$AR,"&lt;&gt;Pending",Summary!$AS:$AS,"&lt;&gt;Open",Summary!$AT:$AT,$B41)</f>
        <v>0</v>
      </c>
      <c r="P41" s="32">
        <f>COUNTIFS(Summary!$A:$A,P$39,Summary!$AR:$AR,"&lt;&gt;Pending",Summary!$AS:$AS,"&lt;&gt;Open",Summary!$AT:$AT,$B41)</f>
        <v>0</v>
      </c>
      <c r="Q41" s="32">
        <f>COUNTIFS(Summary!$A:$A,Q$39,Summary!$AR:$AR,"&lt;&gt;Pending",Summary!$AS:$AS,"&lt;&gt;Open",Summary!$AT:$AT,$B41)</f>
        <v>0</v>
      </c>
      <c r="R41" s="32">
        <f>COUNTIFS(Summary!$A:$A,R$39,Summary!$AR:$AR,"&lt;&gt;Pending",Summary!$AS:$AS,"&lt;&gt;Open",Summary!$AT:$AT,$B41)</f>
        <v>0</v>
      </c>
      <c r="S41" s="32">
        <f>COUNTIFS(Summary!$A:$A,S$39,Summary!$AR:$AR,"&lt;&gt;Pending",Summary!$AS:$AS,"&lt;&gt;Open",Summary!$AT:$AT,$B41)</f>
        <v>0</v>
      </c>
      <c r="T41" s="32">
        <f>COUNTIFS(Summary!$A:$A,T$39,Summary!$AR:$AR,"&lt;&gt;Pending",Summary!$AS:$AS,"&lt;&gt;Open",Summary!$AT:$AT,$B41)</f>
        <v>0</v>
      </c>
      <c r="U41" s="7">
        <f t="shared" si="6"/>
        <v>0</v>
      </c>
    </row>
    <row r="42" spans="1:51" s="3" customFormat="1" ht="18" customHeight="1">
      <c r="A42" s="30" t="s">
        <v>69</v>
      </c>
      <c r="B42" s="36" t="s">
        <v>45</v>
      </c>
      <c r="C42" s="34">
        <f>COUNTIFS(Summary!$A:$A,C$39,Summary!$AR:$AR,"&lt;&gt;Pending",Summary!$AS:$AS,"&lt;&gt;Open",Summary!$AT:$AT,$B42)</f>
        <v>0</v>
      </c>
      <c r="D42" s="34">
        <f>COUNTIFS(Summary!$A:$A,D$39,Summary!$AR:$AR,"&lt;&gt;Pending",Summary!$AS:$AS,"&lt;&gt;Open",Summary!$AT:$AT,$B42)</f>
        <v>0</v>
      </c>
      <c r="E42" s="34">
        <f>COUNTIFS(Summary!$A:$A,E$39,Summary!$AR:$AR,"&lt;&gt;Pending",Summary!$AS:$AS,"&lt;&gt;Open",Summary!$AT:$AT,$B42)</f>
        <v>0</v>
      </c>
      <c r="F42" s="34">
        <f>COUNTIFS(Summary!$A:$A,F$39,Summary!$AR:$AR,"&lt;&gt;Pending",Summary!$AS:$AS,"&lt;&gt;Open",Summary!$AT:$AT,$B42)</f>
        <v>0</v>
      </c>
      <c r="G42" s="34">
        <f>COUNTIFS(Summary!$A:$A,G$39,Summary!$AR:$AR,"&lt;&gt;Pending",Summary!$AS:$AS,"&lt;&gt;Open",Summary!$AT:$AT,$B42)</f>
        <v>0</v>
      </c>
      <c r="H42" s="34">
        <f>COUNTIFS(Summary!$A:$A,H$39,Summary!$AR:$AR,"&lt;&gt;Pending",Summary!$AS:$AS,"&lt;&gt;Open",Summary!$AT:$AT,$B42)</f>
        <v>0</v>
      </c>
      <c r="I42" s="34">
        <f>COUNTIFS(Summary!$A:$A,I$39,Summary!$AR:$AR,"&lt;&gt;Pending",Summary!$AS:$AS,"&lt;&gt;Open",Summary!$AT:$AT,$B42)</f>
        <v>0</v>
      </c>
      <c r="J42" s="34">
        <f>COUNTIFS(Summary!$A:$A,J$39,Summary!$AR:$AR,"&lt;&gt;Pending",Summary!$AS:$AS,"&lt;&gt;Open",Summary!$AT:$AT,$B42)</f>
        <v>0</v>
      </c>
      <c r="K42" s="34">
        <f>COUNTIFS(Summary!$A:$A,K$39,Summary!$AR:$AR,"&lt;&gt;Pending",Summary!$AS:$AS,"&lt;&gt;Open",Summary!$AT:$AT,$B42)</f>
        <v>0</v>
      </c>
      <c r="L42" s="34">
        <f>COUNTIFS(Summary!$A:$A,L$39,Summary!$AR:$AR,"&lt;&gt;Pending",Summary!$AS:$AS,"&lt;&gt;Open",Summary!$AT:$AT,$B42)</f>
        <v>0</v>
      </c>
      <c r="M42" s="34">
        <f>COUNTIFS(Summary!$A:$A,M$39,Summary!$AR:$AR,"&lt;&gt;Pending",Summary!$AS:$AS,"&lt;&gt;Open",Summary!$AT:$AT,$B42)</f>
        <v>0</v>
      </c>
      <c r="N42" s="34">
        <f>COUNTIFS(Summary!$A:$A,N$39,Summary!$AR:$AR,"&lt;&gt;Pending",Summary!$AS:$AS,"&lt;&gt;Open",Summary!$AT:$AT,$B42)</f>
        <v>0</v>
      </c>
      <c r="O42" s="34">
        <f>COUNTIFS(Summary!$A:$A,O$39,Summary!$AR:$AR,"&lt;&gt;Pending",Summary!$AS:$AS,"&lt;&gt;Open",Summary!$AT:$AT,$B42)</f>
        <v>0</v>
      </c>
      <c r="P42" s="34">
        <f>COUNTIFS(Summary!$A:$A,P$39,Summary!$AR:$AR,"&lt;&gt;Pending",Summary!$AS:$AS,"&lt;&gt;Open",Summary!$AT:$AT,$B42)</f>
        <v>0</v>
      </c>
      <c r="Q42" s="34">
        <f>COUNTIFS(Summary!$A:$A,Q$39,Summary!$AR:$AR,"&lt;&gt;Pending",Summary!$AS:$AS,"&lt;&gt;Open",Summary!$AT:$AT,$B42)</f>
        <v>0</v>
      </c>
      <c r="R42" s="34">
        <f>COUNTIFS(Summary!$A:$A,R$39,Summary!$AR:$AR,"&lt;&gt;Pending",Summary!$AS:$AS,"&lt;&gt;Open",Summary!$AT:$AT,$B42)</f>
        <v>0</v>
      </c>
      <c r="S42" s="34">
        <f>COUNTIFS(Summary!$A:$A,S$39,Summary!$AR:$AR,"&lt;&gt;Pending",Summary!$AS:$AS,"&lt;&gt;Open",Summary!$AT:$AT,$B42)</f>
        <v>0</v>
      </c>
      <c r="T42" s="34">
        <f>COUNTIFS(Summary!$A:$A,T$39,Summary!$AR:$AR,"&lt;&gt;Pending",Summary!$AS:$AS,"&lt;&gt;Open",Summary!$AT:$AT,$B42)</f>
        <v>0</v>
      </c>
      <c r="U42" s="7">
        <f t="shared" si="6"/>
        <v>0</v>
      </c>
    </row>
    <row r="43" spans="1:51" s="3" customFormat="1" ht="18" customHeight="1">
      <c r="A43" s="30" t="s">
        <v>70</v>
      </c>
      <c r="B43" s="36" t="s">
        <v>47</v>
      </c>
      <c r="C43" s="34">
        <f>COUNTIFS(Summary!$A:$A,C$39,Summary!$AR:$AR,"&lt;&gt;Pending",Summary!$AS:$AS,"&lt;&gt;Open",Summary!$AT:$AT,$B43)</f>
        <v>0</v>
      </c>
      <c r="D43" s="34">
        <f>COUNTIFS(Summary!$A:$A,D$39,Summary!$AR:$AR,"&lt;&gt;Pending",Summary!$AS:$AS,"&lt;&gt;Open",Summary!$AT:$AT,$B43)</f>
        <v>0</v>
      </c>
      <c r="E43" s="34">
        <f>COUNTIFS(Summary!$A:$A,E$39,Summary!$AR:$AR,"&lt;&gt;Pending",Summary!$AS:$AS,"&lt;&gt;Open",Summary!$AT:$AT,$B43)</f>
        <v>0</v>
      </c>
      <c r="F43" s="34">
        <f>COUNTIFS(Summary!$A:$A,F$39,Summary!$AR:$AR,"&lt;&gt;Pending",Summary!$AS:$AS,"&lt;&gt;Open",Summary!$AT:$AT,$B43)</f>
        <v>0</v>
      </c>
      <c r="G43" s="34">
        <f>COUNTIFS(Summary!$A:$A,G$39,Summary!$AR:$AR,"&lt;&gt;Pending",Summary!$AS:$AS,"&lt;&gt;Open",Summary!$AT:$AT,$B43)</f>
        <v>0</v>
      </c>
      <c r="H43" s="34">
        <f>COUNTIFS(Summary!$A:$A,H$39,Summary!$AR:$AR,"&lt;&gt;Pending",Summary!$AS:$AS,"&lt;&gt;Open",Summary!$AT:$AT,$B43)</f>
        <v>0</v>
      </c>
      <c r="I43" s="34">
        <f>COUNTIFS(Summary!$A:$A,I$39,Summary!$AR:$AR,"&lt;&gt;Pending",Summary!$AS:$AS,"&lt;&gt;Open",Summary!$AT:$AT,$B43)</f>
        <v>0</v>
      </c>
      <c r="J43" s="34">
        <f>COUNTIFS(Summary!$A:$A,J$39,Summary!$AR:$AR,"&lt;&gt;Pending",Summary!$AS:$AS,"&lt;&gt;Open",Summary!$AT:$AT,$B43)</f>
        <v>0</v>
      </c>
      <c r="K43" s="34">
        <f>COUNTIFS(Summary!$A:$A,K$39,Summary!$AR:$AR,"&lt;&gt;Pending",Summary!$AS:$AS,"&lt;&gt;Open",Summary!$AT:$AT,$B43)</f>
        <v>0</v>
      </c>
      <c r="L43" s="34">
        <f>COUNTIFS(Summary!$A:$A,L$39,Summary!$AR:$AR,"&lt;&gt;Pending",Summary!$AS:$AS,"&lt;&gt;Open",Summary!$AT:$AT,$B43)</f>
        <v>0</v>
      </c>
      <c r="M43" s="34">
        <f>COUNTIFS(Summary!$A:$A,M$39,Summary!$AR:$AR,"&lt;&gt;Pending",Summary!$AS:$AS,"&lt;&gt;Open",Summary!$AT:$AT,$B43)</f>
        <v>0</v>
      </c>
      <c r="N43" s="34">
        <f>COUNTIFS(Summary!$A:$A,N$39,Summary!$AR:$AR,"&lt;&gt;Pending",Summary!$AS:$AS,"&lt;&gt;Open",Summary!$AT:$AT,$B43)</f>
        <v>0</v>
      </c>
      <c r="O43" s="34">
        <f>COUNTIFS(Summary!$A:$A,O$39,Summary!$AR:$AR,"&lt;&gt;Pending",Summary!$AS:$AS,"&lt;&gt;Open",Summary!$AT:$AT,$B43)</f>
        <v>0</v>
      </c>
      <c r="P43" s="34">
        <f>COUNTIFS(Summary!$A:$A,P$39,Summary!$AR:$AR,"&lt;&gt;Pending",Summary!$AS:$AS,"&lt;&gt;Open",Summary!$AT:$AT,$B43)</f>
        <v>0</v>
      </c>
      <c r="Q43" s="34">
        <f>COUNTIFS(Summary!$A:$A,Q$39,Summary!$AR:$AR,"&lt;&gt;Pending",Summary!$AS:$AS,"&lt;&gt;Open",Summary!$AT:$AT,$B43)</f>
        <v>0</v>
      </c>
      <c r="R43" s="34">
        <f>COUNTIFS(Summary!$A:$A,R$39,Summary!$AR:$AR,"&lt;&gt;Pending",Summary!$AS:$AS,"&lt;&gt;Open",Summary!$AT:$AT,$B43)</f>
        <v>0</v>
      </c>
      <c r="S43" s="34">
        <f>COUNTIFS(Summary!$A:$A,S$39,Summary!$AR:$AR,"&lt;&gt;Pending",Summary!$AS:$AS,"&lt;&gt;Open",Summary!$AT:$AT,$B43)</f>
        <v>0</v>
      </c>
      <c r="T43" s="34">
        <f>COUNTIFS(Summary!$A:$A,T$39,Summary!$AR:$AR,"&lt;&gt;Pending",Summary!$AS:$AS,"&lt;&gt;Open",Summary!$AT:$AT,$B43)</f>
        <v>0</v>
      </c>
      <c r="U43" s="7">
        <f t="shared" si="6"/>
        <v>0</v>
      </c>
    </row>
    <row r="44" spans="1:51" s="3" customFormat="1" ht="18" customHeight="1">
      <c r="A44" s="37" t="s">
        <v>71</v>
      </c>
      <c r="B44" s="38" t="s">
        <v>49</v>
      </c>
      <c r="C44" s="39">
        <f>COUNTIFS(Summary!$A:$A,C$39,Summary!$AR:$AR,"&lt;&gt;Pending",Summary!$AS:$AS,"&lt;&gt;Open",Summary!$AT:$AT,$B44)</f>
        <v>0</v>
      </c>
      <c r="D44" s="39">
        <f>COUNTIFS(Summary!$A:$A,D$39,Summary!$AR:$AR,"&lt;&gt;Pending",Summary!$AS:$AS,"&lt;&gt;Open",Summary!$AT:$AT,$B44)</f>
        <v>0</v>
      </c>
      <c r="E44" s="39">
        <f>COUNTIFS(Summary!$A:$A,E$39,Summary!$AR:$AR,"&lt;&gt;Pending",Summary!$AS:$AS,"&lt;&gt;Open",Summary!$AT:$AT,$B44)</f>
        <v>0</v>
      </c>
      <c r="F44" s="39">
        <f>COUNTIFS(Summary!$A:$A,F$39,Summary!$AR:$AR,"&lt;&gt;Pending",Summary!$AS:$AS,"&lt;&gt;Open",Summary!$AT:$AT,$B44)</f>
        <v>0</v>
      </c>
      <c r="G44" s="39">
        <f>COUNTIFS(Summary!$A:$A,G$39,Summary!$AR:$AR,"&lt;&gt;Pending",Summary!$AS:$AS,"&lt;&gt;Open",Summary!$AT:$AT,$B44)</f>
        <v>0</v>
      </c>
      <c r="H44" s="39">
        <f>COUNTIFS(Summary!$A:$A,H$39,Summary!$AR:$AR,"&lt;&gt;Pending",Summary!$AS:$AS,"&lt;&gt;Open",Summary!$AT:$AT,$B44)</f>
        <v>0</v>
      </c>
      <c r="I44" s="39">
        <f>COUNTIFS(Summary!$A:$A,I$39,Summary!$AR:$AR,"&lt;&gt;Pending",Summary!$AS:$AS,"&lt;&gt;Open",Summary!$AT:$AT,$B44)</f>
        <v>0</v>
      </c>
      <c r="J44" s="39">
        <f>COUNTIFS(Summary!$A:$A,J$39,Summary!$AR:$AR,"&lt;&gt;Pending",Summary!$AS:$AS,"&lt;&gt;Open",Summary!$AT:$AT,$B44)</f>
        <v>0</v>
      </c>
      <c r="K44" s="39">
        <f>COUNTIFS(Summary!$A:$A,K$39,Summary!$AR:$AR,"&lt;&gt;Pending",Summary!$AS:$AS,"&lt;&gt;Open",Summary!$AT:$AT,$B44)</f>
        <v>0</v>
      </c>
      <c r="L44" s="39">
        <f>COUNTIFS(Summary!$A:$A,L$39,Summary!$AR:$AR,"&lt;&gt;Pending",Summary!$AS:$AS,"&lt;&gt;Open",Summary!$AT:$AT,$B44)</f>
        <v>0</v>
      </c>
      <c r="M44" s="39">
        <f>COUNTIFS(Summary!$A:$A,M$39,Summary!$AR:$AR,"&lt;&gt;Pending",Summary!$AS:$AS,"&lt;&gt;Open",Summary!$AT:$AT,$B44)</f>
        <v>0</v>
      </c>
      <c r="N44" s="39">
        <f>COUNTIFS(Summary!$A:$A,N$39,Summary!$AR:$AR,"&lt;&gt;Pending",Summary!$AS:$AS,"&lt;&gt;Open",Summary!$AT:$AT,$B44)</f>
        <v>0</v>
      </c>
      <c r="O44" s="39">
        <f>COUNTIFS(Summary!$A:$A,O$39,Summary!$AR:$AR,"&lt;&gt;Pending",Summary!$AS:$AS,"&lt;&gt;Open",Summary!$AT:$AT,$B44)</f>
        <v>0</v>
      </c>
      <c r="P44" s="39">
        <f>COUNTIFS(Summary!$A:$A,P$39,Summary!$AR:$AR,"&lt;&gt;Pending",Summary!$AS:$AS,"&lt;&gt;Open",Summary!$AT:$AT,$B44)</f>
        <v>0</v>
      </c>
      <c r="Q44" s="39">
        <f>COUNTIFS(Summary!$A:$A,Q$39,Summary!$AR:$AR,"&lt;&gt;Pending",Summary!$AS:$AS,"&lt;&gt;Open",Summary!$AT:$AT,$B44)</f>
        <v>0</v>
      </c>
      <c r="R44" s="39">
        <f>COUNTIFS(Summary!$A:$A,R$39,Summary!$AR:$AR,"&lt;&gt;Pending",Summary!$AS:$AS,"&lt;&gt;Open",Summary!$AT:$AT,$B44)</f>
        <v>0</v>
      </c>
      <c r="S44" s="39">
        <f>COUNTIFS(Summary!$A:$A,S$39,Summary!$AR:$AR,"&lt;&gt;Pending",Summary!$AS:$AS,"&lt;&gt;Open",Summary!$AT:$AT,$B44)</f>
        <v>0</v>
      </c>
      <c r="T44" s="39">
        <f>COUNTIFS(Summary!$A:$A,T$39,Summary!$AR:$AR,"&lt;&gt;Pending",Summary!$AS:$AS,"&lt;&gt;Open",Summary!$AT:$AT,$B44)</f>
        <v>0</v>
      </c>
      <c r="U44" s="10">
        <f t="shared" si="6"/>
        <v>0</v>
      </c>
    </row>
    <row r="45" spans="1:51" s="3" customFormat="1" ht="18" customHeight="1">
      <c r="A45" s="11" t="s">
        <v>19</v>
      </c>
      <c r="B45" s="11"/>
      <c r="C45" s="12">
        <f t="shared" ref="C45:T45" si="7">SUM(C40:C44)</f>
        <v>0</v>
      </c>
      <c r="D45" s="12">
        <f t="shared" si="7"/>
        <v>0</v>
      </c>
      <c r="E45" s="12">
        <f t="shared" si="7"/>
        <v>0</v>
      </c>
      <c r="F45" s="12">
        <f t="shared" si="7"/>
        <v>0</v>
      </c>
      <c r="G45" s="12">
        <f t="shared" si="7"/>
        <v>0</v>
      </c>
      <c r="H45" s="12">
        <f t="shared" si="7"/>
        <v>0</v>
      </c>
      <c r="I45" s="12">
        <f t="shared" si="7"/>
        <v>0</v>
      </c>
      <c r="J45" s="12">
        <f t="shared" si="7"/>
        <v>0</v>
      </c>
      <c r="K45" s="12">
        <f t="shared" si="7"/>
        <v>0</v>
      </c>
      <c r="L45" s="12">
        <f t="shared" si="7"/>
        <v>0</v>
      </c>
      <c r="M45" s="12">
        <f t="shared" si="7"/>
        <v>0</v>
      </c>
      <c r="N45" s="12">
        <f t="shared" si="7"/>
        <v>0</v>
      </c>
      <c r="O45" s="12">
        <f t="shared" si="7"/>
        <v>0</v>
      </c>
      <c r="P45" s="12">
        <f t="shared" si="7"/>
        <v>0</v>
      </c>
      <c r="Q45" s="12">
        <f t="shared" si="7"/>
        <v>0</v>
      </c>
      <c r="R45" s="12">
        <f t="shared" si="7"/>
        <v>0</v>
      </c>
      <c r="S45" s="12">
        <f t="shared" si="7"/>
        <v>0</v>
      </c>
      <c r="T45" s="12">
        <f t="shared" si="7"/>
        <v>0</v>
      </c>
      <c r="U45" s="12">
        <f t="shared" si="6"/>
        <v>0</v>
      </c>
    </row>
    <row r="46" spans="1:51">
      <c r="C46" s="13"/>
      <c r="D46" s="13"/>
      <c r="E46" s="13"/>
      <c r="F46" s="13"/>
      <c r="G46" s="13"/>
      <c r="H46" s="13"/>
      <c r="I46" s="13"/>
      <c r="J46" s="13"/>
      <c r="K46" s="13"/>
      <c r="L46" s="13"/>
      <c r="M46" s="13"/>
      <c r="N46" s="13"/>
      <c r="O46" s="13"/>
      <c r="P46" s="13"/>
      <c r="Q46" s="13"/>
      <c r="R46" s="13"/>
      <c r="S46" s="13"/>
      <c r="T46" s="13"/>
      <c r="U46" s="13"/>
    </row>
    <row r="47" spans="1:51" ht="16">
      <c r="A47" s="15" t="s">
        <v>72</v>
      </c>
      <c r="B47" s="16" t="s">
        <v>73</v>
      </c>
      <c r="C47" s="13"/>
      <c r="D47" s="13"/>
      <c r="E47" s="13"/>
      <c r="F47" s="13"/>
      <c r="G47" s="13"/>
      <c r="H47" s="13"/>
      <c r="I47" s="13"/>
      <c r="J47" s="13"/>
      <c r="K47" s="13"/>
      <c r="L47" s="13"/>
      <c r="M47" s="13"/>
      <c r="N47" s="13"/>
      <c r="O47" s="13"/>
      <c r="P47" s="13"/>
      <c r="Q47" s="13"/>
      <c r="R47" s="13"/>
      <c r="S47" s="13"/>
      <c r="T47" s="13"/>
      <c r="U47" s="13"/>
    </row>
    <row r="48" spans="1:51" s="3" customFormat="1" ht="18" customHeight="1">
      <c r="A48" s="1" t="s">
        <v>74</v>
      </c>
      <c r="B48" s="1"/>
      <c r="C48" s="2" t="s">
        <v>1</v>
      </c>
      <c r="D48" s="2" t="s">
        <v>2</v>
      </c>
      <c r="E48" s="2" t="s">
        <v>3</v>
      </c>
      <c r="F48" s="2" t="s">
        <v>4</v>
      </c>
      <c r="G48" s="2" t="s">
        <v>5</v>
      </c>
      <c r="H48" s="2" t="s">
        <v>6</v>
      </c>
      <c r="I48" s="2" t="s">
        <v>7</v>
      </c>
      <c r="J48" s="2" t="s">
        <v>8</v>
      </c>
      <c r="K48" s="2" t="s">
        <v>9</v>
      </c>
      <c r="L48" s="2" t="s">
        <v>10</v>
      </c>
      <c r="M48" s="2" t="s">
        <v>11</v>
      </c>
      <c r="N48" s="2" t="s">
        <v>12</v>
      </c>
      <c r="O48" s="2" t="s">
        <v>13</v>
      </c>
      <c r="P48" s="2" t="s">
        <v>14</v>
      </c>
      <c r="Q48" s="2" t="s">
        <v>15</v>
      </c>
      <c r="R48" s="2" t="s">
        <v>16</v>
      </c>
      <c r="S48" s="2" t="s">
        <v>17</v>
      </c>
      <c r="T48" s="2" t="s">
        <v>18</v>
      </c>
      <c r="U48" s="2" t="s">
        <v>19</v>
      </c>
    </row>
    <row r="49" spans="1:23" s="3" customFormat="1" ht="18" customHeight="1">
      <c r="A49" s="17" t="s">
        <v>75</v>
      </c>
      <c r="B49" s="46" t="s">
        <v>76</v>
      </c>
      <c r="C49" s="47">
        <f>COUNTIFS(Summary!$A:$A,C$48,Summary!$I:$I,"=EOT",Summary!$AR:$AR,"Pending",Summary!$AT:$AT,"=Contractor")</f>
        <v>13</v>
      </c>
      <c r="D49" s="47">
        <f>COUNTIFS(Summary!$A:$A,D$48,Summary!$I:$I,"=EOT",Summary!$AR:$AR,"Pending",Summary!$AT:$AT,"=Contractor")</f>
        <v>0</v>
      </c>
      <c r="E49" s="47">
        <f>COUNTIFS(Summary!$A:$A,E$48,Summary!$I:$I,"=EOT",Summary!$AR:$AR,"Pending",Summary!$AT:$AT,"=Contractor")</f>
        <v>0</v>
      </c>
      <c r="F49" s="47">
        <f>COUNTIFS(Summary!$A:$A,F$48,Summary!$I:$I,"=EOT",Summary!$AR:$AR,"Pending",Summary!$AT:$AT,"=Contractor")</f>
        <v>0</v>
      </c>
      <c r="G49" s="47">
        <f>COUNTIFS(Summary!$A:$A,G$48,Summary!$I:$I,"=EOT",Summary!$AR:$AR,"Pending",Summary!$AT:$AT,"=Contractor")</f>
        <v>0</v>
      </c>
      <c r="H49" s="47">
        <f>COUNTIFS(Summary!$A:$A,H$48,Summary!$I:$I,"=EOT",Summary!$AR:$AR,"Pending",Summary!$AT:$AT,"=Contractor")</f>
        <v>0</v>
      </c>
      <c r="I49" s="47">
        <f>COUNTIFS(Summary!$A:$A,I$48,Summary!$I:$I,"=EOT",Summary!$AR:$AR,"Pending",Summary!$AT:$AT,"=Contractor")</f>
        <v>0</v>
      </c>
      <c r="J49" s="47">
        <f>COUNTIFS(Summary!$A:$A,J$48,Summary!$I:$I,"=EOT",Summary!$AR:$AR,"Pending",Summary!$AT:$AT,"=Contractor")</f>
        <v>0</v>
      </c>
      <c r="K49" s="47">
        <f>COUNTIFS(Summary!$A:$A,K$48,Summary!$I:$I,"=EOT",Summary!$AR:$AR,"Pending",Summary!$AT:$AT,"=Contractor")</f>
        <v>0</v>
      </c>
      <c r="L49" s="47">
        <f>COUNTIFS(Summary!$A:$A,L$48,Summary!$I:$I,"=EOT",Summary!$AR:$AR,"Pending",Summary!$AT:$AT,"=Contractor")</f>
        <v>0</v>
      </c>
      <c r="M49" s="47">
        <f>COUNTIFS(Summary!$A:$A,M$48,Summary!$I:$I,"=EOT",Summary!$AR:$AR,"Pending",Summary!$AT:$AT,"=Contractor")</f>
        <v>0</v>
      </c>
      <c r="N49" s="47">
        <f>COUNTIFS(Summary!$A:$A,N$48,Summary!$I:$I,"=EOT",Summary!$AR:$AR,"Pending",Summary!$AT:$AT,"=Contractor")</f>
        <v>0</v>
      </c>
      <c r="O49" s="47">
        <f>COUNTIFS(Summary!$A:$A,O$48,Summary!$I:$I,"=EOT",Summary!$AR:$AR,"Pending",Summary!$AT:$AT,"=Contractor")</f>
        <v>0</v>
      </c>
      <c r="P49" s="47">
        <f>COUNTIFS(Summary!$A:$A,P$48,Summary!$I:$I,"=EOT",Summary!$AR:$AR,"Pending",Summary!$AT:$AT,"=Contractor")</f>
        <v>0</v>
      </c>
      <c r="Q49" s="47">
        <f>COUNTIFS(Summary!$A:$A,Q$48,Summary!$I:$I,"=EOT",Summary!$AR:$AR,"Pending",Summary!$AT:$AT,"=Contractor")</f>
        <v>0</v>
      </c>
      <c r="R49" s="47">
        <f>COUNTIFS(Summary!$A:$A,R$48,Summary!$I:$I,"=EOT",Summary!$AR:$AR,"Pending",Summary!$AT:$AT,"=Contractor")</f>
        <v>0</v>
      </c>
      <c r="S49" s="47">
        <f>COUNTIFS(Summary!$A:$A,S$48,Summary!$I:$I,"=EOT",Summary!$AR:$AR,"Pending",Summary!$AT:$AT,"=Contractor")</f>
        <v>0</v>
      </c>
      <c r="T49" s="47">
        <f>COUNTIFS(Summary!$A:$A,T$48,Summary!$I:$I,"=EOT",Summary!$AR:$AR,"Pending",Summary!$AT:$AT,"=Contractor")</f>
        <v>0</v>
      </c>
      <c r="U49" s="20">
        <f t="shared" ref="U49:U54" si="8">SUM(C49:T49)</f>
        <v>13</v>
      </c>
      <c r="W49"/>
    </row>
    <row r="50" spans="1:23" s="3" customFormat="1" ht="18" customHeight="1">
      <c r="A50" s="21" t="s">
        <v>77</v>
      </c>
      <c r="B50" s="22" t="s">
        <v>78</v>
      </c>
      <c r="C50" s="23">
        <f ca="1">COUNTIFS(Summary!$A:$A,C$57,Summary!$I:$I,"=EOT",Summary!$AR:$AR,"Pending",Summary!$BN:$BN,"&gt;=1",Summary!$BN:$BN,"&lt;=45")</f>
        <v>9</v>
      </c>
      <c r="D50" s="23">
        <f>COUNTIFS(Summary!$A:$A,D$57,Summary!$I:$I,"=EOT",Summary!$AR:$AR,"Pending",Summary!$BN:$BN,"&gt;=1",Summary!$BN:$BN,"&lt;=45")</f>
        <v>0</v>
      </c>
      <c r="E50" s="23">
        <f>COUNTIFS(Summary!$A:$A,E$57,Summary!$I:$I,"=EOT",Summary!$AR:$AR,"Pending",Summary!$BN:$BN,"&gt;=1",Summary!$BN:$BN,"&lt;=45")</f>
        <v>0</v>
      </c>
      <c r="F50" s="23">
        <f>COUNTIFS(Summary!$A:$A,F$57,Summary!$I:$I,"=EOT",Summary!$AR:$AR,"Pending",Summary!$BN:$BN,"&gt;=1",Summary!$BN:$BN,"&lt;=45")</f>
        <v>0</v>
      </c>
      <c r="G50" s="23">
        <f>COUNTIFS(Summary!$A:$A,G$57,Summary!$I:$I,"=EOT",Summary!$AR:$AR,"Pending",Summary!$BN:$BN,"&gt;=1",Summary!$BN:$BN,"&lt;=45")</f>
        <v>0</v>
      </c>
      <c r="H50" s="23">
        <f>COUNTIFS(Summary!$A:$A,H$57,Summary!$I:$I,"=EOT",Summary!$AR:$AR,"Pending",Summary!$BN:$BN,"&gt;=1",Summary!$BN:$BN,"&lt;=45")</f>
        <v>0</v>
      </c>
      <c r="I50" s="23">
        <f>COUNTIFS(Summary!$A:$A,I$57,Summary!$I:$I,"=EOT",Summary!$AR:$AR,"Pending",Summary!$BN:$BN,"&gt;=1",Summary!$BN:$BN,"&lt;=45")</f>
        <v>0</v>
      </c>
      <c r="J50" s="23">
        <f>COUNTIFS(Summary!$A:$A,J$57,Summary!$I:$I,"=EOT",Summary!$AR:$AR,"Pending",Summary!$BN:$BN,"&gt;=1",Summary!$BN:$BN,"&lt;=45")</f>
        <v>0</v>
      </c>
      <c r="K50" s="23">
        <f>COUNTIFS(Summary!$A:$A,K$57,Summary!$I:$I,"=EOT",Summary!$AR:$AR,"Pending",Summary!$BN:$BN,"&gt;=1",Summary!$BN:$BN,"&lt;=45")</f>
        <v>0</v>
      </c>
      <c r="L50" s="23">
        <f>COUNTIFS(Summary!$A:$A,L$57,Summary!$I:$I,"=EOT",Summary!$AR:$AR,"Pending",Summary!$BN:$BN,"&gt;=1",Summary!$BN:$BN,"&lt;=45")</f>
        <v>0</v>
      </c>
      <c r="M50" s="23">
        <f>COUNTIFS(Summary!$A:$A,M$57,Summary!$I:$I,"=EOT",Summary!$AR:$AR,"Pending",Summary!$BN:$BN,"&gt;=1",Summary!$BN:$BN,"&lt;=45")</f>
        <v>0</v>
      </c>
      <c r="N50" s="23">
        <f>COUNTIFS(Summary!$A:$A,N$57,Summary!$I:$I,"=EOT",Summary!$AR:$AR,"Pending",Summary!$BN:$BN,"&gt;=1",Summary!$BN:$BN,"&lt;=45")</f>
        <v>0</v>
      </c>
      <c r="O50" s="23">
        <f>COUNTIFS(Summary!$A:$A,O$57,Summary!$I:$I,"=EOT",Summary!$AR:$AR,"Pending",Summary!$BN:$BN,"&gt;=1",Summary!$BN:$BN,"&lt;=45")</f>
        <v>0</v>
      </c>
      <c r="P50" s="23">
        <f>COUNTIFS(Summary!$A:$A,P$57,Summary!$I:$I,"=EOT",Summary!$AR:$AR,"Pending",Summary!$BN:$BN,"&gt;=1",Summary!$BN:$BN,"&lt;=45")</f>
        <v>0</v>
      </c>
      <c r="Q50" s="23">
        <f>COUNTIFS(Summary!$A:$A,Q$57,Summary!$I:$I,"=EOT",Summary!$AR:$AR,"Pending",Summary!$BN:$BN,"&gt;=1",Summary!$BN:$BN,"&lt;=45")</f>
        <v>0</v>
      </c>
      <c r="R50" s="23">
        <f>COUNTIFS(Summary!$A:$A,R$57,Summary!$I:$I,"=EOT",Summary!$AR:$AR,"Pending",Summary!$BN:$BN,"&gt;=1",Summary!$BN:$BN,"&lt;=45")</f>
        <v>0</v>
      </c>
      <c r="S50" s="23">
        <f>COUNTIFS(Summary!$A:$A,S$57,Summary!$I:$I,"=EOT",Summary!$AR:$AR,"Pending",Summary!$BN:$BN,"&gt;=1",Summary!$BN:$BN,"&lt;=45")</f>
        <v>0</v>
      </c>
      <c r="T50" s="23">
        <f>COUNTIFS(Summary!$A:$A,T$57,Summary!$I:$I,"=EOT",Summary!$AR:$AR,"Pending",Summary!$BN:$BN,"&gt;=1",Summary!$BN:$BN,"&lt;=45")</f>
        <v>0</v>
      </c>
      <c r="U50" s="24">
        <f t="shared" ca="1" si="8"/>
        <v>9</v>
      </c>
      <c r="W50"/>
    </row>
    <row r="51" spans="1:23" s="3" customFormat="1" ht="18" customHeight="1">
      <c r="A51" s="21" t="s">
        <v>79</v>
      </c>
      <c r="B51" s="22" t="s">
        <v>80</v>
      </c>
      <c r="C51" s="23">
        <f ca="1">COUNTIFS(Summary!$A:$A,C$57,Summary!$I:$I,"=EOT",Summary!$AR:$AR,"Pending",Summary!$BN:$BN,"&gt;=46",Summary!$BN:$BN,"&lt;=90")</f>
        <v>16</v>
      </c>
      <c r="D51" s="23">
        <f>COUNTIFS(Summary!$A:$A,D$57,Summary!$I:$I,"=EOT",Summary!$AR:$AR,"Pending",Summary!$BN:$BN,"&gt;=46",Summary!$BN:$BN,"&lt;=90")</f>
        <v>0</v>
      </c>
      <c r="E51" s="23">
        <f>COUNTIFS(Summary!$A:$A,E$57,Summary!$I:$I,"=EOT",Summary!$AR:$AR,"Pending",Summary!$BN:$BN,"&gt;=46",Summary!$BN:$BN,"&lt;=90")</f>
        <v>0</v>
      </c>
      <c r="F51" s="23">
        <f>COUNTIFS(Summary!$A:$A,F$57,Summary!$I:$I,"=EOT",Summary!$AR:$AR,"Pending",Summary!$BN:$BN,"&gt;=46",Summary!$BN:$BN,"&lt;=90")</f>
        <v>0</v>
      </c>
      <c r="G51" s="23">
        <f>COUNTIFS(Summary!$A:$A,G$57,Summary!$I:$I,"=EOT",Summary!$AR:$AR,"Pending",Summary!$BN:$BN,"&gt;=46",Summary!$BN:$BN,"&lt;=90")</f>
        <v>0</v>
      </c>
      <c r="H51" s="23">
        <f>COUNTIFS(Summary!$A:$A,H$57,Summary!$I:$I,"=EOT",Summary!$AR:$AR,"Pending",Summary!$BN:$BN,"&gt;=46",Summary!$BN:$BN,"&lt;=90")</f>
        <v>0</v>
      </c>
      <c r="I51" s="23">
        <f>COUNTIFS(Summary!$A:$A,I$57,Summary!$I:$I,"=EOT",Summary!$AR:$AR,"Pending",Summary!$BN:$BN,"&gt;=46",Summary!$BN:$BN,"&lt;=90")</f>
        <v>0</v>
      </c>
      <c r="J51" s="23">
        <f>COUNTIFS(Summary!$A:$A,J$57,Summary!$I:$I,"=EOT",Summary!$AR:$AR,"Pending",Summary!$BN:$BN,"&gt;=46",Summary!$BN:$BN,"&lt;=90")</f>
        <v>0</v>
      </c>
      <c r="K51" s="23">
        <f>COUNTIFS(Summary!$A:$A,K$57,Summary!$I:$I,"=EOT",Summary!$AR:$AR,"Pending",Summary!$BN:$BN,"&gt;=46",Summary!$BN:$BN,"&lt;=90")</f>
        <v>0</v>
      </c>
      <c r="L51" s="23">
        <f>COUNTIFS(Summary!$A:$A,L$57,Summary!$I:$I,"=EOT",Summary!$AR:$AR,"Pending",Summary!$BN:$BN,"&gt;=46",Summary!$BN:$BN,"&lt;=90")</f>
        <v>0</v>
      </c>
      <c r="M51" s="23">
        <f>COUNTIFS(Summary!$A:$A,M$57,Summary!$I:$I,"=EOT",Summary!$AR:$AR,"Pending",Summary!$BN:$BN,"&gt;=46",Summary!$BN:$BN,"&lt;=90")</f>
        <v>0</v>
      </c>
      <c r="N51" s="23">
        <f>COUNTIFS(Summary!$A:$A,N$57,Summary!$I:$I,"=EOT",Summary!$AR:$AR,"Pending",Summary!$BN:$BN,"&gt;=46",Summary!$BN:$BN,"&lt;=90")</f>
        <v>0</v>
      </c>
      <c r="O51" s="23">
        <f>COUNTIFS(Summary!$A:$A,O$57,Summary!$I:$I,"=EOT",Summary!$AR:$AR,"Pending",Summary!$BN:$BN,"&gt;=46",Summary!$BN:$BN,"&lt;=90")</f>
        <v>0</v>
      </c>
      <c r="P51" s="23">
        <f>COUNTIFS(Summary!$A:$A,P$57,Summary!$I:$I,"=EOT",Summary!$AR:$AR,"Pending",Summary!$BN:$BN,"&gt;=46",Summary!$BN:$BN,"&lt;=90")</f>
        <v>0</v>
      </c>
      <c r="Q51" s="23">
        <f>COUNTIFS(Summary!$A:$A,Q$57,Summary!$I:$I,"=EOT",Summary!$AR:$AR,"Pending",Summary!$BN:$BN,"&gt;=46",Summary!$BN:$BN,"&lt;=90")</f>
        <v>0</v>
      </c>
      <c r="R51" s="23">
        <f>COUNTIFS(Summary!$A:$A,R$57,Summary!$I:$I,"=EOT",Summary!$AR:$AR,"Pending",Summary!$BN:$BN,"&gt;=46",Summary!$BN:$BN,"&lt;=90")</f>
        <v>0</v>
      </c>
      <c r="S51" s="23">
        <f>COUNTIFS(Summary!$A:$A,S$57,Summary!$I:$I,"=EOT",Summary!$AR:$AR,"Pending",Summary!$BN:$BN,"&gt;=46",Summary!$BN:$BN,"&lt;=90")</f>
        <v>0</v>
      </c>
      <c r="T51" s="23">
        <f>COUNTIFS(Summary!$A:$A,T$57,Summary!$I:$I,"=EOT",Summary!$AR:$AR,"Pending",Summary!$BN:$BN,"&gt;=46",Summary!$BN:$BN,"&lt;=90")</f>
        <v>0</v>
      </c>
      <c r="U51" s="24">
        <f t="shared" ca="1" si="8"/>
        <v>16</v>
      </c>
    </row>
    <row r="52" spans="1:23" s="3" customFormat="1" ht="18" customHeight="1">
      <c r="A52" s="21" t="s">
        <v>81</v>
      </c>
      <c r="B52" s="22" t="s">
        <v>82</v>
      </c>
      <c r="C52" s="34">
        <f ca="1">COUNTIFS(Summary!$A:$A,C$57,Summary!$I:$I,"=EOT",Summary!$AR:$AR,"Pending",Summary!$BN:$BN,"&gt;=91",Summary!$BN:$BN,"&lt;=140")</f>
        <v>5</v>
      </c>
      <c r="D52" s="34">
        <f>COUNTIFS(Summary!$A:$A,D$57,Summary!$I:$I,"=EOT",Summary!$AR:$AR,"Pending",Summary!$BN:$BN,"&gt;=91",Summary!$BN:$BN,"&lt;=140")</f>
        <v>0</v>
      </c>
      <c r="E52" s="34">
        <f>COUNTIFS(Summary!$A:$A,E$57,Summary!$I:$I,"=EOT",Summary!$AR:$AR,"Pending",Summary!$BN:$BN,"&gt;=91",Summary!$BN:$BN,"&lt;=140")</f>
        <v>0</v>
      </c>
      <c r="F52" s="34">
        <f>COUNTIFS(Summary!$A:$A,F$57,Summary!$I:$I,"=EOT",Summary!$AR:$AR,"Pending",Summary!$BN:$BN,"&gt;=91",Summary!$BN:$BN,"&lt;=140")</f>
        <v>0</v>
      </c>
      <c r="G52" s="34">
        <f>COUNTIFS(Summary!$A:$A,G$57,Summary!$I:$I,"=EOT",Summary!$AR:$AR,"Pending",Summary!$BN:$BN,"&gt;=91",Summary!$BN:$BN,"&lt;=140")</f>
        <v>0</v>
      </c>
      <c r="H52" s="34">
        <f>COUNTIFS(Summary!$A:$A,H$57,Summary!$I:$I,"=EOT",Summary!$AR:$AR,"Pending",Summary!$BN:$BN,"&gt;=91",Summary!$BN:$BN,"&lt;=140")</f>
        <v>0</v>
      </c>
      <c r="I52" s="34">
        <f>COUNTIFS(Summary!$A:$A,I$57,Summary!$I:$I,"=EOT",Summary!$AR:$AR,"Pending",Summary!$BN:$BN,"&gt;=91",Summary!$BN:$BN,"&lt;=140")</f>
        <v>0</v>
      </c>
      <c r="J52" s="34">
        <f>COUNTIFS(Summary!$A:$A,J$57,Summary!$I:$I,"=EOT",Summary!$AR:$AR,"Pending",Summary!$BN:$BN,"&gt;=91",Summary!$BN:$BN,"&lt;=140")</f>
        <v>0</v>
      </c>
      <c r="K52" s="34">
        <f>COUNTIFS(Summary!$A:$A,K$57,Summary!$I:$I,"=EOT",Summary!$AR:$AR,"Pending",Summary!$BN:$BN,"&gt;=91",Summary!$BN:$BN,"&lt;=140")</f>
        <v>0</v>
      </c>
      <c r="L52" s="34">
        <f>COUNTIFS(Summary!$A:$A,L$57,Summary!$I:$I,"=EOT",Summary!$AR:$AR,"Pending",Summary!$BN:$BN,"&gt;=91",Summary!$BN:$BN,"&lt;=140")</f>
        <v>0</v>
      </c>
      <c r="M52" s="34">
        <f>COUNTIFS(Summary!$A:$A,M$57,Summary!$I:$I,"=EOT",Summary!$AR:$AR,"Pending",Summary!$BN:$BN,"&gt;=91",Summary!$BN:$BN,"&lt;=140")</f>
        <v>0</v>
      </c>
      <c r="N52" s="34">
        <f>COUNTIFS(Summary!$A:$A,N$57,Summary!$I:$I,"=EOT",Summary!$AR:$AR,"Pending",Summary!$BN:$BN,"&gt;=91",Summary!$BN:$BN,"&lt;=140")</f>
        <v>0</v>
      </c>
      <c r="O52" s="34">
        <f>COUNTIFS(Summary!$A:$A,O$57,Summary!$I:$I,"=EOT",Summary!$AR:$AR,"Pending",Summary!$BN:$BN,"&gt;=91",Summary!$BN:$BN,"&lt;=140")</f>
        <v>0</v>
      </c>
      <c r="P52" s="34">
        <f>COUNTIFS(Summary!$A:$A,P$57,Summary!$I:$I,"=EOT",Summary!$AR:$AR,"Pending",Summary!$BN:$BN,"&gt;=91",Summary!$BN:$BN,"&lt;=140")</f>
        <v>0</v>
      </c>
      <c r="Q52" s="34">
        <f>COUNTIFS(Summary!$A:$A,Q$57,Summary!$I:$I,"=EOT",Summary!$AR:$AR,"Pending",Summary!$BN:$BN,"&gt;=91",Summary!$BN:$BN,"&lt;=140")</f>
        <v>0</v>
      </c>
      <c r="R52" s="34">
        <f>COUNTIFS(Summary!$A:$A,R$57,Summary!$I:$I,"=EOT",Summary!$AR:$AR,"Pending",Summary!$BN:$BN,"&gt;=91",Summary!$BN:$BN,"&lt;=140")</f>
        <v>0</v>
      </c>
      <c r="S52" s="34">
        <f>COUNTIFS(Summary!$A:$A,S$57,Summary!$I:$I,"=EOT",Summary!$AR:$AR,"Pending",Summary!$BN:$BN,"&gt;=91",Summary!$BN:$BN,"&lt;=140")</f>
        <v>0</v>
      </c>
      <c r="T52" s="34">
        <f>COUNTIFS(Summary!$A:$A,T$57,Summary!$I:$I,"=EOT",Summary!$AR:$AR,"Pending",Summary!$BN:$BN,"&gt;=91",Summary!$BN:$BN,"&lt;=140")</f>
        <v>0</v>
      </c>
      <c r="U52" s="24">
        <f t="shared" ca="1" si="8"/>
        <v>5</v>
      </c>
    </row>
    <row r="53" spans="1:23" s="3" customFormat="1" ht="18" customHeight="1">
      <c r="A53" s="37" t="s">
        <v>83</v>
      </c>
      <c r="B53" s="48" t="s">
        <v>84</v>
      </c>
      <c r="C53" s="39">
        <f ca="1">COUNTIFS(Summary!$A:$A,C$57,Summary!$I:$I,"=EOT",Summary!$AR:$AR,"Pending",Summary!$BN:$BN,"&gt;=141")</f>
        <v>7</v>
      </c>
      <c r="D53" s="39">
        <f>COUNTIFS(Summary!$A:$A,D$57,Summary!$I:$I,"=EOT",Summary!$AR:$AR,"Pending",Summary!$BN:$BN,"&gt;=141")</f>
        <v>0</v>
      </c>
      <c r="E53" s="39">
        <f>COUNTIFS(Summary!$A:$A,E$57,Summary!$I:$I,"=EOT",Summary!$AR:$AR,"Pending",Summary!$BN:$BN,"&gt;=141")</f>
        <v>0</v>
      </c>
      <c r="F53" s="39">
        <f>COUNTIFS(Summary!$A:$A,F$57,Summary!$I:$I,"=EOT",Summary!$AR:$AR,"Pending",Summary!$BN:$BN,"&gt;=141")</f>
        <v>0</v>
      </c>
      <c r="G53" s="39">
        <f>COUNTIFS(Summary!$A:$A,G$57,Summary!$I:$I,"=EOT",Summary!$AR:$AR,"Pending",Summary!$BN:$BN,"&gt;=141")</f>
        <v>0</v>
      </c>
      <c r="H53" s="39">
        <f>COUNTIFS(Summary!$A:$A,H$57,Summary!$I:$I,"=EOT",Summary!$AR:$AR,"Pending",Summary!$BN:$BN,"&gt;=141")</f>
        <v>0</v>
      </c>
      <c r="I53" s="39">
        <f>COUNTIFS(Summary!$A:$A,I$57,Summary!$I:$I,"=EOT",Summary!$AR:$AR,"Pending",Summary!$BN:$BN,"&gt;=141")</f>
        <v>0</v>
      </c>
      <c r="J53" s="39">
        <f>COUNTIFS(Summary!$A:$A,J$57,Summary!$I:$I,"=EOT",Summary!$AR:$AR,"Pending",Summary!$BN:$BN,"&gt;=141")</f>
        <v>0</v>
      </c>
      <c r="K53" s="39">
        <f>COUNTIFS(Summary!$A:$A,K$57,Summary!$I:$I,"=EOT",Summary!$AR:$AR,"Pending",Summary!$BN:$BN,"&gt;=141")</f>
        <v>0</v>
      </c>
      <c r="L53" s="39">
        <f>COUNTIFS(Summary!$A:$A,L$57,Summary!$I:$I,"=EOT",Summary!$AR:$AR,"Pending",Summary!$BN:$BN,"&gt;=141")</f>
        <v>0</v>
      </c>
      <c r="M53" s="39">
        <f>COUNTIFS(Summary!$A:$A,M$57,Summary!$I:$I,"=EOT",Summary!$AR:$AR,"Pending",Summary!$BN:$BN,"&gt;=141")</f>
        <v>0</v>
      </c>
      <c r="N53" s="39">
        <f>COUNTIFS(Summary!$A:$A,N$57,Summary!$I:$I,"=EOT",Summary!$AR:$AR,"Pending",Summary!$BN:$BN,"&gt;=141")</f>
        <v>0</v>
      </c>
      <c r="O53" s="39">
        <f>COUNTIFS(Summary!$A:$A,O$57,Summary!$I:$I,"=EOT",Summary!$AR:$AR,"Pending",Summary!$BN:$BN,"&gt;=141")</f>
        <v>0</v>
      </c>
      <c r="P53" s="39">
        <f>COUNTIFS(Summary!$A:$A,P$57,Summary!$I:$I,"=EOT",Summary!$AR:$AR,"Pending",Summary!$BN:$BN,"&gt;=141")</f>
        <v>0</v>
      </c>
      <c r="Q53" s="39">
        <f>COUNTIFS(Summary!$A:$A,Q$57,Summary!$I:$I,"=EOT",Summary!$AR:$AR,"Pending",Summary!$BN:$BN,"&gt;=141")</f>
        <v>0</v>
      </c>
      <c r="R53" s="39">
        <f>COUNTIFS(Summary!$A:$A,R$57,Summary!$I:$I,"=EOT",Summary!$AR:$AR,"Pending",Summary!$BN:$BN,"&gt;=141")</f>
        <v>0</v>
      </c>
      <c r="S53" s="39">
        <f>COUNTIFS(Summary!$A:$A,S$57,Summary!$I:$I,"=EOT",Summary!$AR:$AR,"Pending",Summary!$BN:$BN,"&gt;=141")</f>
        <v>0</v>
      </c>
      <c r="T53" s="39">
        <f>COUNTIFS(Summary!$A:$A,T$57,Summary!$I:$I,"=EOT",Summary!$AR:$AR,"Pending",Summary!$BN:$BN,"&gt;=141")</f>
        <v>0</v>
      </c>
      <c r="U53" s="10">
        <f t="shared" ca="1" si="8"/>
        <v>7</v>
      </c>
    </row>
    <row r="54" spans="1:23" s="3" customFormat="1" ht="18" customHeight="1">
      <c r="A54" s="11" t="s">
        <v>19</v>
      </c>
      <c r="B54" s="11"/>
      <c r="C54" s="12">
        <f ca="1">SUM(C49:C53)</f>
        <v>50</v>
      </c>
      <c r="D54" s="12">
        <f>SUM(D49:D53)</f>
        <v>0</v>
      </c>
      <c r="E54" s="12">
        <f>SUM(E49:E53)</f>
        <v>0</v>
      </c>
      <c r="F54" s="12">
        <f>SUM(F49:F53)</f>
        <v>0</v>
      </c>
      <c r="G54" s="12">
        <f t="shared" ref="G54:P54" si="9">SUM(G49:G53)</f>
        <v>0</v>
      </c>
      <c r="H54" s="12">
        <f t="shared" si="9"/>
        <v>0</v>
      </c>
      <c r="I54" s="12">
        <f t="shared" si="9"/>
        <v>0</v>
      </c>
      <c r="J54" s="12">
        <f t="shared" si="9"/>
        <v>0</v>
      </c>
      <c r="K54" s="12">
        <f t="shared" si="9"/>
        <v>0</v>
      </c>
      <c r="L54" s="12">
        <f t="shared" si="9"/>
        <v>0</v>
      </c>
      <c r="M54" s="12">
        <f t="shared" si="9"/>
        <v>0</v>
      </c>
      <c r="N54" s="12">
        <f t="shared" si="9"/>
        <v>0</v>
      </c>
      <c r="O54" s="12">
        <f t="shared" si="9"/>
        <v>0</v>
      </c>
      <c r="P54" s="12">
        <f t="shared" si="9"/>
        <v>0</v>
      </c>
      <c r="Q54" s="12">
        <f>SUM(Q49:Q53)</f>
        <v>0</v>
      </c>
      <c r="R54" s="12">
        <f>SUM(R49:R53)</f>
        <v>0</v>
      </c>
      <c r="S54" s="12">
        <f>SUM(S49:S53)</f>
        <v>0</v>
      </c>
      <c r="T54" s="12">
        <f>SUM(T49:T53)</f>
        <v>0</v>
      </c>
      <c r="U54" s="12">
        <f t="shared" ca="1" si="8"/>
        <v>50</v>
      </c>
    </row>
    <row r="55" spans="1:23">
      <c r="C55" s="13"/>
      <c r="D55" s="13"/>
      <c r="E55" s="13"/>
      <c r="F55" s="13"/>
      <c r="G55" s="13"/>
      <c r="H55" s="13"/>
      <c r="I55" s="13"/>
      <c r="J55" s="13"/>
      <c r="K55" s="13"/>
      <c r="L55" s="13"/>
      <c r="M55" s="13"/>
      <c r="N55" s="13"/>
      <c r="O55" s="13"/>
      <c r="P55" s="13"/>
      <c r="Q55" s="13"/>
      <c r="R55" s="13"/>
      <c r="S55" s="13"/>
      <c r="T55" s="13"/>
      <c r="U55" s="13"/>
    </row>
    <row r="56" spans="1:23" ht="16">
      <c r="A56" s="15" t="s">
        <v>85</v>
      </c>
      <c r="B56" s="16" t="s">
        <v>86</v>
      </c>
      <c r="C56" s="13"/>
      <c r="D56" s="13"/>
      <c r="E56" s="13"/>
      <c r="F56" s="13"/>
      <c r="G56" s="13"/>
      <c r="H56" s="13"/>
      <c r="I56" s="13"/>
      <c r="J56" s="13"/>
      <c r="K56" s="13"/>
      <c r="L56" s="13"/>
      <c r="M56" s="13"/>
      <c r="N56" s="13"/>
      <c r="O56" s="13"/>
      <c r="P56" s="13"/>
      <c r="Q56" s="13"/>
      <c r="R56" s="13"/>
      <c r="S56" s="13"/>
      <c r="T56" s="13"/>
      <c r="U56" s="13"/>
    </row>
    <row r="57" spans="1:23" s="3" customFormat="1" ht="18" customHeight="1">
      <c r="A57" s="1" t="s">
        <v>74</v>
      </c>
      <c r="B57" s="1"/>
      <c r="C57" s="2" t="s">
        <v>1</v>
      </c>
      <c r="D57" s="2" t="s">
        <v>2</v>
      </c>
      <c r="E57" s="2" t="s">
        <v>3</v>
      </c>
      <c r="F57" s="2" t="s">
        <v>4</v>
      </c>
      <c r="G57" s="2" t="s">
        <v>5</v>
      </c>
      <c r="H57" s="2" t="s">
        <v>6</v>
      </c>
      <c r="I57" s="2" t="s">
        <v>7</v>
      </c>
      <c r="J57" s="2" t="s">
        <v>8</v>
      </c>
      <c r="K57" s="2" t="s">
        <v>9</v>
      </c>
      <c r="L57" s="2" t="s">
        <v>10</v>
      </c>
      <c r="M57" s="2" t="s">
        <v>11</v>
      </c>
      <c r="N57" s="2" t="s">
        <v>12</v>
      </c>
      <c r="O57" s="2" t="s">
        <v>13</v>
      </c>
      <c r="P57" s="2" t="s">
        <v>14</v>
      </c>
      <c r="Q57" s="2" t="s">
        <v>15</v>
      </c>
      <c r="R57" s="2" t="s">
        <v>16</v>
      </c>
      <c r="S57" s="2" t="s">
        <v>17</v>
      </c>
      <c r="T57" s="2" t="s">
        <v>18</v>
      </c>
      <c r="U57" s="2" t="s">
        <v>19</v>
      </c>
    </row>
    <row r="58" spans="1:23" s="3" customFormat="1" ht="18" customHeight="1">
      <c r="A58" s="17" t="s">
        <v>87</v>
      </c>
      <c r="B58" s="46" t="s">
        <v>76</v>
      </c>
      <c r="C58" s="47">
        <f>COUNTIFS(Summary!$A:$A,C$57,Summary!$I:$I,"&lt;&gt;EOT",Summary!$AR:$AR,"Pending",Summary!$AT:$AT,"=Contractor")</f>
        <v>5</v>
      </c>
      <c r="D58" s="47">
        <f>COUNTIFS(Summary!$A:$A,D$57,Summary!$I:$I,"&lt;&gt;EOT",Summary!$AR:$AR,"Pending",Summary!$AT:$AT,"=Contractor")</f>
        <v>0</v>
      </c>
      <c r="E58" s="47">
        <f>COUNTIFS(Summary!$A:$A,E$57,Summary!$I:$I,"&lt;&gt;EOT",Summary!$AR:$AR,"Pending",Summary!$AT:$AT,"=Contractor")</f>
        <v>0</v>
      </c>
      <c r="F58" s="47">
        <f>COUNTIFS(Summary!$A:$A,F$57,Summary!$I:$I,"&lt;&gt;EOT",Summary!$AR:$AR,"Pending",Summary!$AT:$AT,"=Contractor")</f>
        <v>0</v>
      </c>
      <c r="G58" s="47">
        <f>COUNTIFS(Summary!$A:$A,G$57,Summary!$I:$I,"&lt;&gt;EOT",Summary!$AR:$AR,"Pending",Summary!$AT:$AT,"=Contractor")</f>
        <v>0</v>
      </c>
      <c r="H58" s="47">
        <f>COUNTIFS(Summary!$A:$A,H$57,Summary!$I:$I,"&lt;&gt;EOT",Summary!$AR:$AR,"Pending",Summary!$AT:$AT,"=Contractor")</f>
        <v>0</v>
      </c>
      <c r="I58" s="47">
        <f>COUNTIFS(Summary!$A:$A,I$57,Summary!$I:$I,"&lt;&gt;EOT",Summary!$AR:$AR,"Pending",Summary!$AT:$AT,"=Contractor")</f>
        <v>0</v>
      </c>
      <c r="J58" s="47">
        <f>COUNTIFS(Summary!$A:$A,J$57,Summary!$I:$I,"&lt;&gt;EOT",Summary!$AR:$AR,"Pending",Summary!$AT:$AT,"=Contractor")</f>
        <v>0</v>
      </c>
      <c r="K58" s="47">
        <f>COUNTIFS(Summary!$A:$A,K$57,Summary!$I:$I,"&lt;&gt;EOT",Summary!$AR:$AR,"Pending",Summary!$AT:$AT,"=Contractor")</f>
        <v>0</v>
      </c>
      <c r="L58" s="47">
        <f>COUNTIFS(Summary!$A:$A,L$57,Summary!$I:$I,"&lt;&gt;EOT",Summary!$AR:$AR,"Pending",Summary!$AT:$AT,"=Contractor")</f>
        <v>0</v>
      </c>
      <c r="M58" s="47">
        <f>COUNTIFS(Summary!$A:$A,M$57,Summary!$I:$I,"&lt;&gt;EOT",Summary!$AR:$AR,"Pending",Summary!$AT:$AT,"=Contractor")</f>
        <v>0</v>
      </c>
      <c r="N58" s="47">
        <f>COUNTIFS(Summary!$A:$A,N$57,Summary!$I:$I,"&lt;&gt;EOT",Summary!$AR:$AR,"Pending",Summary!$AT:$AT,"=Contractor")</f>
        <v>0</v>
      </c>
      <c r="O58" s="47">
        <f>COUNTIFS(Summary!$A:$A,O$57,Summary!$I:$I,"&lt;&gt;EOT",Summary!$AR:$AR,"Pending",Summary!$AT:$AT,"=Contractor")</f>
        <v>0</v>
      </c>
      <c r="P58" s="47">
        <f>COUNTIFS(Summary!$A:$A,P$57,Summary!$I:$I,"&lt;&gt;EOT",Summary!$AR:$AR,"Pending",Summary!$AT:$AT,"=Contractor")</f>
        <v>0</v>
      </c>
      <c r="Q58" s="47">
        <f>COUNTIFS(Summary!$A:$A,Q$57,Summary!$I:$I,"&lt;&gt;EOT",Summary!$AR:$AR,"Pending",Summary!$AT:$AT,"=Contractor")</f>
        <v>0</v>
      </c>
      <c r="R58" s="47">
        <f>COUNTIFS(Summary!$A:$A,R$57,Summary!$I:$I,"&lt;&gt;EOT",Summary!$AR:$AR,"Pending",Summary!$AT:$AT,"=Contractor")</f>
        <v>0</v>
      </c>
      <c r="S58" s="47">
        <f>COUNTIFS(Summary!$A:$A,S$57,Summary!$I:$I,"&lt;&gt;EOT",Summary!$AR:$AR,"Pending",Summary!$AT:$AT,"=Contractor")</f>
        <v>0</v>
      </c>
      <c r="T58" s="47">
        <f>COUNTIFS(Summary!$A:$A,T$57,Summary!$I:$I,"&lt;&gt;EOT",Summary!$AR:$AR,"Pending",Summary!$AT:$AT,"=Contractor")</f>
        <v>0</v>
      </c>
      <c r="U58" s="20">
        <f t="shared" ref="U58:U64" si="10">SUM(C58:T58)</f>
        <v>5</v>
      </c>
    </row>
    <row r="59" spans="1:23" s="3" customFormat="1" ht="18" customHeight="1">
      <c r="A59" s="30" t="s">
        <v>88</v>
      </c>
      <c r="B59" s="31" t="s">
        <v>41</v>
      </c>
      <c r="C59" s="32">
        <f>COUNTIFS(Summary!$A:$A,C$57,Summary!$I:$I,"&lt;&gt;EOT",Summary!$AR:$AR,"Pending",Summary!$AT:$AT,"=Awaiting conclusion of EoT")</f>
        <v>8</v>
      </c>
      <c r="D59" s="32">
        <f>COUNTIFS(Summary!$A:$A,D$57,Summary!$I:$I,"&lt;&gt;EOT",Summary!$AR:$AR,"Pending",Summary!$AT:$AT,"=Awaiting conclusion of EoT")</f>
        <v>0</v>
      </c>
      <c r="E59" s="32">
        <f>COUNTIFS(Summary!$A:$A,E$57,Summary!$I:$I,"&lt;&gt;EOT",Summary!$AR:$AR,"Pending",Summary!$AT:$AT,"=Awaiting conclusion of EoT")</f>
        <v>0</v>
      </c>
      <c r="F59" s="32">
        <f>COUNTIFS(Summary!$A:$A,F$57,Summary!$I:$I,"&lt;&gt;EOT",Summary!$AR:$AR,"Pending",Summary!$AT:$AT,"=Awaiting conclusion of EoT")</f>
        <v>0</v>
      </c>
      <c r="G59" s="32">
        <f>COUNTIFS(Summary!$A:$A,G$57,Summary!$I:$I,"&lt;&gt;EOT",Summary!$AR:$AR,"Pending",Summary!$AT:$AT,"=Awaiting conclusion of EoT")</f>
        <v>0</v>
      </c>
      <c r="H59" s="32">
        <f>COUNTIFS(Summary!$A:$A,H$57,Summary!$I:$I,"&lt;&gt;EOT",Summary!$AR:$AR,"Pending",Summary!$AT:$AT,"=Awaiting conclusion of EoT")</f>
        <v>0</v>
      </c>
      <c r="I59" s="32">
        <f>COUNTIFS(Summary!$A:$A,I$57,Summary!$I:$I,"&lt;&gt;EOT",Summary!$AR:$AR,"Pending",Summary!$AT:$AT,"=Awaiting conclusion of EoT")</f>
        <v>0</v>
      </c>
      <c r="J59" s="32">
        <f>COUNTIFS(Summary!$A:$A,J$57,Summary!$I:$I,"&lt;&gt;EOT",Summary!$AR:$AR,"Pending",Summary!$AT:$AT,"=Awaiting conclusion of EoT")</f>
        <v>0</v>
      </c>
      <c r="K59" s="32">
        <f>COUNTIFS(Summary!$A:$A,K$57,Summary!$I:$I,"&lt;&gt;EOT",Summary!$AR:$AR,"Pending",Summary!$AT:$AT,"=Awaiting conclusion of EoT")</f>
        <v>0</v>
      </c>
      <c r="L59" s="32">
        <f>COUNTIFS(Summary!$A:$A,L$57,Summary!$I:$I,"&lt;&gt;EOT",Summary!$AR:$AR,"Pending",Summary!$AT:$AT,"=Awaiting conclusion of EoT")</f>
        <v>0</v>
      </c>
      <c r="M59" s="32">
        <f>COUNTIFS(Summary!$A:$A,M$57,Summary!$I:$I,"&lt;&gt;EOT",Summary!$AR:$AR,"Pending",Summary!$AT:$AT,"=Awaiting conclusion of EoT")</f>
        <v>0</v>
      </c>
      <c r="N59" s="32">
        <f>COUNTIFS(Summary!$A:$A,N$57,Summary!$I:$I,"&lt;&gt;EOT",Summary!$AR:$AR,"Pending",Summary!$AT:$AT,"=Awaiting conclusion of EoT")</f>
        <v>0</v>
      </c>
      <c r="O59" s="32">
        <f>COUNTIFS(Summary!$A:$A,O$57,Summary!$I:$I,"&lt;&gt;EOT",Summary!$AR:$AR,"Pending",Summary!$AT:$AT,"=Awaiting conclusion of EoT")</f>
        <v>0</v>
      </c>
      <c r="P59" s="32">
        <f>COUNTIFS(Summary!$A:$A,P$57,Summary!$I:$I,"&lt;&gt;EOT",Summary!$AR:$AR,"Pending",Summary!$AT:$AT,"=Awaiting conclusion of EoT")</f>
        <v>0</v>
      </c>
      <c r="Q59" s="32">
        <f>COUNTIFS(Summary!$A:$A,Q$57,Summary!$I:$I,"&lt;&gt;EOT",Summary!$AR:$AR,"Pending",Summary!$AT:$AT,"=Awaiting conclusion of EoT")</f>
        <v>0</v>
      </c>
      <c r="R59" s="32">
        <f>COUNTIFS(Summary!$A:$A,R$57,Summary!$I:$I,"&lt;&gt;EOT",Summary!$AR:$AR,"Pending",Summary!$AT:$AT,"=Awaiting conclusion of EoT")</f>
        <v>0</v>
      </c>
      <c r="S59" s="32">
        <f>COUNTIFS(Summary!$A:$A,S$57,Summary!$I:$I,"&lt;&gt;EOT",Summary!$AR:$AR,"Pending",Summary!$AT:$AT,"=Awaiting conclusion of EoT")</f>
        <v>0</v>
      </c>
      <c r="T59" s="32">
        <f>COUNTIFS(Summary!$A:$A,T$57,Summary!$I:$I,"&lt;&gt;EOT",Summary!$AR:$AR,"Pending",Summary!$AT:$AT,"=Awaiting conclusion of EoT")</f>
        <v>0</v>
      </c>
      <c r="U59" s="7">
        <f t="shared" si="10"/>
        <v>8</v>
      </c>
    </row>
    <row r="60" spans="1:23" s="3" customFormat="1" ht="18" customHeight="1">
      <c r="A60" s="30" t="s">
        <v>89</v>
      </c>
      <c r="B60" s="22" t="s">
        <v>78</v>
      </c>
      <c r="C60" s="23">
        <f ca="1">COUNTIFS(Summary!$A:$A,C$57,Summary!$I:$I,"&lt;&gt;EOT",Summary!$AR:$AR,"Pending",Summary!$BN:$BN,"&gt;=1",Summary!$BN:$BN,"&lt;=45")</f>
        <v>2</v>
      </c>
      <c r="D60" s="23">
        <f>COUNTIFS(Summary!$A:$A,D$57,Summary!$I:$I,"&lt;&gt;EOT",Summary!$AR:$AR,"Pending",Summary!$BN:$BN,"&gt;=1",Summary!$BN:$BN,"&lt;=45")</f>
        <v>0</v>
      </c>
      <c r="E60" s="23">
        <f>COUNTIFS(Summary!$A:$A,E$57,Summary!$I:$I,"&lt;&gt;EOT",Summary!$AR:$AR,"Pending",Summary!$BN:$BN,"&gt;=1",Summary!$BN:$BN,"&lt;=45")</f>
        <v>0</v>
      </c>
      <c r="F60" s="23">
        <f>COUNTIFS(Summary!$A:$A,F$57,Summary!$I:$I,"&lt;&gt;EOT",Summary!$AR:$AR,"Pending",Summary!$BN:$BN,"&gt;=1",Summary!$BN:$BN,"&lt;=45")</f>
        <v>0</v>
      </c>
      <c r="G60" s="23">
        <f>COUNTIFS(Summary!$A:$A,G$57,Summary!$I:$I,"&lt;&gt;EOT",Summary!$AR:$AR,"Pending",Summary!$BN:$BN,"&gt;=1",Summary!$BN:$BN,"&lt;=45")</f>
        <v>0</v>
      </c>
      <c r="H60" s="23">
        <f>COUNTIFS(Summary!$A:$A,H$57,Summary!$I:$I,"&lt;&gt;EOT",Summary!$AR:$AR,"Pending",Summary!$BN:$BN,"&gt;=1",Summary!$BN:$BN,"&lt;=45")</f>
        <v>0</v>
      </c>
      <c r="I60" s="23">
        <f>COUNTIFS(Summary!$A:$A,I$57,Summary!$I:$I,"&lt;&gt;EOT",Summary!$AR:$AR,"Pending",Summary!$BN:$BN,"&gt;=1",Summary!$BN:$BN,"&lt;=45")</f>
        <v>0</v>
      </c>
      <c r="J60" s="23">
        <f>COUNTIFS(Summary!$A:$A,J$57,Summary!$I:$I,"&lt;&gt;EOT",Summary!$AR:$AR,"Pending",Summary!$BN:$BN,"&gt;=1",Summary!$BN:$BN,"&lt;=45")</f>
        <v>0</v>
      </c>
      <c r="K60" s="23">
        <f>COUNTIFS(Summary!$A:$A,K$57,Summary!$I:$I,"&lt;&gt;EOT",Summary!$AR:$AR,"Pending",Summary!$BN:$BN,"&gt;=1",Summary!$BN:$BN,"&lt;=45")</f>
        <v>0</v>
      </c>
      <c r="L60" s="23">
        <f>COUNTIFS(Summary!$A:$A,L$57,Summary!$I:$I,"&lt;&gt;EOT",Summary!$AR:$AR,"Pending",Summary!$BN:$BN,"&gt;=1",Summary!$BN:$BN,"&lt;=45")</f>
        <v>0</v>
      </c>
      <c r="M60" s="23">
        <f>COUNTIFS(Summary!$A:$A,M$57,Summary!$I:$I,"&lt;&gt;EOT",Summary!$AR:$AR,"Pending",Summary!$BN:$BN,"&gt;=1",Summary!$BN:$BN,"&lt;=45")</f>
        <v>0</v>
      </c>
      <c r="N60" s="23">
        <f>COUNTIFS(Summary!$A:$A,N$57,Summary!$I:$I,"&lt;&gt;EOT",Summary!$AR:$AR,"Pending",Summary!$BN:$BN,"&gt;=1",Summary!$BN:$BN,"&lt;=45")</f>
        <v>0</v>
      </c>
      <c r="O60" s="23">
        <f>COUNTIFS(Summary!$A:$A,O$57,Summary!$I:$I,"&lt;&gt;EOT",Summary!$AR:$AR,"Pending",Summary!$BN:$BN,"&gt;=1",Summary!$BN:$BN,"&lt;=45")</f>
        <v>0</v>
      </c>
      <c r="P60" s="23">
        <f>COUNTIFS(Summary!$A:$A,P$57,Summary!$I:$I,"&lt;&gt;EOT",Summary!$AR:$AR,"Pending",Summary!$BN:$BN,"&gt;=1",Summary!$BN:$BN,"&lt;=45")</f>
        <v>0</v>
      </c>
      <c r="Q60" s="23">
        <f>COUNTIFS(Summary!$A:$A,Q$57,Summary!$I:$I,"&lt;&gt;EOT",Summary!$AR:$AR,"Pending",Summary!$BN:$BN,"&gt;=1",Summary!$BN:$BN,"&lt;=45")</f>
        <v>0</v>
      </c>
      <c r="R60" s="23">
        <f>COUNTIFS(Summary!$A:$A,R$57,Summary!$I:$I,"&lt;&gt;EOT",Summary!$AR:$AR,"Pending",Summary!$BN:$BN,"&gt;=1",Summary!$BN:$BN,"&lt;=45")</f>
        <v>0</v>
      </c>
      <c r="S60" s="23">
        <f>COUNTIFS(Summary!$A:$A,S$57,Summary!$I:$I,"&lt;&gt;EOT",Summary!$AR:$AR,"Pending",Summary!$BN:$BN,"&gt;=1",Summary!$BN:$BN,"&lt;=45")</f>
        <v>0</v>
      </c>
      <c r="T60" s="23">
        <f>COUNTIFS(Summary!$A:$A,T$57,Summary!$I:$I,"&lt;&gt;EOT",Summary!$AR:$AR,"Pending",Summary!$BN:$BN,"&gt;=1",Summary!$BN:$BN,"&lt;=45")</f>
        <v>0</v>
      </c>
      <c r="U60" s="24">
        <f t="shared" ca="1" si="10"/>
        <v>2</v>
      </c>
    </row>
    <row r="61" spans="1:23" s="3" customFormat="1" ht="18" customHeight="1">
      <c r="A61" s="30" t="s">
        <v>90</v>
      </c>
      <c r="B61" s="22" t="s">
        <v>80</v>
      </c>
      <c r="C61" s="23">
        <f ca="1">COUNTIFS(Summary!$A:$A,C$57,Summary!$I:$I,"&lt;&gt;EOT",Summary!$AR:$AR,"Pending",Summary!$BN:$BN,"&gt;=46",Summary!$BN:$BN,"&lt;=90")</f>
        <v>0</v>
      </c>
      <c r="D61" s="23">
        <f>COUNTIFS(Summary!$A:$A,D$57,Summary!$I:$I,"&lt;&gt;EOT",Summary!$AR:$AR,"Pending",Summary!$BN:$BN,"&gt;=46",Summary!$BN:$BN,"&lt;=90")</f>
        <v>0</v>
      </c>
      <c r="E61" s="23">
        <f>COUNTIFS(Summary!$A:$A,E$57,Summary!$I:$I,"&lt;&gt;EOT",Summary!$AR:$AR,"Pending",Summary!$BN:$BN,"&gt;=46",Summary!$BN:$BN,"&lt;=90")</f>
        <v>0</v>
      </c>
      <c r="F61" s="23">
        <f>COUNTIFS(Summary!$A:$A,F$57,Summary!$I:$I,"&lt;&gt;EOT",Summary!$AR:$AR,"Pending",Summary!$BN:$BN,"&gt;=46",Summary!$BN:$BN,"&lt;=90")</f>
        <v>0</v>
      </c>
      <c r="G61" s="23">
        <f>COUNTIFS(Summary!$A:$A,G$57,Summary!$I:$I,"&lt;&gt;EOT",Summary!$AR:$AR,"Pending",Summary!$BN:$BN,"&gt;=46",Summary!$BN:$BN,"&lt;=90")</f>
        <v>0</v>
      </c>
      <c r="H61" s="23">
        <f>COUNTIFS(Summary!$A:$A,H$57,Summary!$I:$I,"&lt;&gt;EOT",Summary!$AR:$AR,"Pending",Summary!$BN:$BN,"&gt;=46",Summary!$BN:$BN,"&lt;=90")</f>
        <v>0</v>
      </c>
      <c r="I61" s="23">
        <f>COUNTIFS(Summary!$A:$A,I$57,Summary!$I:$I,"&lt;&gt;EOT",Summary!$AR:$AR,"Pending",Summary!$BN:$BN,"&gt;=46",Summary!$BN:$BN,"&lt;=90")</f>
        <v>0</v>
      </c>
      <c r="J61" s="23">
        <f>COUNTIFS(Summary!$A:$A,J$57,Summary!$I:$I,"&lt;&gt;EOT",Summary!$AR:$AR,"Pending",Summary!$BN:$BN,"&gt;=46",Summary!$BN:$BN,"&lt;=90")</f>
        <v>0</v>
      </c>
      <c r="K61" s="23">
        <f>COUNTIFS(Summary!$A:$A,K$57,Summary!$I:$I,"&lt;&gt;EOT",Summary!$AR:$AR,"Pending",Summary!$BN:$BN,"&gt;=46",Summary!$BN:$BN,"&lt;=90")</f>
        <v>0</v>
      </c>
      <c r="L61" s="23">
        <f>COUNTIFS(Summary!$A:$A,L$57,Summary!$I:$I,"&lt;&gt;EOT",Summary!$AR:$AR,"Pending",Summary!$BN:$BN,"&gt;=46",Summary!$BN:$BN,"&lt;=90")</f>
        <v>0</v>
      </c>
      <c r="M61" s="23">
        <f>COUNTIFS(Summary!$A:$A,M$57,Summary!$I:$I,"&lt;&gt;EOT",Summary!$AR:$AR,"Pending",Summary!$BN:$BN,"&gt;=46",Summary!$BN:$BN,"&lt;=90")</f>
        <v>0</v>
      </c>
      <c r="N61" s="23">
        <f>COUNTIFS(Summary!$A:$A,N$57,Summary!$I:$I,"&lt;&gt;EOT",Summary!$AR:$AR,"Pending",Summary!$BN:$BN,"&gt;=46",Summary!$BN:$BN,"&lt;=90")</f>
        <v>0</v>
      </c>
      <c r="O61" s="23">
        <f>COUNTIFS(Summary!$A:$A,O$57,Summary!$I:$I,"&lt;&gt;EOT",Summary!$AR:$AR,"Pending",Summary!$BN:$BN,"&gt;=46",Summary!$BN:$BN,"&lt;=90")</f>
        <v>0</v>
      </c>
      <c r="P61" s="23">
        <f>COUNTIFS(Summary!$A:$A,P$57,Summary!$I:$I,"&lt;&gt;EOT",Summary!$AR:$AR,"Pending",Summary!$BN:$BN,"&gt;=46",Summary!$BN:$BN,"&lt;=90")</f>
        <v>0</v>
      </c>
      <c r="Q61" s="23">
        <f>COUNTIFS(Summary!$A:$A,Q$57,Summary!$I:$I,"&lt;&gt;EOT",Summary!$AR:$AR,"Pending",Summary!$BN:$BN,"&gt;=46",Summary!$BN:$BN,"&lt;=90")</f>
        <v>0</v>
      </c>
      <c r="R61" s="23">
        <f>COUNTIFS(Summary!$A:$A,R$57,Summary!$I:$I,"&lt;&gt;EOT",Summary!$AR:$AR,"Pending",Summary!$BN:$BN,"&gt;=46",Summary!$BN:$BN,"&lt;=90")</f>
        <v>0</v>
      </c>
      <c r="S61" s="23">
        <f>COUNTIFS(Summary!$A:$A,S$57,Summary!$I:$I,"&lt;&gt;EOT",Summary!$AR:$AR,"Pending",Summary!$BN:$BN,"&gt;=46",Summary!$BN:$BN,"&lt;=90")</f>
        <v>0</v>
      </c>
      <c r="T61" s="23">
        <f>COUNTIFS(Summary!$A:$A,T$57,Summary!$I:$I,"&lt;&gt;EOT",Summary!$AR:$AR,"Pending",Summary!$BN:$BN,"&gt;=46",Summary!$BN:$BN,"&lt;=90")</f>
        <v>0</v>
      </c>
      <c r="U61" s="24">
        <f t="shared" ca="1" si="10"/>
        <v>0</v>
      </c>
    </row>
    <row r="62" spans="1:23" s="3" customFormat="1" ht="18" customHeight="1">
      <c r="A62" s="30" t="s">
        <v>91</v>
      </c>
      <c r="B62" s="22" t="s">
        <v>82</v>
      </c>
      <c r="C62" s="34">
        <f ca="1">COUNTIFS(Summary!$A:$A,C$57,Summary!$I:$I,"&lt;&gt;EOT",Summary!$AR:$AR,"Pending",Summary!$BN:$BN,"&gt;=91",Summary!$BN:$BN,"&lt;=140")</f>
        <v>1</v>
      </c>
      <c r="D62" s="34">
        <f>COUNTIFS(Summary!$A:$A,D$57,Summary!$I:$I,"&lt;&gt;EOT",Summary!$AR:$AR,"Pending",Summary!$BN:$BN,"&gt;=91",Summary!$BN:$BN,"&lt;=140")</f>
        <v>0</v>
      </c>
      <c r="E62" s="34">
        <f>COUNTIFS(Summary!$A:$A,E$57,Summary!$I:$I,"&lt;&gt;EOT",Summary!$AR:$AR,"Pending",Summary!$BN:$BN,"&gt;=91",Summary!$BN:$BN,"&lt;=140")</f>
        <v>0</v>
      </c>
      <c r="F62" s="34">
        <f>COUNTIFS(Summary!$A:$A,F$57,Summary!$I:$I,"&lt;&gt;EOT",Summary!$AR:$AR,"Pending",Summary!$BN:$BN,"&gt;=91",Summary!$BN:$BN,"&lt;=140")</f>
        <v>0</v>
      </c>
      <c r="G62" s="34">
        <f>COUNTIFS(Summary!$A:$A,G$57,Summary!$I:$I,"&lt;&gt;EOT",Summary!$AR:$AR,"Pending",Summary!$BN:$BN,"&gt;=91",Summary!$BN:$BN,"&lt;=140")</f>
        <v>0</v>
      </c>
      <c r="H62" s="34">
        <f>COUNTIFS(Summary!$A:$A,H$57,Summary!$I:$I,"&lt;&gt;EOT",Summary!$AR:$AR,"Pending",Summary!$BN:$BN,"&gt;=91",Summary!$BN:$BN,"&lt;=140")</f>
        <v>0</v>
      </c>
      <c r="I62" s="34">
        <f>COUNTIFS(Summary!$A:$A,I$57,Summary!$I:$I,"&lt;&gt;EOT",Summary!$AR:$AR,"Pending",Summary!$BN:$BN,"&gt;=91",Summary!$BN:$BN,"&lt;=140")</f>
        <v>0</v>
      </c>
      <c r="J62" s="34">
        <f>COUNTIFS(Summary!$A:$A,J$57,Summary!$I:$I,"&lt;&gt;EOT",Summary!$AR:$AR,"Pending",Summary!$BN:$BN,"&gt;=91",Summary!$BN:$BN,"&lt;=140")</f>
        <v>0</v>
      </c>
      <c r="K62" s="34">
        <f>COUNTIFS(Summary!$A:$A,K$57,Summary!$I:$I,"&lt;&gt;EOT",Summary!$AR:$AR,"Pending",Summary!$BN:$BN,"&gt;=91",Summary!$BN:$BN,"&lt;=140")</f>
        <v>0</v>
      </c>
      <c r="L62" s="34">
        <f>COUNTIFS(Summary!$A:$A,L$57,Summary!$I:$I,"&lt;&gt;EOT",Summary!$AR:$AR,"Pending",Summary!$BN:$BN,"&gt;=91",Summary!$BN:$BN,"&lt;=140")</f>
        <v>0</v>
      </c>
      <c r="M62" s="34">
        <f>COUNTIFS(Summary!$A:$A,M$57,Summary!$I:$I,"&lt;&gt;EOT",Summary!$AR:$AR,"Pending",Summary!$BN:$BN,"&gt;=91",Summary!$BN:$BN,"&lt;=140")</f>
        <v>0</v>
      </c>
      <c r="N62" s="34">
        <f>COUNTIFS(Summary!$A:$A,N$57,Summary!$I:$I,"&lt;&gt;EOT",Summary!$AR:$AR,"Pending",Summary!$BN:$BN,"&gt;=91",Summary!$BN:$BN,"&lt;=140")</f>
        <v>0</v>
      </c>
      <c r="O62" s="34">
        <f>COUNTIFS(Summary!$A:$A,O$57,Summary!$I:$I,"&lt;&gt;EOT",Summary!$AR:$AR,"Pending",Summary!$BN:$BN,"&gt;=91",Summary!$BN:$BN,"&lt;=140")</f>
        <v>0</v>
      </c>
      <c r="P62" s="34">
        <f>COUNTIFS(Summary!$A:$A,P$57,Summary!$I:$I,"&lt;&gt;EOT",Summary!$AR:$AR,"Pending",Summary!$BN:$BN,"&gt;=91",Summary!$BN:$BN,"&lt;=140")</f>
        <v>0</v>
      </c>
      <c r="Q62" s="34">
        <f>COUNTIFS(Summary!$A:$A,Q$57,Summary!$I:$I,"&lt;&gt;EOT",Summary!$AR:$AR,"Pending",Summary!$BN:$BN,"&gt;=91",Summary!$BN:$BN,"&lt;=140")</f>
        <v>0</v>
      </c>
      <c r="R62" s="34">
        <f>COUNTIFS(Summary!$A:$A,R$57,Summary!$I:$I,"&lt;&gt;EOT",Summary!$AR:$AR,"Pending",Summary!$BN:$BN,"&gt;=91",Summary!$BN:$BN,"&lt;=140")</f>
        <v>0</v>
      </c>
      <c r="S62" s="34">
        <f>COUNTIFS(Summary!$A:$A,S$57,Summary!$I:$I,"&lt;&gt;EOT",Summary!$AR:$AR,"Pending",Summary!$BN:$BN,"&gt;=91",Summary!$BN:$BN,"&lt;=140")</f>
        <v>0</v>
      </c>
      <c r="T62" s="34">
        <f>COUNTIFS(Summary!$A:$A,T$57,Summary!$I:$I,"&lt;&gt;EOT",Summary!$AR:$AR,"Pending",Summary!$BN:$BN,"&gt;=91",Summary!$BN:$BN,"&lt;=140")</f>
        <v>0</v>
      </c>
      <c r="U62" s="24">
        <f t="shared" ca="1" si="10"/>
        <v>1</v>
      </c>
    </row>
    <row r="63" spans="1:23" s="3" customFormat="1" ht="18" customHeight="1">
      <c r="A63" s="25" t="s">
        <v>92</v>
      </c>
      <c r="B63" s="48" t="s">
        <v>84</v>
      </c>
      <c r="C63" s="9">
        <f ca="1">COUNTIFS(Summary!$A:$A,C$57,Summary!$I:$I,"&lt;&gt;EOT",Summary!$AR:$AR,"Pending",Summary!$BN:$BN,"&gt;140")</f>
        <v>0</v>
      </c>
      <c r="D63" s="9">
        <f>COUNTIFS(Summary!$A:$A,D$57,Summary!$I:$I,"&lt;&gt;EOT",Summary!$AR:$AR,"Pending",Summary!$BN:$BN,"&gt;140")</f>
        <v>0</v>
      </c>
      <c r="E63" s="9">
        <f>COUNTIFS(Summary!$A:$A,E$57,Summary!$I:$I,"&lt;&gt;EOT",Summary!$AR:$AR,"Pending",Summary!$BN:$BN,"&gt;140")</f>
        <v>0</v>
      </c>
      <c r="F63" s="9">
        <f>COUNTIFS(Summary!$A:$A,F$57,Summary!$I:$I,"&lt;&gt;EOT",Summary!$AR:$AR,"Pending",Summary!$BN:$BN,"&gt;140")</f>
        <v>0</v>
      </c>
      <c r="G63" s="9">
        <f>COUNTIFS(Summary!$A:$A,G$57,Summary!$I:$I,"&lt;&gt;EOT",Summary!$AR:$AR,"Pending",Summary!$BN:$BN,"&gt;140")</f>
        <v>0</v>
      </c>
      <c r="H63" s="9">
        <f>COUNTIFS(Summary!$A:$A,H$57,Summary!$I:$I,"&lt;&gt;EOT",Summary!$AR:$AR,"Pending",Summary!$BN:$BN,"&gt;140")</f>
        <v>0</v>
      </c>
      <c r="I63" s="9">
        <f>COUNTIFS(Summary!$A:$A,I$57,Summary!$I:$I,"&lt;&gt;EOT",Summary!$AR:$AR,"Pending",Summary!$BN:$BN,"&gt;140")</f>
        <v>0</v>
      </c>
      <c r="J63" s="9">
        <f>COUNTIFS(Summary!$A:$A,J$57,Summary!$I:$I,"&lt;&gt;EOT",Summary!$AR:$AR,"Pending",Summary!$BN:$BN,"&gt;140")</f>
        <v>0</v>
      </c>
      <c r="K63" s="9">
        <f>COUNTIFS(Summary!$A:$A,K$57,Summary!$I:$I,"&lt;&gt;EOT",Summary!$AR:$AR,"Pending",Summary!$BN:$BN,"&gt;140")</f>
        <v>0</v>
      </c>
      <c r="L63" s="9">
        <f>COUNTIFS(Summary!$A:$A,L$57,Summary!$I:$I,"&lt;&gt;EOT",Summary!$AR:$AR,"Pending",Summary!$BN:$BN,"&gt;140")</f>
        <v>0</v>
      </c>
      <c r="M63" s="9">
        <f>COUNTIFS(Summary!$A:$A,M$57,Summary!$I:$I,"&lt;&gt;EOT",Summary!$AR:$AR,"Pending",Summary!$BN:$BN,"&gt;140")</f>
        <v>0</v>
      </c>
      <c r="N63" s="9">
        <f>COUNTIFS(Summary!$A:$A,N$57,Summary!$I:$I,"&lt;&gt;EOT",Summary!$AR:$AR,"Pending",Summary!$BN:$BN,"&gt;140")</f>
        <v>0</v>
      </c>
      <c r="O63" s="9">
        <f>COUNTIFS(Summary!$A:$A,O$57,Summary!$I:$I,"&lt;&gt;EOT",Summary!$AR:$AR,"Pending",Summary!$BN:$BN,"&gt;140")</f>
        <v>0</v>
      </c>
      <c r="P63" s="9">
        <f>COUNTIFS(Summary!$A:$A,P$57,Summary!$I:$I,"&lt;&gt;EOT",Summary!$AR:$AR,"Pending",Summary!$BN:$BN,"&gt;140")</f>
        <v>0</v>
      </c>
      <c r="Q63" s="9">
        <f>COUNTIFS(Summary!$A:$A,Q$57,Summary!$I:$I,"&lt;&gt;EOT",Summary!$AR:$AR,"Pending",Summary!$BN:$BN,"&gt;140")</f>
        <v>0</v>
      </c>
      <c r="R63" s="9">
        <f>COUNTIFS(Summary!$A:$A,R$57,Summary!$I:$I,"&lt;&gt;EOT",Summary!$AR:$AR,"Pending",Summary!$BN:$BN,"&gt;140")</f>
        <v>0</v>
      </c>
      <c r="S63" s="9">
        <f>COUNTIFS(Summary!$A:$A,S$57,Summary!$I:$I,"&lt;&gt;EOT",Summary!$AR:$AR,"Pending",Summary!$BN:$BN,"&gt;140")</f>
        <v>0</v>
      </c>
      <c r="T63" s="9">
        <f>COUNTIFS(Summary!$A:$A,T$57,Summary!$I:$I,"&lt;&gt;EOT",Summary!$AR:$AR,"Pending",Summary!$BN:$BN,"&gt;140")</f>
        <v>0</v>
      </c>
      <c r="U63" s="28">
        <f t="shared" ca="1" si="10"/>
        <v>0</v>
      </c>
    </row>
    <row r="64" spans="1:23" s="3" customFormat="1" ht="18" customHeight="1">
      <c r="A64" s="11" t="s">
        <v>19</v>
      </c>
      <c r="B64" s="11"/>
      <c r="C64" s="49">
        <f ca="1">SUM(C60:C63)</f>
        <v>3</v>
      </c>
      <c r="D64" s="12">
        <f>SUM(D58:D63)</f>
        <v>0</v>
      </c>
      <c r="E64" s="12">
        <f t="shared" ref="E64:P64" si="11">SUM(E58:E63)</f>
        <v>0</v>
      </c>
      <c r="F64" s="12">
        <f t="shared" si="11"/>
        <v>0</v>
      </c>
      <c r="G64" s="12">
        <f t="shared" si="11"/>
        <v>0</v>
      </c>
      <c r="H64" s="12">
        <f t="shared" si="11"/>
        <v>0</v>
      </c>
      <c r="I64" s="12">
        <f t="shared" si="11"/>
        <v>0</v>
      </c>
      <c r="J64" s="12">
        <f t="shared" si="11"/>
        <v>0</v>
      </c>
      <c r="K64" s="12">
        <f t="shared" si="11"/>
        <v>0</v>
      </c>
      <c r="L64" s="12">
        <f t="shared" si="11"/>
        <v>0</v>
      </c>
      <c r="M64" s="12">
        <f t="shared" si="11"/>
        <v>0</v>
      </c>
      <c r="N64" s="12">
        <f t="shared" si="11"/>
        <v>0</v>
      </c>
      <c r="O64" s="12">
        <f t="shared" si="11"/>
        <v>0</v>
      </c>
      <c r="P64" s="12">
        <f t="shared" si="11"/>
        <v>0</v>
      </c>
      <c r="Q64" s="12">
        <f>SUM(Q58:Q63)</f>
        <v>0</v>
      </c>
      <c r="R64" s="12">
        <f>SUM(R58:R63)</f>
        <v>0</v>
      </c>
      <c r="S64" s="12">
        <f>SUM(S58:S63)</f>
        <v>0</v>
      </c>
      <c r="T64" s="12">
        <f>SUM(T58:T63)</f>
        <v>0</v>
      </c>
      <c r="U64" s="12">
        <f t="shared" ca="1" si="10"/>
        <v>3</v>
      </c>
    </row>
    <row r="65" spans="1:21">
      <c r="C65" s="13"/>
      <c r="D65" s="13"/>
      <c r="E65" s="13"/>
      <c r="F65" s="13"/>
      <c r="G65" s="13"/>
      <c r="H65" s="13"/>
      <c r="I65" s="13"/>
      <c r="J65" s="13"/>
      <c r="K65" s="13"/>
      <c r="L65" s="13"/>
      <c r="M65" s="13"/>
      <c r="N65" s="13"/>
      <c r="O65" s="13"/>
      <c r="P65" s="13"/>
      <c r="Q65" s="13"/>
      <c r="R65" s="13"/>
      <c r="S65" s="13"/>
      <c r="T65" s="13"/>
      <c r="U65" s="13"/>
    </row>
    <row r="66" spans="1:21" ht="16">
      <c r="A66" s="15" t="s">
        <v>93</v>
      </c>
      <c r="B66" s="16" t="s">
        <v>94</v>
      </c>
      <c r="C66" s="13"/>
      <c r="D66" s="13"/>
      <c r="E66" s="13"/>
      <c r="F66" s="13"/>
      <c r="G66" s="13"/>
      <c r="H66" s="13"/>
      <c r="I66" s="13"/>
      <c r="J66" s="13"/>
      <c r="K66" s="13"/>
      <c r="L66" s="13"/>
      <c r="M66" s="13"/>
      <c r="N66" s="13"/>
      <c r="O66" s="13"/>
      <c r="P66" s="13"/>
      <c r="Q66" s="13"/>
      <c r="R66" s="13"/>
      <c r="S66" s="13"/>
      <c r="T66" s="13"/>
      <c r="U66" s="13"/>
    </row>
    <row r="67" spans="1:21" s="3" customFormat="1" ht="18" customHeight="1">
      <c r="A67" s="1" t="s">
        <v>95</v>
      </c>
      <c r="B67" s="1"/>
      <c r="C67" s="2" t="s">
        <v>1</v>
      </c>
      <c r="D67" s="2" t="s">
        <v>2</v>
      </c>
      <c r="E67" s="2" t="s">
        <v>3</v>
      </c>
      <c r="F67" s="2" t="s">
        <v>4</v>
      </c>
      <c r="G67" s="2" t="s">
        <v>5</v>
      </c>
      <c r="H67" s="2" t="s">
        <v>6</v>
      </c>
      <c r="I67" s="2" t="s">
        <v>7</v>
      </c>
      <c r="J67" s="2" t="s">
        <v>8</v>
      </c>
      <c r="K67" s="2" t="s">
        <v>9</v>
      </c>
      <c r="L67" s="2" t="s">
        <v>10</v>
      </c>
      <c r="M67" s="2" t="s">
        <v>11</v>
      </c>
      <c r="N67" s="2" t="s">
        <v>12</v>
      </c>
      <c r="O67" s="2" t="s">
        <v>13</v>
      </c>
      <c r="P67" s="2" t="s">
        <v>14</v>
      </c>
      <c r="Q67" s="2" t="s">
        <v>15</v>
      </c>
      <c r="R67" s="2" t="s">
        <v>16</v>
      </c>
      <c r="S67" s="2" t="s">
        <v>17</v>
      </c>
      <c r="T67" s="2" t="s">
        <v>18</v>
      </c>
      <c r="U67" s="2" t="s">
        <v>19</v>
      </c>
    </row>
    <row r="68" spans="1:21" s="3" customFormat="1" ht="18" customHeight="1">
      <c r="A68" s="17" t="s">
        <v>75</v>
      </c>
      <c r="B68" s="46" t="s">
        <v>96</v>
      </c>
      <c r="C68" s="23">
        <f>COUNTIFS(Summary!$A:$A,C$67,Summary!$AS:$AS,"Open",Summary!$AV:$AV,"Open",Summary!$BU:$BU,"&gt;=1",Summary!$BU:$BU,"&lt;=30")+COUNTIFS(Summary!$A:$A,C$67,Summary!$AS:$AS,"Open",Summary!$AV:$AV,"Closed",Summary!$BU:$BU,"&gt;=1",Summary!$BU:$BU,"&lt;=30")</f>
        <v>0</v>
      </c>
      <c r="D68" s="23">
        <f>COUNTIFS(Summary!$A:$A,D$67,Summary!$AS:$AS,"Open",Summary!$AV:$AV,"Open",Summary!$BU:$BU,"&gt;=1",Summary!$BU:$BU,"&lt;=30")+COUNTIFS(Summary!$A:$A,D$67,Summary!$AS:$AS,"Open",Summary!$AV:$AV,"Closed",Summary!$BU:$BU,"&gt;=1",Summary!$BU:$BU,"&lt;=30")</f>
        <v>0</v>
      </c>
      <c r="E68" s="23">
        <f>COUNTIFS(Summary!$A:$A,E$67,Summary!$AS:$AS,"Open",Summary!$AV:$AV,"Open",Summary!$BU:$BU,"&gt;=1",Summary!$BU:$BU,"&lt;=30")+COUNTIFS(Summary!$A:$A,E$67,Summary!$AS:$AS,"Open",Summary!$AV:$AV,"Closed",Summary!$BU:$BU,"&gt;=1",Summary!$BU:$BU,"&lt;=30")</f>
        <v>0</v>
      </c>
      <c r="F68" s="23">
        <f>COUNTIFS(Summary!$A:$A,F$67,Summary!$AS:$AS,"Open",Summary!$AV:$AV,"Open",Summary!$BU:$BU,"&gt;=1",Summary!$BU:$BU,"&lt;=30")+COUNTIFS(Summary!$A:$A,F$67,Summary!$AS:$AS,"Open",Summary!$AV:$AV,"Closed",Summary!$BU:$BU,"&gt;=1",Summary!$BU:$BU,"&lt;=30")</f>
        <v>0</v>
      </c>
      <c r="G68" s="23">
        <f>COUNTIFS(Summary!$A:$A,G$67,Summary!$AS:$AS,"Open",Summary!$AV:$AV,"Open",Summary!$BU:$BU,"&gt;=1",Summary!$BU:$BU,"&lt;=30")+COUNTIFS(Summary!$A:$A,G$67,Summary!$AS:$AS,"Open",Summary!$AV:$AV,"Closed",Summary!$BU:$BU,"&gt;=1",Summary!$BU:$BU,"&lt;=30")</f>
        <v>0</v>
      </c>
      <c r="H68" s="23">
        <f>COUNTIFS(Summary!$A:$A,H$67,Summary!$AS:$AS,"Open",Summary!$AV:$AV,"Open",Summary!$BU:$BU,"&gt;=1",Summary!$BU:$BU,"&lt;=30")+COUNTIFS(Summary!$A:$A,H$67,Summary!$AS:$AS,"Open",Summary!$AV:$AV,"Closed",Summary!$BU:$BU,"&gt;=1",Summary!$BU:$BU,"&lt;=30")</f>
        <v>0</v>
      </c>
      <c r="I68" s="23">
        <f>COUNTIFS(Summary!$A:$A,I$67,Summary!$AS:$AS,"Open",Summary!$AV:$AV,"Open",Summary!$BU:$BU,"&gt;=1",Summary!$BU:$BU,"&lt;=30")+COUNTIFS(Summary!$A:$A,I$67,Summary!$AS:$AS,"Open",Summary!$AV:$AV,"Closed",Summary!$BU:$BU,"&gt;=1",Summary!$BU:$BU,"&lt;=30")</f>
        <v>0</v>
      </c>
      <c r="J68" s="23">
        <f>COUNTIFS(Summary!$A:$A,J$67,Summary!$AS:$AS,"Open",Summary!$AV:$AV,"Open",Summary!$BU:$BU,"&gt;=1",Summary!$BU:$BU,"&lt;=30")+COUNTIFS(Summary!$A:$A,J$67,Summary!$AS:$AS,"Open",Summary!$AV:$AV,"Closed",Summary!$BU:$BU,"&gt;=1",Summary!$BU:$BU,"&lt;=30")</f>
        <v>0</v>
      </c>
      <c r="K68" s="23">
        <f>COUNTIFS(Summary!$A:$A,K$67,Summary!$AS:$AS,"Open",Summary!$AV:$AV,"Open",Summary!$BU:$BU,"&gt;=1",Summary!$BU:$BU,"&lt;=30")+COUNTIFS(Summary!$A:$A,K$67,Summary!$AS:$AS,"Open",Summary!$AV:$AV,"Closed",Summary!$BU:$BU,"&gt;=1",Summary!$BU:$BU,"&lt;=30")</f>
        <v>0</v>
      </c>
      <c r="L68" s="23">
        <f>COUNTIFS(Summary!$A:$A,L$67,Summary!$AS:$AS,"Open",Summary!$AV:$AV,"Open",Summary!$BU:$BU,"&gt;=1",Summary!$BU:$BU,"&lt;=30")+COUNTIFS(Summary!$A:$A,L$67,Summary!$AS:$AS,"Open",Summary!$AV:$AV,"Closed",Summary!$BU:$BU,"&gt;=1",Summary!$BU:$BU,"&lt;=30")</f>
        <v>0</v>
      </c>
      <c r="M68" s="23">
        <f>COUNTIFS(Summary!$A:$A,M$67,Summary!$AS:$AS,"Open",Summary!$AV:$AV,"Open",Summary!$BU:$BU,"&gt;=1",Summary!$BU:$BU,"&lt;=30")+COUNTIFS(Summary!$A:$A,M$67,Summary!$AS:$AS,"Open",Summary!$AV:$AV,"Closed",Summary!$BU:$BU,"&gt;=1",Summary!$BU:$BU,"&lt;=30")</f>
        <v>0</v>
      </c>
      <c r="N68" s="23">
        <f>COUNTIFS(Summary!$A:$A,N$67,Summary!$AS:$AS,"Open",Summary!$AV:$AV,"Open",Summary!$BU:$BU,"&gt;=1",Summary!$BU:$BU,"&lt;=30")+COUNTIFS(Summary!$A:$A,N$67,Summary!$AS:$AS,"Open",Summary!$AV:$AV,"Closed",Summary!$BU:$BU,"&gt;=1",Summary!$BU:$BU,"&lt;=30")</f>
        <v>0</v>
      </c>
      <c r="O68" s="23">
        <f>COUNTIFS(Summary!$A:$A,O$67,Summary!$AS:$AS,"Open",Summary!$AV:$AV,"Open",Summary!$BU:$BU,"&gt;=1",Summary!$BU:$BU,"&lt;=30")+COUNTIFS(Summary!$A:$A,O$67,Summary!$AS:$AS,"Open",Summary!$AV:$AV,"Closed",Summary!$BU:$BU,"&gt;=1",Summary!$BU:$BU,"&lt;=30")</f>
        <v>0</v>
      </c>
      <c r="P68" s="23">
        <f>COUNTIFS(Summary!$A:$A,P$67,Summary!$AS:$AS,"Open",Summary!$AV:$AV,"Open",Summary!$BU:$BU,"&gt;=1",Summary!$BU:$BU,"&lt;=30")+COUNTIFS(Summary!$A:$A,P$67,Summary!$AS:$AS,"Open",Summary!$AV:$AV,"Closed",Summary!$BU:$BU,"&gt;=1",Summary!$BU:$BU,"&lt;=30")</f>
        <v>0</v>
      </c>
      <c r="Q68" s="23">
        <f>COUNTIFS(Summary!$A:$A,Q$67,Summary!$AS:$AS,"Open",Summary!$AV:$AV,"Open",Summary!$BU:$BU,"&gt;=1",Summary!$BU:$BU,"&lt;=30")+COUNTIFS(Summary!$A:$A,Q$67,Summary!$AS:$AS,"Open",Summary!$AV:$AV,"Closed",Summary!$BU:$BU,"&gt;=1",Summary!$BU:$BU,"&lt;=30")</f>
        <v>0</v>
      </c>
      <c r="R68" s="23">
        <f>COUNTIFS(Summary!$A:$A,R$67,Summary!$AS:$AS,"Open",Summary!$AV:$AV,"Open",Summary!$BU:$BU,"&gt;=1",Summary!$BU:$BU,"&lt;=30")+COUNTIFS(Summary!$A:$A,R$67,Summary!$AS:$AS,"Open",Summary!$AV:$AV,"Closed",Summary!$BU:$BU,"&gt;=1",Summary!$BU:$BU,"&lt;=30")</f>
        <v>0</v>
      </c>
      <c r="S68" s="23">
        <f>COUNTIFS(Summary!$A:$A,S$67,Summary!$AS:$AS,"Open",Summary!$AV:$AV,"Open",Summary!$BU:$BU,"&gt;=1",Summary!$BU:$BU,"&lt;=30")+COUNTIFS(Summary!$A:$A,S$67,Summary!$AS:$AS,"Open",Summary!$AV:$AV,"Closed",Summary!$BU:$BU,"&gt;=1",Summary!$BU:$BU,"&lt;=30")</f>
        <v>0</v>
      </c>
      <c r="T68" s="23">
        <f>COUNTIFS(Summary!$A:$A,T$67,Summary!$AS:$AS,"Open",Summary!$AV:$AV,"Open",Summary!$BU:$BU,"&gt;=1",Summary!$BU:$BU,"&lt;=30")+COUNTIFS(Summary!$A:$A,T$67,Summary!$AS:$AS,"Open",Summary!$AV:$AV,"Closed",Summary!$BU:$BU,"&gt;=1",Summary!$BU:$BU,"&lt;=30")</f>
        <v>0</v>
      </c>
      <c r="U68" s="20">
        <f>SUM(C68:T68)</f>
        <v>0</v>
      </c>
    </row>
    <row r="69" spans="1:21" s="3" customFormat="1" ht="18" customHeight="1">
      <c r="A69" s="30" t="s">
        <v>77</v>
      </c>
      <c r="B69" s="22" t="s">
        <v>97</v>
      </c>
      <c r="C69" s="23">
        <f>COUNTIFS(Summary!$A:$A,C$67,Summary!$AS:$AS,"Open",Summary!$AV:$AV,"Open",Summary!$BU:$BU,"&gt;30",Summary!$BU:$BU,"&lt;=60")+COUNTIFS(Summary!$A:$A,C$67,Summary!$AS:$AS,"Open",Summary!$AV:$AV,"Closed",Summary!$BU:$BU,"&gt;30",Summary!$BU:$BU,"&lt;=60")</f>
        <v>0</v>
      </c>
      <c r="D69" s="23">
        <f>COUNTIFS(Summary!$A:$A,D$67,Summary!$AS:$AS,"Open",Summary!$AV:$AV,"Open",Summary!$BU:$BU,"&gt;30",Summary!$BU:$BU,"&lt;=60")+COUNTIFS(Summary!$A:$A,D$67,Summary!$AS:$AS,"Open",Summary!$AV:$AV,"Closed",Summary!$BU:$BU,"&gt;30",Summary!$BU:$BU,"&lt;=60")</f>
        <v>0</v>
      </c>
      <c r="E69" s="23">
        <f>COUNTIFS(Summary!$A:$A,E$67,Summary!$AS:$AS,"Open",Summary!$AV:$AV,"Open",Summary!$BU:$BU,"&gt;30",Summary!$BU:$BU,"&lt;=60")+COUNTIFS(Summary!$A:$A,E$67,Summary!$AS:$AS,"Open",Summary!$AV:$AV,"Closed",Summary!$BU:$BU,"&gt;30",Summary!$BU:$BU,"&lt;=60")</f>
        <v>0</v>
      </c>
      <c r="F69" s="23">
        <f>COUNTIFS(Summary!$A:$A,F$67,Summary!$AS:$AS,"Open",Summary!$AV:$AV,"Open",Summary!$BU:$BU,"&gt;30",Summary!$BU:$BU,"&lt;=60")+COUNTIFS(Summary!$A:$A,F$67,Summary!$AS:$AS,"Open",Summary!$AV:$AV,"Closed",Summary!$BU:$BU,"&gt;30",Summary!$BU:$BU,"&lt;=60")</f>
        <v>0</v>
      </c>
      <c r="G69" s="23">
        <f>COUNTIFS(Summary!$A:$A,G$67,Summary!$AS:$AS,"Open",Summary!$AV:$AV,"Open",Summary!$BU:$BU,"&gt;30",Summary!$BU:$BU,"&lt;=60")+COUNTIFS(Summary!$A:$A,G$67,Summary!$AS:$AS,"Open",Summary!$AV:$AV,"Closed",Summary!$BU:$BU,"&gt;30",Summary!$BU:$BU,"&lt;=60")</f>
        <v>0</v>
      </c>
      <c r="H69" s="23">
        <f>COUNTIFS(Summary!$A:$A,H$67,Summary!$AS:$AS,"Open",Summary!$AV:$AV,"Open",Summary!$BU:$BU,"&gt;30",Summary!$BU:$BU,"&lt;=60")+COUNTIFS(Summary!$A:$A,H$67,Summary!$AS:$AS,"Open",Summary!$AV:$AV,"Closed",Summary!$BU:$BU,"&gt;30",Summary!$BU:$BU,"&lt;=60")</f>
        <v>0</v>
      </c>
      <c r="I69" s="23">
        <f>COUNTIFS(Summary!$A:$A,I$67,Summary!$AS:$AS,"Open",Summary!$AV:$AV,"Open",Summary!$BU:$BU,"&gt;30",Summary!$BU:$BU,"&lt;=60")+COUNTIFS(Summary!$A:$A,I$67,Summary!$AS:$AS,"Open",Summary!$AV:$AV,"Closed",Summary!$BU:$BU,"&gt;30",Summary!$BU:$BU,"&lt;=60")</f>
        <v>0</v>
      </c>
      <c r="J69" s="23">
        <f>COUNTIFS(Summary!$A:$A,J$67,Summary!$AS:$AS,"Open",Summary!$AV:$AV,"Open",Summary!$BU:$BU,"&gt;30",Summary!$BU:$BU,"&lt;=60")+COUNTIFS(Summary!$A:$A,J$67,Summary!$AS:$AS,"Open",Summary!$AV:$AV,"Closed",Summary!$BU:$BU,"&gt;30",Summary!$BU:$BU,"&lt;=60")</f>
        <v>0</v>
      </c>
      <c r="K69" s="23">
        <f>COUNTIFS(Summary!$A:$A,K$67,Summary!$AS:$AS,"Open",Summary!$AV:$AV,"Open",Summary!$BU:$BU,"&gt;30",Summary!$BU:$BU,"&lt;=60")+COUNTIFS(Summary!$A:$A,K$67,Summary!$AS:$AS,"Open",Summary!$AV:$AV,"Closed",Summary!$BU:$BU,"&gt;30",Summary!$BU:$BU,"&lt;=60")</f>
        <v>0</v>
      </c>
      <c r="L69" s="23">
        <f>COUNTIFS(Summary!$A:$A,L$67,Summary!$AS:$AS,"Open",Summary!$AV:$AV,"Open",Summary!$BU:$BU,"&gt;30",Summary!$BU:$BU,"&lt;=60")+COUNTIFS(Summary!$A:$A,L$67,Summary!$AS:$AS,"Open",Summary!$AV:$AV,"Closed",Summary!$BU:$BU,"&gt;30",Summary!$BU:$BU,"&lt;=60")</f>
        <v>0</v>
      </c>
      <c r="M69" s="23">
        <f>COUNTIFS(Summary!$A:$A,M$67,Summary!$AS:$AS,"Open",Summary!$AV:$AV,"Open",Summary!$BU:$BU,"&gt;30",Summary!$BU:$BU,"&lt;=60")+COUNTIFS(Summary!$A:$A,M$67,Summary!$AS:$AS,"Open",Summary!$AV:$AV,"Closed",Summary!$BU:$BU,"&gt;30",Summary!$BU:$BU,"&lt;=60")</f>
        <v>0</v>
      </c>
      <c r="N69" s="23">
        <f>COUNTIFS(Summary!$A:$A,N$67,Summary!$AS:$AS,"Open",Summary!$AV:$AV,"Open",Summary!$BU:$BU,"&gt;30",Summary!$BU:$BU,"&lt;=60")+COUNTIFS(Summary!$A:$A,N$67,Summary!$AS:$AS,"Open",Summary!$AV:$AV,"Closed",Summary!$BU:$BU,"&gt;30",Summary!$BU:$BU,"&lt;=60")</f>
        <v>0</v>
      </c>
      <c r="O69" s="23">
        <f>COUNTIFS(Summary!$A:$A,O$67,Summary!$AS:$AS,"Open",Summary!$AV:$AV,"Open",Summary!$BU:$BU,"&gt;30",Summary!$BU:$BU,"&lt;=60")+COUNTIFS(Summary!$A:$A,O$67,Summary!$AS:$AS,"Open",Summary!$AV:$AV,"Closed",Summary!$BU:$BU,"&gt;30",Summary!$BU:$BU,"&lt;=60")</f>
        <v>0</v>
      </c>
      <c r="P69" s="23">
        <f>COUNTIFS(Summary!$A:$A,P$67,Summary!$AS:$AS,"Open",Summary!$AV:$AV,"Open",Summary!$BU:$BU,"&gt;30",Summary!$BU:$BU,"&lt;=60")+COUNTIFS(Summary!$A:$A,P$67,Summary!$AS:$AS,"Open",Summary!$AV:$AV,"Closed",Summary!$BU:$BU,"&gt;30",Summary!$BU:$BU,"&lt;=60")</f>
        <v>0</v>
      </c>
      <c r="Q69" s="23">
        <f>COUNTIFS(Summary!$A:$A,Q$67,Summary!$AS:$AS,"Open",Summary!$AV:$AV,"Open",Summary!$BU:$BU,"&gt;30",Summary!$BU:$BU,"&lt;=60")+COUNTIFS(Summary!$A:$A,Q$67,Summary!$AS:$AS,"Open",Summary!$AV:$AV,"Closed",Summary!$BU:$BU,"&gt;30",Summary!$BU:$BU,"&lt;=60")</f>
        <v>0</v>
      </c>
      <c r="R69" s="23">
        <f>COUNTIFS(Summary!$A:$A,R$67,Summary!$AS:$AS,"Open",Summary!$AV:$AV,"Open",Summary!$BU:$BU,"&gt;30",Summary!$BU:$BU,"&lt;=60")+COUNTIFS(Summary!$A:$A,R$67,Summary!$AS:$AS,"Open",Summary!$AV:$AV,"Closed",Summary!$BU:$BU,"&gt;30",Summary!$BU:$BU,"&lt;=60")</f>
        <v>0</v>
      </c>
      <c r="S69" s="23">
        <f>COUNTIFS(Summary!$A:$A,S$67,Summary!$AS:$AS,"Open",Summary!$AV:$AV,"Open",Summary!$BU:$BU,"&gt;30",Summary!$BU:$BU,"&lt;=60")+COUNTIFS(Summary!$A:$A,S$67,Summary!$AS:$AS,"Open",Summary!$AV:$AV,"Closed",Summary!$BU:$BU,"&gt;30",Summary!$BU:$BU,"&lt;=60")</f>
        <v>0</v>
      </c>
      <c r="T69" s="23">
        <f>COUNTIFS(Summary!$A:$A,T$67,Summary!$AS:$AS,"Open",Summary!$AV:$AV,"Open",Summary!$BU:$BU,"&gt;30",Summary!$BU:$BU,"&lt;=60")+COUNTIFS(Summary!$A:$A,T$67,Summary!$AS:$AS,"Open",Summary!$AV:$AV,"Closed",Summary!$BU:$BU,"&gt;30",Summary!$BU:$BU,"&lt;=60")</f>
        <v>0</v>
      </c>
      <c r="U69" s="24">
        <f>SUM(C69:T69)</f>
        <v>0</v>
      </c>
    </row>
    <row r="70" spans="1:21" s="3" customFormat="1" ht="18" customHeight="1">
      <c r="A70" s="21" t="s">
        <v>79</v>
      </c>
      <c r="B70" s="22" t="s">
        <v>98</v>
      </c>
      <c r="C70" s="34">
        <f>COUNTIFS(Summary!$A:$A,C$67,Summary!$AS:$AS,"Open",Summary!$AV:$AV,"Open",Summary!$AS:$AS,"Open",Summary!$BU:$BU,"&gt;60",Summary!$BU:$BU,"&lt;=90")+COUNTIFS(Summary!$A:$A,C$67,Summary!$AS:$AS,"Open",Summary!$AV:$AV,"Closed",Summary!$AS:$AS,"Open",Summary!$BU:$BU,"&gt;60",Summary!$BU:$BU,"&lt;=90")</f>
        <v>0</v>
      </c>
      <c r="D70" s="34">
        <f>COUNTIFS(Summary!$A:$A,D$67,Summary!$AS:$AS,"Open",Summary!$AV:$AV,"Open",Summary!$AS:$AS,"Open",Summary!$BU:$BU,"&gt;60",Summary!$BU:$BU,"&lt;=90")+COUNTIFS(Summary!$A:$A,D$67,Summary!$AS:$AS,"Open",Summary!$AV:$AV,"Closed",Summary!$AS:$AS,"Open",Summary!$BU:$BU,"&gt;60",Summary!$BU:$BU,"&lt;=90")</f>
        <v>0</v>
      </c>
      <c r="E70" s="34">
        <f>COUNTIFS(Summary!$A:$A,E$67,Summary!$AS:$AS,"Open",Summary!$AV:$AV,"Open",Summary!$AS:$AS,"Open",Summary!$BU:$BU,"&gt;60",Summary!$BU:$BU,"&lt;=90")+COUNTIFS(Summary!$A:$A,E$67,Summary!$AS:$AS,"Open",Summary!$AV:$AV,"Closed",Summary!$AS:$AS,"Open",Summary!$BU:$BU,"&gt;60",Summary!$BU:$BU,"&lt;=90")</f>
        <v>0</v>
      </c>
      <c r="F70" s="34">
        <f>COUNTIFS(Summary!$A:$A,F$67,Summary!$AS:$AS,"Open",Summary!$AV:$AV,"Open",Summary!$AS:$AS,"Open",Summary!$BU:$BU,"&gt;60",Summary!$BU:$BU,"&lt;=90")+COUNTIFS(Summary!$A:$A,F$67,Summary!$AS:$AS,"Open",Summary!$AV:$AV,"Closed",Summary!$AS:$AS,"Open",Summary!$BU:$BU,"&gt;60",Summary!$BU:$BU,"&lt;=90")</f>
        <v>0</v>
      </c>
      <c r="G70" s="34">
        <f>COUNTIFS(Summary!$A:$A,G$67,Summary!$AS:$AS,"Open",Summary!$AV:$AV,"Open",Summary!$AS:$AS,"Open",Summary!$BU:$BU,"&gt;60",Summary!$BU:$BU,"&lt;=90")+COUNTIFS(Summary!$A:$A,G$67,Summary!$AS:$AS,"Open",Summary!$AV:$AV,"Closed",Summary!$AS:$AS,"Open",Summary!$BU:$BU,"&gt;60",Summary!$BU:$BU,"&lt;=90")</f>
        <v>0</v>
      </c>
      <c r="H70" s="34">
        <f>COUNTIFS(Summary!$A:$A,H$67,Summary!$AS:$AS,"Open",Summary!$AV:$AV,"Open",Summary!$AS:$AS,"Open",Summary!$BU:$BU,"&gt;60",Summary!$BU:$BU,"&lt;=90")+COUNTIFS(Summary!$A:$A,H$67,Summary!$AS:$AS,"Open",Summary!$AV:$AV,"Closed",Summary!$AS:$AS,"Open",Summary!$BU:$BU,"&gt;60",Summary!$BU:$BU,"&lt;=90")</f>
        <v>0</v>
      </c>
      <c r="I70" s="34">
        <f>COUNTIFS(Summary!$A:$A,I$67,Summary!$AS:$AS,"Open",Summary!$AV:$AV,"Open",Summary!$AS:$AS,"Open",Summary!$BU:$BU,"&gt;60",Summary!$BU:$BU,"&lt;=90")+COUNTIFS(Summary!$A:$A,I$67,Summary!$AS:$AS,"Open",Summary!$AV:$AV,"Closed",Summary!$AS:$AS,"Open",Summary!$BU:$BU,"&gt;60",Summary!$BU:$BU,"&lt;=90")</f>
        <v>0</v>
      </c>
      <c r="J70" s="34">
        <f>COUNTIFS(Summary!$A:$A,J$67,Summary!$AS:$AS,"Open",Summary!$AV:$AV,"Open",Summary!$AS:$AS,"Open",Summary!$BU:$BU,"&gt;60",Summary!$BU:$BU,"&lt;=90")+COUNTIFS(Summary!$A:$A,J$67,Summary!$AS:$AS,"Open",Summary!$AV:$AV,"Closed",Summary!$AS:$AS,"Open",Summary!$BU:$BU,"&gt;60",Summary!$BU:$BU,"&lt;=90")</f>
        <v>0</v>
      </c>
      <c r="K70" s="34">
        <f>COUNTIFS(Summary!$A:$A,K$67,Summary!$AS:$AS,"Open",Summary!$AV:$AV,"Open",Summary!$AS:$AS,"Open",Summary!$BU:$BU,"&gt;60",Summary!$BU:$BU,"&lt;=90")+COUNTIFS(Summary!$A:$A,K$67,Summary!$AS:$AS,"Open",Summary!$AV:$AV,"Closed",Summary!$AS:$AS,"Open",Summary!$BU:$BU,"&gt;60",Summary!$BU:$BU,"&lt;=90")</f>
        <v>0</v>
      </c>
      <c r="L70" s="34">
        <f>COUNTIFS(Summary!$A:$A,L$67,Summary!$AS:$AS,"Open",Summary!$AV:$AV,"Open",Summary!$AS:$AS,"Open",Summary!$BU:$BU,"&gt;60",Summary!$BU:$BU,"&lt;=90")+COUNTIFS(Summary!$A:$A,L$67,Summary!$AS:$AS,"Open",Summary!$AV:$AV,"Closed",Summary!$AS:$AS,"Open",Summary!$BU:$BU,"&gt;60",Summary!$BU:$BU,"&lt;=90")</f>
        <v>0</v>
      </c>
      <c r="M70" s="34">
        <f>COUNTIFS(Summary!$A:$A,M$67,Summary!$AS:$AS,"Open",Summary!$AV:$AV,"Open",Summary!$AS:$AS,"Open",Summary!$BU:$BU,"&gt;60",Summary!$BU:$BU,"&lt;=90")+COUNTIFS(Summary!$A:$A,M$67,Summary!$AS:$AS,"Open",Summary!$AV:$AV,"Closed",Summary!$AS:$AS,"Open",Summary!$BU:$BU,"&gt;60",Summary!$BU:$BU,"&lt;=90")</f>
        <v>0</v>
      </c>
      <c r="N70" s="34">
        <f>COUNTIFS(Summary!$A:$A,N$67,Summary!$AS:$AS,"Open",Summary!$AV:$AV,"Open",Summary!$AS:$AS,"Open",Summary!$BU:$BU,"&gt;60",Summary!$BU:$BU,"&lt;=90")+COUNTIFS(Summary!$A:$A,N$67,Summary!$AS:$AS,"Open",Summary!$AV:$AV,"Closed",Summary!$AS:$AS,"Open",Summary!$BU:$BU,"&gt;60",Summary!$BU:$BU,"&lt;=90")</f>
        <v>0</v>
      </c>
      <c r="O70" s="34">
        <f>COUNTIFS(Summary!$A:$A,O$67,Summary!$AS:$AS,"Open",Summary!$AV:$AV,"Open",Summary!$AS:$AS,"Open",Summary!$BU:$BU,"&gt;60",Summary!$BU:$BU,"&lt;=90")+COUNTIFS(Summary!$A:$A,O$67,Summary!$AS:$AS,"Open",Summary!$AV:$AV,"Closed",Summary!$AS:$AS,"Open",Summary!$BU:$BU,"&gt;60",Summary!$BU:$BU,"&lt;=90")</f>
        <v>0</v>
      </c>
      <c r="P70" s="34">
        <f>COUNTIFS(Summary!$A:$A,P$67,Summary!$AS:$AS,"Open",Summary!$AV:$AV,"Open",Summary!$AS:$AS,"Open",Summary!$BU:$BU,"&gt;60",Summary!$BU:$BU,"&lt;=90")+COUNTIFS(Summary!$A:$A,P$67,Summary!$AS:$AS,"Open",Summary!$AV:$AV,"Closed",Summary!$AS:$AS,"Open",Summary!$BU:$BU,"&gt;60",Summary!$BU:$BU,"&lt;=90")</f>
        <v>0</v>
      </c>
      <c r="Q70" s="34">
        <f>COUNTIFS(Summary!$A:$A,Q$67,Summary!$AS:$AS,"Open",Summary!$AV:$AV,"Open",Summary!$AS:$AS,"Open",Summary!$BU:$BU,"&gt;60",Summary!$BU:$BU,"&lt;=90")+COUNTIFS(Summary!$A:$A,Q$67,Summary!$AS:$AS,"Open",Summary!$AV:$AV,"Closed",Summary!$AS:$AS,"Open",Summary!$BU:$BU,"&gt;60",Summary!$BU:$BU,"&lt;=90")</f>
        <v>0</v>
      </c>
      <c r="R70" s="34">
        <f>COUNTIFS(Summary!$A:$A,R$67,Summary!$AS:$AS,"Open",Summary!$AV:$AV,"Open",Summary!$AS:$AS,"Open",Summary!$BU:$BU,"&gt;60",Summary!$BU:$BU,"&lt;=90")+COUNTIFS(Summary!$A:$A,R$67,Summary!$AS:$AS,"Open",Summary!$AV:$AV,"Closed",Summary!$AS:$AS,"Open",Summary!$BU:$BU,"&gt;60",Summary!$BU:$BU,"&lt;=90")</f>
        <v>0</v>
      </c>
      <c r="S70" s="34">
        <f>COUNTIFS(Summary!$A:$A,S$67,Summary!$AS:$AS,"Open",Summary!$AV:$AV,"Open",Summary!$AS:$AS,"Open",Summary!$BU:$BU,"&gt;60",Summary!$BU:$BU,"&lt;=90")+COUNTIFS(Summary!$A:$A,S$67,Summary!$AS:$AS,"Open",Summary!$AV:$AV,"Closed",Summary!$AS:$AS,"Open",Summary!$BU:$BU,"&gt;60",Summary!$BU:$BU,"&lt;=90")</f>
        <v>0</v>
      </c>
      <c r="T70" s="34">
        <f>COUNTIFS(Summary!$A:$A,T$67,Summary!$AS:$AS,"Open",Summary!$AV:$AV,"Open",Summary!$AS:$AS,"Open",Summary!$BU:$BU,"&gt;60",Summary!$BU:$BU,"&lt;=90")+COUNTIFS(Summary!$A:$A,T$67,Summary!$AS:$AS,"Open",Summary!$AV:$AV,"Closed",Summary!$AS:$AS,"Open",Summary!$BU:$BU,"&gt;60",Summary!$BU:$BU,"&lt;=90")</f>
        <v>0</v>
      </c>
      <c r="U70" s="24">
        <f>SUM(C70:T70)</f>
        <v>0</v>
      </c>
    </row>
    <row r="71" spans="1:21" s="3" customFormat="1" ht="18" customHeight="1">
      <c r="A71" s="25" t="s">
        <v>81</v>
      </c>
      <c r="B71" s="26" t="s">
        <v>99</v>
      </c>
      <c r="C71" s="9">
        <f>COUNTIFS(Summary!$A:$A,C$67,Summary!$AS:$AS,"Open",Summary!$AV:$AV,"Open",Summary!$AS:$AS,"Open",Summary!$BU:$BU,"&gt;90")+COUNTIFS(Summary!$A:$A,C$67,Summary!$AS:$AS,"Open",Summary!$AV:$AV,"Closed",Summary!$AS:$AS,"Open",Summary!$BU:$BU,"&gt;60")</f>
        <v>0</v>
      </c>
      <c r="D71" s="9">
        <f>COUNTIFS(Summary!$A:$A,D$67,Summary!$AS:$AS,"Open",Summary!$AV:$AV,"Open",Summary!$AS:$AS,"Open",Summary!$BU:$BU,"&gt;90")+COUNTIFS(Summary!$A:$A,D$67,Summary!$AS:$AS,"Open",Summary!$AV:$AV,"Closed",Summary!$AS:$AS,"Open",Summary!$BU:$BU,"&gt;60")</f>
        <v>0</v>
      </c>
      <c r="E71" s="9">
        <f>COUNTIFS(Summary!$A:$A,E$67,Summary!$AS:$AS,"Open",Summary!$AV:$AV,"Open",Summary!$AS:$AS,"Open",Summary!$BU:$BU,"&gt;90")+COUNTIFS(Summary!$A:$A,E$67,Summary!$AS:$AS,"Open",Summary!$AV:$AV,"Closed",Summary!$AS:$AS,"Open",Summary!$BU:$BU,"&gt;60")</f>
        <v>0</v>
      </c>
      <c r="F71" s="9">
        <f>COUNTIFS(Summary!$A:$A,F$67,Summary!$AS:$AS,"Open",Summary!$AV:$AV,"Open",Summary!$AS:$AS,"Open",Summary!$BU:$BU,"&gt;90")+COUNTIFS(Summary!$A:$A,F$67,Summary!$AS:$AS,"Open",Summary!$AV:$AV,"Closed",Summary!$AS:$AS,"Open",Summary!$BU:$BU,"&gt;60")</f>
        <v>0</v>
      </c>
      <c r="G71" s="9">
        <f>COUNTIFS(Summary!$A:$A,G$67,Summary!$AS:$AS,"Open",Summary!$AV:$AV,"Open",Summary!$AS:$AS,"Open",Summary!$BU:$BU,"&gt;90")+COUNTIFS(Summary!$A:$A,G$67,Summary!$AS:$AS,"Open",Summary!$AV:$AV,"Closed",Summary!$AS:$AS,"Open",Summary!$BU:$BU,"&gt;60")</f>
        <v>0</v>
      </c>
      <c r="H71" s="9">
        <f>COUNTIFS(Summary!$A:$A,H$67,Summary!$AS:$AS,"Open",Summary!$AV:$AV,"Open",Summary!$AS:$AS,"Open",Summary!$BU:$BU,"&gt;90")+COUNTIFS(Summary!$A:$A,H$67,Summary!$AS:$AS,"Open",Summary!$AV:$AV,"Closed",Summary!$AS:$AS,"Open",Summary!$BU:$BU,"&gt;60")</f>
        <v>0</v>
      </c>
      <c r="I71" s="9">
        <f>COUNTIFS(Summary!$A:$A,I$67,Summary!$AS:$AS,"Open",Summary!$AV:$AV,"Open",Summary!$AS:$AS,"Open",Summary!$BU:$BU,"&gt;90")+COUNTIFS(Summary!$A:$A,I$67,Summary!$AS:$AS,"Open",Summary!$AV:$AV,"Closed",Summary!$AS:$AS,"Open",Summary!$BU:$BU,"&gt;60")</f>
        <v>0</v>
      </c>
      <c r="J71" s="9">
        <f>COUNTIFS(Summary!$A:$A,J$67,Summary!$AS:$AS,"Open",Summary!$AV:$AV,"Open",Summary!$AS:$AS,"Open",Summary!$BU:$BU,"&gt;90")+COUNTIFS(Summary!$A:$A,J$67,Summary!$AS:$AS,"Open",Summary!$AV:$AV,"Closed",Summary!$AS:$AS,"Open",Summary!$BU:$BU,"&gt;60")</f>
        <v>0</v>
      </c>
      <c r="K71" s="9">
        <f>COUNTIFS(Summary!$A:$A,K$67,Summary!$AS:$AS,"Open",Summary!$AV:$AV,"Open",Summary!$AS:$AS,"Open",Summary!$BU:$BU,"&gt;90")+COUNTIFS(Summary!$A:$A,K$67,Summary!$AS:$AS,"Open",Summary!$AV:$AV,"Closed",Summary!$AS:$AS,"Open",Summary!$BU:$BU,"&gt;60")</f>
        <v>0</v>
      </c>
      <c r="L71" s="9">
        <f>COUNTIFS(Summary!$A:$A,L$67,Summary!$AS:$AS,"Open",Summary!$AV:$AV,"Open",Summary!$AS:$AS,"Open",Summary!$BU:$BU,"&gt;90")+COUNTIFS(Summary!$A:$A,L$67,Summary!$AS:$AS,"Open",Summary!$AV:$AV,"Closed",Summary!$AS:$AS,"Open",Summary!$BU:$BU,"&gt;60")</f>
        <v>0</v>
      </c>
      <c r="M71" s="9">
        <f>COUNTIFS(Summary!$A:$A,M$67,Summary!$AS:$AS,"Open",Summary!$AV:$AV,"Open",Summary!$AS:$AS,"Open",Summary!$BU:$BU,"&gt;90")+COUNTIFS(Summary!$A:$A,M$67,Summary!$AS:$AS,"Open",Summary!$AV:$AV,"Closed",Summary!$AS:$AS,"Open",Summary!$BU:$BU,"&gt;60")</f>
        <v>0</v>
      </c>
      <c r="N71" s="9">
        <f>COUNTIFS(Summary!$A:$A,N$67,Summary!$AS:$AS,"Open",Summary!$AV:$AV,"Open",Summary!$AS:$AS,"Open",Summary!$BU:$BU,"&gt;90")+COUNTIFS(Summary!$A:$A,N$67,Summary!$AS:$AS,"Open",Summary!$AV:$AV,"Closed",Summary!$AS:$AS,"Open",Summary!$BU:$BU,"&gt;60")</f>
        <v>0</v>
      </c>
      <c r="O71" s="9">
        <f>COUNTIFS(Summary!$A:$A,O$67,Summary!$AS:$AS,"Open",Summary!$AV:$AV,"Open",Summary!$AS:$AS,"Open",Summary!$BU:$BU,"&gt;90")+COUNTIFS(Summary!$A:$A,O$67,Summary!$AS:$AS,"Open",Summary!$AV:$AV,"Closed",Summary!$AS:$AS,"Open",Summary!$BU:$BU,"&gt;60")</f>
        <v>0</v>
      </c>
      <c r="P71" s="9">
        <f>COUNTIFS(Summary!$A:$A,P$67,Summary!$AS:$AS,"Open",Summary!$AV:$AV,"Open",Summary!$AS:$AS,"Open",Summary!$BU:$BU,"&gt;90")+COUNTIFS(Summary!$A:$A,P$67,Summary!$AS:$AS,"Open",Summary!$AV:$AV,"Closed",Summary!$AS:$AS,"Open",Summary!$BU:$BU,"&gt;60")</f>
        <v>0</v>
      </c>
      <c r="Q71" s="9">
        <f>COUNTIFS(Summary!$A:$A,Q$67,Summary!$AS:$AS,"Open",Summary!$AV:$AV,"Open",Summary!$AS:$AS,"Open",Summary!$BU:$BU,"&gt;90")+COUNTIFS(Summary!$A:$A,Q$67,Summary!$AS:$AS,"Open",Summary!$AV:$AV,"Closed",Summary!$AS:$AS,"Open",Summary!$BU:$BU,"&gt;60")</f>
        <v>0</v>
      </c>
      <c r="R71" s="9">
        <f>COUNTIFS(Summary!$A:$A,R$67,Summary!$AS:$AS,"Open",Summary!$AV:$AV,"Open",Summary!$AS:$AS,"Open",Summary!$BU:$BU,"&gt;90")+COUNTIFS(Summary!$A:$A,R$67,Summary!$AS:$AS,"Open",Summary!$AV:$AV,"Closed",Summary!$AS:$AS,"Open",Summary!$BU:$BU,"&gt;60")</f>
        <v>0</v>
      </c>
      <c r="S71" s="9">
        <f>COUNTIFS(Summary!$A:$A,S$67,Summary!$AS:$AS,"Open",Summary!$AV:$AV,"Open",Summary!$AS:$AS,"Open",Summary!$BU:$BU,"&gt;90")+COUNTIFS(Summary!$A:$A,S$67,Summary!$AS:$AS,"Open",Summary!$AV:$AV,"Closed",Summary!$AS:$AS,"Open",Summary!$BU:$BU,"&gt;60")</f>
        <v>0</v>
      </c>
      <c r="T71" s="9">
        <f>COUNTIFS(Summary!$A:$A,T$67,Summary!$AS:$AS,"Open",Summary!$AV:$AV,"Open",Summary!$AS:$AS,"Open",Summary!$BU:$BU,"&gt;90")+COUNTIFS(Summary!$A:$A,T$67,Summary!$AS:$AS,"Open",Summary!$AV:$AV,"Closed",Summary!$AS:$AS,"Open",Summary!$BU:$BU,"&gt;60")</f>
        <v>0</v>
      </c>
      <c r="U71" s="28">
        <f>SUM(C71:T71)</f>
        <v>0</v>
      </c>
    </row>
    <row r="72" spans="1:21" s="3" customFormat="1" ht="18" customHeight="1">
      <c r="A72" s="11" t="s">
        <v>19</v>
      </c>
      <c r="B72" s="11"/>
      <c r="C72" s="28">
        <f t="shared" ref="C72:P72" si="12">SUM(C68:C71)</f>
        <v>0</v>
      </c>
      <c r="D72" s="28">
        <f t="shared" si="12"/>
        <v>0</v>
      </c>
      <c r="E72" s="28">
        <f t="shared" si="12"/>
        <v>0</v>
      </c>
      <c r="F72" s="28">
        <f t="shared" si="12"/>
        <v>0</v>
      </c>
      <c r="G72" s="28">
        <f t="shared" si="12"/>
        <v>0</v>
      </c>
      <c r="H72" s="28">
        <f t="shared" si="12"/>
        <v>0</v>
      </c>
      <c r="I72" s="28">
        <f t="shared" si="12"/>
        <v>0</v>
      </c>
      <c r="J72" s="28">
        <f t="shared" si="12"/>
        <v>0</v>
      </c>
      <c r="K72" s="28">
        <f t="shared" si="12"/>
        <v>0</v>
      </c>
      <c r="L72" s="28">
        <f t="shared" si="12"/>
        <v>0</v>
      </c>
      <c r="M72" s="28">
        <f t="shared" si="12"/>
        <v>0</v>
      </c>
      <c r="N72" s="28">
        <f t="shared" si="12"/>
        <v>0</v>
      </c>
      <c r="O72" s="28">
        <f t="shared" si="12"/>
        <v>0</v>
      </c>
      <c r="P72" s="28">
        <f t="shared" si="12"/>
        <v>0</v>
      </c>
      <c r="Q72" s="28">
        <f>SUM(Q68:Q71)</f>
        <v>0</v>
      </c>
      <c r="R72" s="28">
        <f>SUM(R68:R71)</f>
        <v>0</v>
      </c>
      <c r="S72" s="28">
        <f>SUM(S68:S71)</f>
        <v>0</v>
      </c>
      <c r="T72" s="28">
        <f>SUM(T68:T71)</f>
        <v>0</v>
      </c>
      <c r="U72" s="28">
        <f>SUM(C72:T72)</f>
        <v>0</v>
      </c>
    </row>
  </sheetData>
  <conditionalFormatting sqref="C9:T9">
    <cfRule type="cellIs" dxfId="152" priority="36" operator="greaterThan">
      <formula>0</formula>
    </cfRule>
  </conditionalFormatting>
  <conditionalFormatting sqref="C10:T11">
    <cfRule type="cellIs" dxfId="151" priority="17" operator="greaterThan">
      <formula>0</formula>
    </cfRule>
  </conditionalFormatting>
  <conditionalFormatting sqref="C12:T12">
    <cfRule type="cellIs" dxfId="150" priority="35" operator="greaterThan">
      <formula>0</formula>
    </cfRule>
  </conditionalFormatting>
  <conditionalFormatting sqref="C17:T17">
    <cfRule type="cellIs" dxfId="149" priority="18" operator="greaterThan">
      <formula>0</formula>
    </cfRule>
  </conditionalFormatting>
  <conditionalFormatting sqref="C18:T18">
    <cfRule type="cellIs" dxfId="148" priority="13" operator="greaterThan">
      <formula>0</formula>
    </cfRule>
  </conditionalFormatting>
  <conditionalFormatting sqref="C19:T19">
    <cfRule type="cellIs" dxfId="147" priority="12" operator="greaterThan">
      <formula>0</formula>
    </cfRule>
  </conditionalFormatting>
  <conditionalFormatting sqref="C20:T20">
    <cfRule type="cellIs" dxfId="146" priority="21" operator="greaterThan">
      <formula>0</formula>
    </cfRule>
  </conditionalFormatting>
  <conditionalFormatting sqref="C21:T21">
    <cfRule type="cellIs" dxfId="145" priority="20" operator="greaterThan">
      <formula>0</formula>
    </cfRule>
  </conditionalFormatting>
  <conditionalFormatting sqref="C22:T22">
    <cfRule type="cellIs" dxfId="144" priority="19" operator="greaterThan">
      <formula>0</formula>
    </cfRule>
  </conditionalFormatting>
  <conditionalFormatting sqref="C23:T23">
    <cfRule type="cellIs" dxfId="143" priority="14" operator="greaterThan">
      <formula>1</formula>
    </cfRule>
  </conditionalFormatting>
  <conditionalFormatting sqref="C24:T24">
    <cfRule type="cellIs" dxfId="142" priority="16" operator="greaterThan">
      <formula>0</formula>
    </cfRule>
  </conditionalFormatting>
  <conditionalFormatting sqref="C25:T25">
    <cfRule type="cellIs" dxfId="141" priority="15" operator="greaterThan">
      <formula>0</formula>
    </cfRule>
  </conditionalFormatting>
  <conditionalFormatting sqref="C30:T30">
    <cfRule type="cellIs" dxfId="140" priority="9" operator="greaterThan">
      <formula>0</formula>
    </cfRule>
  </conditionalFormatting>
  <conditionalFormatting sqref="C31:T31">
    <cfRule type="cellIs" dxfId="139" priority="8" operator="greaterThan">
      <formula>0</formula>
    </cfRule>
  </conditionalFormatting>
  <conditionalFormatting sqref="C32:T32">
    <cfRule type="cellIs" dxfId="138" priority="7" operator="greaterThan">
      <formula>0</formula>
    </cfRule>
  </conditionalFormatting>
  <conditionalFormatting sqref="C33:T33">
    <cfRule type="cellIs" dxfId="137" priority="11" operator="greaterThan">
      <formula>0</formula>
    </cfRule>
  </conditionalFormatting>
  <conditionalFormatting sqref="C34:T34">
    <cfRule type="cellIs" dxfId="136" priority="10" operator="greaterThan">
      <formula>0</formula>
    </cfRule>
  </conditionalFormatting>
  <conditionalFormatting sqref="C35:T35">
    <cfRule type="cellIs" dxfId="135" priority="6" operator="greaterThan">
      <formula>0</formula>
    </cfRule>
  </conditionalFormatting>
  <conditionalFormatting sqref="C40:T40">
    <cfRule type="cellIs" dxfId="134" priority="2" operator="greaterThan">
      <formula>0</formula>
    </cfRule>
  </conditionalFormatting>
  <conditionalFormatting sqref="C41:T41">
    <cfRule type="cellIs" dxfId="133" priority="5" operator="greaterThan">
      <formula>0</formula>
    </cfRule>
  </conditionalFormatting>
  <conditionalFormatting sqref="C42:T42">
    <cfRule type="cellIs" dxfId="132" priority="4" operator="greaterThan">
      <formula>0</formula>
    </cfRule>
  </conditionalFormatting>
  <conditionalFormatting sqref="C43:T43">
    <cfRule type="cellIs" dxfId="131" priority="3" operator="greaterThan">
      <formula>0</formula>
    </cfRule>
  </conditionalFormatting>
  <conditionalFormatting sqref="C44:T44">
    <cfRule type="cellIs" dxfId="130" priority="1" operator="greaterThan">
      <formula>1</formula>
    </cfRule>
  </conditionalFormatting>
  <conditionalFormatting sqref="C50:T50">
    <cfRule type="cellIs" dxfId="129" priority="30" operator="greaterThan">
      <formula>0</formula>
    </cfRule>
  </conditionalFormatting>
  <conditionalFormatting sqref="C51:T51">
    <cfRule type="cellIs" dxfId="128" priority="29" operator="greaterThan">
      <formula>0</formula>
    </cfRule>
  </conditionalFormatting>
  <conditionalFormatting sqref="C52:T52">
    <cfRule type="cellIs" dxfId="127" priority="23" operator="greaterThan">
      <formula>0</formula>
    </cfRule>
  </conditionalFormatting>
  <conditionalFormatting sqref="C53:T53">
    <cfRule type="cellIs" dxfId="126" priority="31" operator="greaterThan">
      <formula>0</formula>
    </cfRule>
  </conditionalFormatting>
  <conditionalFormatting sqref="C59:T59">
    <cfRule type="cellIs" dxfId="125" priority="25" operator="greaterThan">
      <formula>0</formula>
    </cfRule>
  </conditionalFormatting>
  <conditionalFormatting sqref="C60:T60">
    <cfRule type="cellIs" dxfId="124" priority="33" operator="greaterThan">
      <formula>0</formula>
    </cfRule>
  </conditionalFormatting>
  <conditionalFormatting sqref="C61:T61">
    <cfRule type="cellIs" dxfId="123" priority="32" operator="greaterThan">
      <formula>0</formula>
    </cfRule>
  </conditionalFormatting>
  <conditionalFormatting sqref="C62:T62">
    <cfRule type="cellIs" dxfId="122" priority="24" operator="greaterThan">
      <formula>0</formula>
    </cfRule>
  </conditionalFormatting>
  <conditionalFormatting sqref="C63:T63">
    <cfRule type="cellIs" dxfId="121" priority="34" operator="greaterThan">
      <formula>0</formula>
    </cfRule>
  </conditionalFormatting>
  <conditionalFormatting sqref="C68:T68">
    <cfRule type="cellIs" dxfId="120" priority="28" operator="greaterThan">
      <formula>0</formula>
    </cfRule>
  </conditionalFormatting>
  <conditionalFormatting sqref="C69:T69">
    <cfRule type="cellIs" dxfId="119" priority="27" operator="greaterThan">
      <formula>0</formula>
    </cfRule>
  </conditionalFormatting>
  <conditionalFormatting sqref="C70:T70">
    <cfRule type="cellIs" dxfId="118" priority="22" operator="greaterThan">
      <formula>0</formula>
    </cfRule>
  </conditionalFormatting>
  <conditionalFormatting sqref="C71:T71">
    <cfRule type="cellIs" dxfId="117" priority="26" operator="greaterThan">
      <formula>0</formula>
    </cfRule>
  </conditionalFormatting>
  <printOptions horizontalCentered="1"/>
  <pageMargins left="0.7" right="0.7" top="0.75" bottom="0.75" header="0.3" footer="0.3"/>
  <pageSetup paperSize="9"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E36F7-88E7-4137-843E-BD87F67F7023}">
  <sheetPr>
    <tabColor rgb="FF817971"/>
    <pageSetUpPr autoPageBreaks="0" fitToPage="1"/>
  </sheetPr>
  <dimension ref="A1:CI194"/>
  <sheetViews>
    <sheetView zoomScale="70" zoomScaleNormal="70" zoomScaleSheetLayoutView="55" workbookViewId="0">
      <pane xSplit="16" ySplit="17" topLeftCell="Q177" activePane="bottomRight" state="frozen"/>
      <selection pane="topRight" activeCell="BR152" sqref="BR152"/>
      <selection pane="bottomLeft" activeCell="BR152" sqref="BR152"/>
      <selection pane="bottomRight" activeCell="A194" sqref="A194"/>
    </sheetView>
  </sheetViews>
  <sheetFormatPr baseColWidth="10" defaultColWidth="8.796875" defaultRowHeight="13" outlineLevelRow="1" outlineLevelCol="1"/>
  <cols>
    <col min="1" max="1" width="15.19921875" style="50" customWidth="1"/>
    <col min="2" max="2" width="13.796875" style="50" customWidth="1"/>
    <col min="3" max="4" width="19.796875" style="50" customWidth="1"/>
    <col min="5" max="5" width="22.19921875" style="50" hidden="1" customWidth="1"/>
    <col min="6" max="6" width="31.19921875" style="51" customWidth="1"/>
    <col min="7" max="7" width="39.796875" style="51" customWidth="1"/>
    <col min="8" max="8" width="33.19921875" style="51" customWidth="1"/>
    <col min="9" max="9" width="24.796875" style="51" customWidth="1"/>
    <col min="10" max="15" width="5.796875" style="52" hidden="1" customWidth="1" outlineLevel="1"/>
    <col min="16" max="16" width="0.796875" style="53" customWidth="1" collapsed="1"/>
    <col min="17" max="17" width="39.19921875" style="51" customWidth="1"/>
    <col min="18" max="18" width="26.19921875" style="51" customWidth="1"/>
    <col min="19" max="19" width="11.19921875" style="51" bestFit="1" customWidth="1"/>
    <col min="20" max="20" width="0.796875" style="53" customWidth="1"/>
    <col min="21" max="21" width="22.19921875" style="51" bestFit="1" customWidth="1"/>
    <col min="22" max="22" width="19.19921875" style="51" customWidth="1"/>
    <col min="23" max="23" width="17.19921875" style="51" customWidth="1"/>
    <col min="24" max="24" width="0.796875" style="53" customWidth="1"/>
    <col min="25" max="25" width="100.19921875" style="54" customWidth="1"/>
    <col min="26" max="26" width="1.19921875" style="53" customWidth="1"/>
    <col min="27" max="27" width="33.796875" style="51" customWidth="1"/>
    <col min="28" max="28" width="15.19921875" style="51" customWidth="1"/>
    <col min="29" max="29" width="28.19921875" style="51" customWidth="1"/>
    <col min="30" max="30" width="15.796875" style="51" customWidth="1"/>
    <col min="31" max="31" width="0.796875" style="202" customWidth="1"/>
    <col min="32" max="33" width="17.19921875" style="51" customWidth="1"/>
    <col min="34" max="34" width="16.796875" style="51" customWidth="1"/>
    <col min="35" max="35" width="17.19921875" style="51" customWidth="1"/>
    <col min="36" max="37" width="18.19921875" style="51" customWidth="1"/>
    <col min="38" max="38" width="0.796875" style="53" customWidth="1"/>
    <col min="39" max="39" width="18.19921875" style="51" customWidth="1"/>
    <col min="40" max="40" width="17.796875" style="51" customWidth="1"/>
    <col min="41" max="41" width="15.19921875" style="51" customWidth="1"/>
    <col min="42" max="42" width="0.796875" style="202" customWidth="1"/>
    <col min="43" max="45" width="20.796875" style="50" customWidth="1"/>
    <col min="46" max="46" width="15.796875" style="51" customWidth="1"/>
    <col min="47" max="47" width="153.796875" style="55" customWidth="1"/>
    <col min="48" max="50" width="24" style="56" hidden="1" customWidth="1"/>
    <col min="51" max="53" width="17.19921875" style="51" customWidth="1"/>
    <col min="54" max="54" width="0.796875" style="51" customWidth="1"/>
    <col min="55" max="61" width="17.19921875" style="51" hidden="1" customWidth="1" outlineLevel="1"/>
    <col min="62" max="62" width="3.796875" style="51" customWidth="1" collapsed="1"/>
    <col min="63" max="65" width="17.19921875" style="51" customWidth="1"/>
    <col min="66" max="66" width="18.796875" style="56" customWidth="1"/>
    <col min="67" max="70" width="18.19921875" style="51" customWidth="1"/>
    <col min="71" max="71" width="0.796875" style="51" customWidth="1"/>
    <col min="72" max="73" width="18.19921875" style="51" customWidth="1"/>
    <col min="74" max="74" width="17.19921875" style="51" customWidth="1"/>
    <col min="75" max="77" width="18.19921875" style="51" customWidth="1"/>
    <col min="78" max="78" width="0.796875" style="51" customWidth="1"/>
    <col min="79" max="79" width="10.19921875" style="51" customWidth="1"/>
    <col min="80" max="80" width="10.796875" style="50" customWidth="1"/>
    <col min="81" max="81" width="12.796875" style="51" customWidth="1"/>
    <col min="82" max="82" width="13.19921875" style="51" bestFit="1" customWidth="1"/>
    <col min="83" max="84" width="8.796875" style="51"/>
    <col min="85" max="85" width="26.3984375" style="51" customWidth="1"/>
    <col min="86" max="86" width="21.19921875" style="51" bestFit="1" customWidth="1"/>
    <col min="87" max="87" width="18.796875" style="51" customWidth="1"/>
    <col min="88" max="16384" width="8.796875" style="51"/>
  </cols>
  <sheetData>
    <row r="1" spans="1:87" hidden="1" outlineLevel="1">
      <c r="X1" s="51"/>
      <c r="Z1" s="51"/>
      <c r="AE1" s="51"/>
      <c r="AL1" s="51"/>
      <c r="AP1" s="51"/>
    </row>
    <row r="2" spans="1:87" ht="35" hidden="1" outlineLevel="1">
      <c r="A2" s="57" t="s">
        <v>100</v>
      </c>
      <c r="B2" s="58"/>
      <c r="X2" s="51"/>
      <c r="Z2" s="51"/>
      <c r="AE2" s="51"/>
      <c r="AL2" s="51"/>
      <c r="AP2" s="51"/>
      <c r="BE2" s="59" t="s">
        <v>101</v>
      </c>
      <c r="BF2" s="60"/>
      <c r="BG2" s="61"/>
      <c r="BH2" s="61"/>
      <c r="BI2" s="59" t="s">
        <v>102</v>
      </c>
      <c r="BJ2" s="62"/>
      <c r="BK2" s="61"/>
    </row>
    <row r="3" spans="1:87" ht="16.5" hidden="1" customHeight="1" outlineLevel="1">
      <c r="A3" s="63" t="s">
        <v>103</v>
      </c>
      <c r="B3" s="64"/>
      <c r="X3" s="51"/>
      <c r="Y3" s="65"/>
      <c r="Z3" s="51"/>
      <c r="AE3" s="51"/>
      <c r="AL3" s="51"/>
      <c r="AP3" s="51"/>
      <c r="AS3" s="66" t="s">
        <v>104</v>
      </c>
      <c r="AT3" s="67"/>
      <c r="BE3" s="68"/>
      <c r="BF3" s="69" t="s">
        <v>105</v>
      </c>
      <c r="BG3" s="61"/>
      <c r="BH3" s="61"/>
      <c r="BI3" s="68"/>
      <c r="BJ3" s="70" t="s">
        <v>106</v>
      </c>
      <c r="BK3" s="59"/>
    </row>
    <row r="4" spans="1:87" ht="16.5" hidden="1" customHeight="1" outlineLevel="1">
      <c r="E4" s="51"/>
      <c r="G4" s="71"/>
      <c r="X4" s="51"/>
      <c r="Z4" s="51"/>
      <c r="AE4" s="51"/>
      <c r="AL4" s="51"/>
      <c r="AP4" s="51"/>
      <c r="AS4" s="72" t="s">
        <v>37</v>
      </c>
      <c r="AT4" s="73" cm="1">
        <f t="array" aca="1" ref="AT4" ca="1">SUMPRODUCT(SUBTOTAL(3,OFFSET($AT$16:$AT$194,ROW($AT$16:$AT$194)-ROW($AT$16),0,1)),--($AT$16:$AT$194=$AS4))</f>
        <v>24</v>
      </c>
      <c r="BE4" s="74"/>
      <c r="BF4" s="69" t="s">
        <v>107</v>
      </c>
      <c r="BG4" s="61"/>
      <c r="BH4" s="61"/>
      <c r="BI4" s="74"/>
      <c r="BJ4" s="70" t="s">
        <v>108</v>
      </c>
      <c r="BK4" s="59"/>
    </row>
    <row r="5" spans="1:87" ht="16.5" hidden="1" customHeight="1" outlineLevel="1">
      <c r="B5" s="75" t="s">
        <v>109</v>
      </c>
      <c r="C5" s="76" t="s">
        <v>110</v>
      </c>
      <c r="E5" s="76" t="s">
        <v>110</v>
      </c>
      <c r="G5" s="71"/>
      <c r="X5" s="51"/>
      <c r="Y5" s="51"/>
      <c r="Z5" s="51"/>
      <c r="AE5" s="51"/>
      <c r="AL5" s="51"/>
      <c r="AP5" s="51"/>
      <c r="AS5" s="77" t="s">
        <v>39</v>
      </c>
      <c r="AT5" s="73" cm="1">
        <f t="array" aca="1" ref="AT5" ca="1">SUMPRODUCT(SUBTOTAL(3,OFFSET($AT$16:$AT$194,ROW($AT$16:$AT$194)-ROW($AT$16),0,1)),--($AT$16:$AT$194=$AS5))</f>
        <v>0</v>
      </c>
      <c r="BE5" s="78"/>
      <c r="BF5" s="69" t="s">
        <v>111</v>
      </c>
      <c r="BG5" s="61"/>
      <c r="BH5" s="61"/>
      <c r="BI5" s="78"/>
      <c r="BJ5" s="70" t="s">
        <v>112</v>
      </c>
      <c r="BK5" s="59"/>
      <c r="BT5" s="79"/>
    </row>
    <row r="6" spans="1:87" ht="16.5" hidden="1" customHeight="1" outlineLevel="1">
      <c r="B6" s="75" t="s">
        <v>113</v>
      </c>
      <c r="C6" s="80" t="s">
        <v>114</v>
      </c>
      <c r="E6" s="80" t="s">
        <v>114</v>
      </c>
      <c r="G6" s="81" t="str">
        <f>IF(Program_01!F6="Insert Entry Date for Newly Added Claims","Insert Entry Date for Newly Added Claims in Prog 01",IF([1]Program_02!F6="Insert Entry Date for Newly Added Claims","Insert Entry Date for Newly Added Claims in Prog 02",IF([1]Program_03!F6="Insert Entry Date for Newly Added Claims,","Insert Entry Date for Newly Added Claims in Prog 03",IF([1]Program_04!F6="Insert Entry Date for Newly Added Claims","Insert Entry Date for Newly Added Claims in Prog 04",IF([1]Program_05!F6="Insert Entry Date for Newly Added Claims","Insert Entry Date for Newly Added Claims in Prog 05",IF([1]Program_06!F6="Insert Entry Date for Newly Added Claims","Insert Entry Date for Newly Added Claims in Prog 06",IF([1]Program_07!F6="Insert Entry Date for Newly Added Claims","Insert Entry Date for Newly Added Claims in Prog 07",IF([1]Program_08!F6="Insert Entry Date for Newly Added Claims","Insert Entry Date for Newly Added Claims in Prog 08",IF([1]Program_09!F6="Insert Entry Date for Newly Added Claims","Insert Entry Date for Newly Added Claims in Prog 09",IF([1]Program_10!F6="Insert Entry Date for Newly Added Claims","Insert Entry Date for Newly Added Claims in Prog 10",IF([1]Program_11!F6="Insert Entry Date for Newly Added Claims","Insert Entry Date for Newly Added Claims in Prog 11",IF([1]Program_12!F6="Insert Entry Date for Newly Added Claims","Insert Entry Date for Newly Added Claims in Prog 12",IF([1]Program_16!F6="Insert Entry Date for Newly Added Claims","Insert Entry Date for Newly Added Claims in Prog 16","")))))))))))))</f>
        <v/>
      </c>
      <c r="X6" s="51"/>
      <c r="Z6" s="51"/>
      <c r="AE6" s="51"/>
      <c r="AL6" s="51"/>
      <c r="AP6" s="51"/>
      <c r="AS6" s="72" t="s">
        <v>43</v>
      </c>
      <c r="AT6" s="73" cm="1">
        <f t="array" aca="1" ref="AT6" ca="1">SUMPRODUCT(SUBTOTAL(3,OFFSET($AT$16:$AT$194,ROW($AT$16:$AT$194)-ROW($AT$16),0,1)),--($AT$16:$AT$194=$AS6))</f>
        <v>33</v>
      </c>
      <c r="BE6" s="82"/>
      <c r="BF6" s="69" t="s">
        <v>115</v>
      </c>
      <c r="BG6" s="61"/>
      <c r="BH6" s="61"/>
      <c r="BI6" s="82"/>
      <c r="BJ6" s="70" t="s">
        <v>116</v>
      </c>
      <c r="BK6" s="59"/>
    </row>
    <row r="7" spans="1:87" ht="16.5" hidden="1" customHeight="1" outlineLevel="1">
      <c r="B7" s="75" t="s">
        <v>117</v>
      </c>
      <c r="C7" s="83">
        <v>46162</v>
      </c>
      <c r="E7" s="83">
        <v>45904</v>
      </c>
      <c r="Q7" s="84"/>
      <c r="W7" s="85" t="s">
        <v>118</v>
      </c>
      <c r="X7" s="51"/>
      <c r="Z7" s="51"/>
      <c r="AE7" s="51"/>
      <c r="AL7" s="51"/>
      <c r="AP7" s="51"/>
      <c r="AS7" s="72" t="s">
        <v>45</v>
      </c>
      <c r="AT7" s="73" cm="1">
        <f t="array" aca="1" ref="AT7" ca="1">SUMPRODUCT(SUBTOTAL(3,OFFSET($AT$16:$AT$194,ROW($AT$16:$AT$194)-ROW($AT$16),0,1)),--($AT$16:$AT$194=$AS7))</f>
        <v>9</v>
      </c>
      <c r="BE7" s="61"/>
      <c r="BF7" s="61"/>
      <c r="BG7" s="61"/>
      <c r="BH7" s="61"/>
      <c r="BI7" s="61"/>
      <c r="BJ7" s="61"/>
      <c r="BK7" s="61"/>
      <c r="BM7" s="59" t="s">
        <v>119</v>
      </c>
      <c r="BN7" s="79"/>
      <c r="BP7" s="59" t="s">
        <v>120</v>
      </c>
      <c r="BQ7" s="61"/>
      <c r="BU7" s="86" t="s">
        <v>121</v>
      </c>
      <c r="BV7" s="79"/>
    </row>
    <row r="8" spans="1:87" ht="16.5" hidden="1" customHeight="1" outlineLevel="1">
      <c r="A8" s="87"/>
      <c r="B8" s="87"/>
      <c r="C8" s="88"/>
      <c r="D8" s="88"/>
      <c r="E8" s="89"/>
      <c r="F8" s="90"/>
      <c r="Q8" s="84"/>
      <c r="W8" s="91"/>
      <c r="X8" s="51"/>
      <c r="Y8" s="92" t="s">
        <v>106</v>
      </c>
      <c r="Z8" s="51"/>
      <c r="AE8" s="51"/>
      <c r="AL8" s="51"/>
      <c r="AP8" s="51"/>
      <c r="AS8" s="72" t="s">
        <v>47</v>
      </c>
      <c r="AT8" s="73" cm="1">
        <f t="array" aca="1" ref="AT8" ca="1">SUMPRODUCT(SUBTOTAL(3,OFFSET($AT$16:$AT$194,ROW($AT$16:$AT$194)-ROW($AT$16),0,1)),--($AT$16:$AT$194=$AS8))</f>
        <v>4</v>
      </c>
      <c r="AU8" s="93"/>
      <c r="BE8" s="59" t="s">
        <v>122</v>
      </c>
      <c r="BF8" s="62"/>
      <c r="BG8" s="61"/>
      <c r="BH8" s="61"/>
      <c r="BI8" s="61"/>
      <c r="BJ8" s="61"/>
      <c r="BK8" s="61"/>
      <c r="BM8" s="91"/>
      <c r="BN8" s="92" t="s">
        <v>123</v>
      </c>
      <c r="BP8" s="68"/>
      <c r="BQ8" s="92" t="s">
        <v>105</v>
      </c>
      <c r="BU8" s="91"/>
      <c r="BV8" s="92" t="s">
        <v>124</v>
      </c>
    </row>
    <row r="9" spans="1:87" ht="16.5" hidden="1" customHeight="1" outlineLevel="1">
      <c r="A9" s="87"/>
      <c r="B9" s="87"/>
      <c r="C9" s="88"/>
      <c r="D9" s="88"/>
      <c r="E9" s="89"/>
      <c r="F9" s="90"/>
      <c r="Q9" s="84"/>
      <c r="W9" s="94"/>
      <c r="X9" s="51"/>
      <c r="Y9" s="92" t="s">
        <v>108</v>
      </c>
      <c r="Z9" s="51"/>
      <c r="AE9" s="51"/>
      <c r="AL9" s="51"/>
      <c r="AP9" s="51"/>
      <c r="AS9" s="95" t="s">
        <v>49</v>
      </c>
      <c r="AT9" s="73" cm="1">
        <f t="array" aca="1" ref="AT9" ca="1">SUMPRODUCT(SUBTOTAL(3,OFFSET($AT$16:$AT$194,ROW($AT$16:$AT$194)-ROW($AT$16),0,1)),--($AT$16:$AT$194=$AS9))</f>
        <v>0</v>
      </c>
      <c r="AU9" s="93"/>
      <c r="AV9" s="96"/>
      <c r="AW9" s="96"/>
      <c r="AX9" s="96"/>
      <c r="BE9" s="68"/>
      <c r="BF9" s="69" t="s">
        <v>125</v>
      </c>
      <c r="BG9" s="61"/>
      <c r="BH9" s="61"/>
      <c r="BI9" s="61"/>
      <c r="BJ9" s="61"/>
      <c r="BK9" s="61"/>
      <c r="BM9" s="94"/>
      <c r="BN9" s="92" t="s">
        <v>126</v>
      </c>
      <c r="BP9" s="74"/>
      <c r="BQ9" s="92" t="s">
        <v>107</v>
      </c>
      <c r="BU9" s="94"/>
      <c r="BV9" s="92" t="s">
        <v>127</v>
      </c>
    </row>
    <row r="10" spans="1:87" ht="16.5" hidden="1" customHeight="1" outlineLevel="1">
      <c r="A10" s="87"/>
      <c r="B10" s="87"/>
      <c r="C10" s="88"/>
      <c r="D10" s="88"/>
      <c r="E10" s="89"/>
      <c r="F10" s="90"/>
      <c r="Q10" s="84"/>
      <c r="W10" s="97"/>
      <c r="X10" s="51"/>
      <c r="Y10" s="92" t="s">
        <v>112</v>
      </c>
      <c r="Z10" s="51"/>
      <c r="AE10" s="51"/>
      <c r="AL10" s="51"/>
      <c r="AP10" s="51"/>
      <c r="AS10" s="98" t="s">
        <v>51</v>
      </c>
      <c r="AT10" s="73" cm="1">
        <f t="array" aca="1" ref="AT10" ca="1">SUMPRODUCT(SUBTOTAL(3,OFFSET($AT$16:$AT$194,ROW($AT$16:$AT$194)-ROW($AT$16),0,1)),--($AT$16:$AT$194=$AS10))</f>
        <v>0</v>
      </c>
      <c r="AU10" s="93"/>
      <c r="AV10" s="99" t="s">
        <v>128</v>
      </c>
      <c r="AW10" s="99" t="s">
        <v>128</v>
      </c>
      <c r="AX10" s="99"/>
      <c r="BE10" s="74"/>
      <c r="BF10" s="69" t="s">
        <v>129</v>
      </c>
      <c r="BG10" s="61"/>
      <c r="BH10" s="61"/>
      <c r="BI10" s="61"/>
      <c r="BJ10" s="61"/>
      <c r="BK10" s="61"/>
      <c r="BM10" s="97"/>
      <c r="BN10" s="92" t="s">
        <v>130</v>
      </c>
      <c r="BP10" s="78"/>
      <c r="BQ10" s="92" t="s">
        <v>131</v>
      </c>
      <c r="BU10" s="97"/>
      <c r="BV10" s="92" t="s">
        <v>132</v>
      </c>
    </row>
    <row r="11" spans="1:87" ht="16.5" hidden="1" customHeight="1" outlineLevel="1">
      <c r="A11" s="87"/>
      <c r="B11" s="87"/>
      <c r="C11" s="88"/>
      <c r="D11" s="88"/>
      <c r="E11" s="89"/>
      <c r="F11" s="90"/>
      <c r="Q11" s="84"/>
      <c r="W11" s="100"/>
      <c r="X11" s="51"/>
      <c r="Y11" s="92" t="s">
        <v>116</v>
      </c>
      <c r="Z11" s="51"/>
      <c r="AE11" s="51"/>
      <c r="AL11" s="51"/>
      <c r="AP11" s="51"/>
      <c r="AS11" s="101" t="s">
        <v>133</v>
      </c>
      <c r="AT11" s="73" cm="1">
        <f t="array" aca="1" ref="AT11" ca="1">SUMPRODUCT(SUBTOTAL(3,OFFSET($AT$16:$AT$194,ROW($AT$16:$AT$194)-ROW($AT$16),0,1)),--($AT$16:$AT$194=$AS11))</f>
        <v>0</v>
      </c>
      <c r="AU11" s="93"/>
      <c r="AV11" s="102" cm="1">
        <f t="array" aca="1" ref="AV11" ca="1">SUMPRODUCT(SUBTOTAL(3,OFFSET($AV$17:$AV$194,ROW($AV$17:$AV$194)-ROW($AV$17),0,1)),--($AV$17:$AV$194=$AV10))</f>
        <v>0</v>
      </c>
      <c r="AW11" s="102" cm="1">
        <f t="array" aca="1" ref="AW11" ca="1">SUMPRODUCT(SUBTOTAL(3,OFFSET($AW$17:$AW$194,ROW($AW$17:$AW$194)-ROW($AW$17),0,1)),--($AW$17:$AW$194=$AW10))</f>
        <v>83</v>
      </c>
      <c r="AX11" s="102"/>
      <c r="BE11" s="78"/>
      <c r="BF11" s="69" t="s">
        <v>134</v>
      </c>
      <c r="BG11" s="61"/>
      <c r="BH11" s="61"/>
      <c r="BI11" s="61"/>
      <c r="BJ11" s="61"/>
      <c r="BK11" s="61"/>
      <c r="BM11" s="100"/>
      <c r="BN11" s="92" t="s">
        <v>135</v>
      </c>
      <c r="BP11" s="82"/>
      <c r="BQ11" s="92" t="s">
        <v>136</v>
      </c>
      <c r="BU11" s="100"/>
      <c r="BV11" s="92" t="s">
        <v>137</v>
      </c>
    </row>
    <row r="12" spans="1:87" ht="16.5" hidden="1" customHeight="1" outlineLevel="1">
      <c r="X12" s="51"/>
      <c r="Z12" s="51"/>
      <c r="AE12" s="51"/>
      <c r="AL12" s="51"/>
      <c r="AM12" s="103" t="s">
        <v>138</v>
      </c>
      <c r="AN12" s="103"/>
      <c r="AO12" s="104" cm="1">
        <f t="array" aca="1" ref="AO12" ca="1">SUMPRODUCT(SUBTOTAL(3,OFFSET($AN$17:$AN$194,ROW($AN$17:$AN$194)-ROW($AN$17),0,1)),--($AN$17:$AN$194="Yes"))</f>
        <v>7</v>
      </c>
      <c r="AP12" s="51"/>
      <c r="AS12" s="105" t="s">
        <v>53</v>
      </c>
      <c r="AT12" s="73" cm="1">
        <f t="array" aca="1" ref="AT12" ca="1">SUMPRODUCT(SUBTOTAL(3,OFFSET($AT$16:$AT$194,ROW($AT$16:$AT$194)-ROW($AT$16),0,1)),--($AT$16:$AT$194=$AS12))</f>
        <v>3</v>
      </c>
      <c r="AV12" s="106" t="s">
        <v>139</v>
      </c>
      <c r="AW12" s="106" t="s">
        <v>139</v>
      </c>
      <c r="AX12" s="106"/>
      <c r="BE12" s="82"/>
      <c r="BF12" s="69" t="s">
        <v>140</v>
      </c>
      <c r="BG12" s="61"/>
      <c r="BH12" s="61"/>
      <c r="BI12" s="61"/>
      <c r="BJ12" s="61"/>
      <c r="BK12" s="61"/>
    </row>
    <row r="13" spans="1:87" ht="16" hidden="1" outlineLevel="1">
      <c r="X13" s="51"/>
      <c r="Z13" s="51"/>
      <c r="AE13" s="51"/>
      <c r="AL13" s="51"/>
      <c r="AM13" s="103" t="s">
        <v>141</v>
      </c>
      <c r="AN13" s="103"/>
      <c r="AO13" s="104" cm="1">
        <f t="array" aca="1" ref="AO13" ca="1">SUMPRODUCT(SUBTOTAL(3,OFFSET($AO$17:$AO$194,ROW($AO$17:$AO$194)-ROW($AO$17),0,1)),--($AO$17:$AO$194="Yes"))</f>
        <v>4</v>
      </c>
      <c r="AP13" s="51"/>
      <c r="AS13" s="105" t="s">
        <v>64</v>
      </c>
      <c r="AT13" s="73" cm="1">
        <f t="array" aca="1" ref="AT13" ca="1">SUMPRODUCT(SUBTOTAL(3,OFFSET($AT$16:$AT$194,ROW($AT$16:$AT$194)-ROW($AT$16),0,1)),--($AT$16:$AT$194=$AS13))</f>
        <v>0</v>
      </c>
      <c r="AV13" s="102" cm="1">
        <f t="array" aca="1" ref="AV13" ca="1">SUMPRODUCT(SUBTOTAL(3,OFFSET($AV$17:$AV$194,ROW($AV$17:$AV$194)-ROW($AV$17),0,1)),--($AV$17:$AV$194=$AV12))</f>
        <v>9</v>
      </c>
      <c r="AW13" s="102" cm="1">
        <f t="array" aca="1" ref="AW13" ca="1">SUMPRODUCT(SUBTOTAL(3,OFFSET($AW$17:$AW$194,ROW($AW$17:$AW$194)-ROW($AW$17),0,1)),--($AW$17:$AW$194=$AW12))</f>
        <v>70</v>
      </c>
      <c r="AX13" s="102"/>
      <c r="BE13" s="61"/>
      <c r="BF13" s="61"/>
      <c r="BG13" s="61"/>
      <c r="BH13" s="61"/>
      <c r="BI13" s="61"/>
      <c r="BJ13" s="61"/>
      <c r="BK13" s="61"/>
    </row>
    <row r="14" spans="1:87" ht="16" hidden="1" outlineLevel="1">
      <c r="X14" s="51"/>
      <c r="Z14" s="51"/>
      <c r="AE14" s="51"/>
      <c r="AL14" s="51"/>
      <c r="AP14" s="51"/>
      <c r="BD14" s="107" t="s">
        <v>142</v>
      </c>
      <c r="BE14" s="108"/>
      <c r="BF14" s="109" t="s">
        <v>45</v>
      </c>
      <c r="BG14" s="110"/>
      <c r="BH14" s="111" t="s">
        <v>142</v>
      </c>
      <c r="BI14" s="112"/>
    </row>
    <row r="15" spans="1:87" s="118" customFormat="1" ht="17" collapsed="1">
      <c r="A15" s="113" t="s">
        <v>143</v>
      </c>
      <c r="B15" s="114"/>
      <c r="C15" s="114"/>
      <c r="D15" s="114"/>
      <c r="E15" s="114"/>
      <c r="F15" s="114"/>
      <c r="G15" s="114"/>
      <c r="H15" s="114"/>
      <c r="I15" s="114"/>
      <c r="J15" s="115" t="s">
        <v>144</v>
      </c>
      <c r="K15" s="115"/>
      <c r="L15" s="115"/>
      <c r="M15" s="115"/>
      <c r="N15" s="115"/>
      <c r="O15" s="115"/>
      <c r="P15" s="116"/>
      <c r="Q15" s="117" t="s">
        <v>145</v>
      </c>
      <c r="R15" s="117"/>
      <c r="S15" s="117"/>
      <c r="T15" s="116"/>
      <c r="U15" s="113" t="s">
        <v>146</v>
      </c>
      <c r="V15" s="113"/>
      <c r="W15" s="113"/>
      <c r="Y15" s="113" t="s">
        <v>147</v>
      </c>
      <c r="AA15" s="113" t="s">
        <v>148</v>
      </c>
      <c r="AB15" s="113"/>
      <c r="AC15" s="113"/>
      <c r="AD15" s="113"/>
      <c r="AF15" s="119" t="s">
        <v>149</v>
      </c>
      <c r="AG15" s="119"/>
      <c r="AH15" s="120"/>
      <c r="AI15" s="113"/>
      <c r="AJ15" s="113" t="s">
        <v>150</v>
      </c>
      <c r="AK15" s="113"/>
      <c r="AM15" s="445" t="s">
        <v>151</v>
      </c>
      <c r="AN15" s="445" t="s">
        <v>152</v>
      </c>
      <c r="AO15" s="445" t="s">
        <v>153</v>
      </c>
      <c r="AQ15" s="113"/>
      <c r="AR15" s="113" t="s">
        <v>154</v>
      </c>
      <c r="AS15" s="113"/>
      <c r="AT15" s="113"/>
      <c r="AU15" s="113"/>
      <c r="AV15" s="121" t="s">
        <v>155</v>
      </c>
      <c r="AW15" s="121" t="s">
        <v>156</v>
      </c>
      <c r="AX15" s="121"/>
      <c r="AY15" s="119" t="s">
        <v>157</v>
      </c>
      <c r="AZ15" s="119"/>
      <c r="BA15" s="119"/>
      <c r="BC15" s="119" t="s">
        <v>158</v>
      </c>
      <c r="BD15" s="119"/>
      <c r="BE15" s="119"/>
      <c r="BF15" s="119"/>
      <c r="BG15" s="119"/>
      <c r="BH15" s="119"/>
      <c r="BI15" s="119"/>
      <c r="BK15" s="122" t="s">
        <v>159</v>
      </c>
      <c r="BL15" s="119"/>
      <c r="BM15" s="119"/>
      <c r="BN15" s="119"/>
      <c r="BO15" s="113"/>
      <c r="BP15" s="113"/>
      <c r="BQ15" s="113"/>
      <c r="BR15" s="113"/>
      <c r="BT15" s="113" t="s">
        <v>160</v>
      </c>
      <c r="BU15" s="113"/>
      <c r="BV15" s="113"/>
      <c r="BW15" s="113"/>
      <c r="BX15" s="113"/>
      <c r="BY15" s="113"/>
      <c r="CA15" s="123">
        <f>COUNTIF(CA18:CA194,"Y")</f>
        <v>50</v>
      </c>
      <c r="CB15" s="123">
        <f>COUNTIF(CB18:CB194,"Y")</f>
        <v>7</v>
      </c>
      <c r="CC15" s="123"/>
      <c r="CD15" s="123"/>
      <c r="CG15" s="124">
        <f>SUBTOTAL(9,CG17:CG194)</f>
        <v>163536718.44</v>
      </c>
      <c r="CH15" s="124">
        <f>SUBTOTAL(9,CH17:CH194)</f>
        <v>25901926.460000001</v>
      </c>
      <c r="CI15" s="125"/>
    </row>
    <row r="16" spans="1:87" s="118" customFormat="1" ht="90">
      <c r="A16" s="126" t="s">
        <v>161</v>
      </c>
      <c r="B16" s="127" t="s">
        <v>162</v>
      </c>
      <c r="C16" s="127" t="s">
        <v>163</v>
      </c>
      <c r="D16" s="127" t="s">
        <v>164</v>
      </c>
      <c r="E16" s="128" t="s">
        <v>165</v>
      </c>
      <c r="F16" s="126" t="s">
        <v>166</v>
      </c>
      <c r="G16" s="127" t="s">
        <v>167</v>
      </c>
      <c r="H16" s="129" t="s">
        <v>168</v>
      </c>
      <c r="I16" s="129" t="s">
        <v>144</v>
      </c>
      <c r="J16" s="130" t="s">
        <v>169</v>
      </c>
      <c r="K16" s="130" t="s">
        <v>170</v>
      </c>
      <c r="L16" s="130" t="s">
        <v>171</v>
      </c>
      <c r="M16" s="130" t="s">
        <v>172</v>
      </c>
      <c r="N16" s="130" t="s">
        <v>173</v>
      </c>
      <c r="O16" s="130" t="s">
        <v>174</v>
      </c>
      <c r="P16" s="131"/>
      <c r="Q16" s="132" t="s">
        <v>175</v>
      </c>
      <c r="R16" s="132" t="s">
        <v>176</v>
      </c>
      <c r="S16" s="132" t="s">
        <v>177</v>
      </c>
      <c r="T16" s="131"/>
      <c r="U16" s="123" t="s">
        <v>178</v>
      </c>
      <c r="V16" s="123" t="s">
        <v>179</v>
      </c>
      <c r="W16" s="133" t="s">
        <v>180</v>
      </c>
      <c r="Y16" s="123" t="s">
        <v>181</v>
      </c>
      <c r="AA16" s="123" t="s">
        <v>182</v>
      </c>
      <c r="AB16" s="123" t="s">
        <v>183</v>
      </c>
      <c r="AC16" s="123" t="s">
        <v>184</v>
      </c>
      <c r="AD16" s="123" t="s">
        <v>185</v>
      </c>
      <c r="AF16" s="123" t="s">
        <v>186</v>
      </c>
      <c r="AG16" s="123" t="s">
        <v>187</v>
      </c>
      <c r="AH16" s="123" t="s">
        <v>188</v>
      </c>
      <c r="AI16" s="123" t="s">
        <v>189</v>
      </c>
      <c r="AJ16" s="123" t="s">
        <v>190</v>
      </c>
      <c r="AK16" s="123" t="s">
        <v>191</v>
      </c>
      <c r="AM16" s="446"/>
      <c r="AN16" s="446"/>
      <c r="AO16" s="446"/>
      <c r="AQ16" s="134" t="s">
        <v>192</v>
      </c>
      <c r="AR16" s="123" t="s">
        <v>193</v>
      </c>
      <c r="AS16" s="123" t="s">
        <v>194</v>
      </c>
      <c r="AT16" s="123" t="s">
        <v>195</v>
      </c>
      <c r="AU16" s="123" t="s">
        <v>196</v>
      </c>
      <c r="AV16" s="135">
        <v>45291</v>
      </c>
      <c r="AW16" s="135">
        <v>45292</v>
      </c>
      <c r="AX16" s="135"/>
      <c r="AY16" s="123" t="s">
        <v>183</v>
      </c>
      <c r="AZ16" s="123" t="s">
        <v>197</v>
      </c>
      <c r="BA16" s="123" t="s">
        <v>198</v>
      </c>
      <c r="BC16" s="123" t="s">
        <v>199</v>
      </c>
      <c r="BD16" s="136" t="s">
        <v>200</v>
      </c>
      <c r="BE16" s="137"/>
      <c r="BF16" s="136" t="s">
        <v>201</v>
      </c>
      <c r="BG16" s="137"/>
      <c r="BH16" s="136" t="s">
        <v>202</v>
      </c>
      <c r="BI16" s="137"/>
      <c r="BK16" s="123" t="s">
        <v>203</v>
      </c>
      <c r="BL16" s="123" t="s">
        <v>204</v>
      </c>
      <c r="BM16" s="135" t="s">
        <v>205</v>
      </c>
      <c r="BN16" s="135" t="s">
        <v>206</v>
      </c>
      <c r="BO16" s="123" t="s">
        <v>207</v>
      </c>
      <c r="BP16" s="123" t="s">
        <v>208</v>
      </c>
      <c r="BQ16" s="123" t="s">
        <v>209</v>
      </c>
      <c r="BR16" s="123" t="s">
        <v>209</v>
      </c>
      <c r="BT16" s="123" t="s">
        <v>203</v>
      </c>
      <c r="BU16" s="123" t="s">
        <v>210</v>
      </c>
      <c r="BV16" s="123" t="s">
        <v>207</v>
      </c>
      <c r="BW16" s="123" t="s">
        <v>208</v>
      </c>
      <c r="BX16" s="123" t="s">
        <v>211</v>
      </c>
      <c r="BY16" s="123" t="s">
        <v>212</v>
      </c>
      <c r="CA16" s="123" t="s">
        <v>213</v>
      </c>
      <c r="CB16" s="123" t="s">
        <v>214</v>
      </c>
      <c r="CC16" s="123" t="s">
        <v>215</v>
      </c>
      <c r="CD16" s="123"/>
      <c r="CG16" s="138" t="s">
        <v>216</v>
      </c>
      <c r="CH16" s="138" t="s">
        <v>217</v>
      </c>
      <c r="CI16" s="138" t="s">
        <v>218</v>
      </c>
    </row>
    <row r="17" spans="1:87" s="118" customFormat="1" ht="16">
      <c r="A17" s="139"/>
      <c r="B17" s="140"/>
      <c r="C17" s="140"/>
      <c r="D17" s="140"/>
      <c r="E17" s="141"/>
      <c r="F17" s="140"/>
      <c r="G17" s="140"/>
      <c r="H17" s="142"/>
      <c r="I17" s="142"/>
      <c r="J17" s="143"/>
      <c r="K17" s="143"/>
      <c r="L17" s="143"/>
      <c r="M17" s="143"/>
      <c r="N17" s="143"/>
      <c r="O17" s="143"/>
      <c r="P17" s="144"/>
      <c r="Q17" s="145"/>
      <c r="R17" s="145"/>
      <c r="S17" s="146"/>
      <c r="T17" s="144"/>
      <c r="U17" s="145"/>
      <c r="V17" s="147"/>
      <c r="W17" s="146"/>
      <c r="X17" s="148"/>
      <c r="Y17" s="149"/>
      <c r="Z17" s="148"/>
      <c r="AA17" s="145"/>
      <c r="AB17" s="146"/>
      <c r="AC17" s="145"/>
      <c r="AD17" s="146"/>
      <c r="AE17" s="148"/>
      <c r="AF17" s="145"/>
      <c r="AG17" s="145"/>
      <c r="AH17" s="145"/>
      <c r="AI17" s="146"/>
      <c r="AJ17" s="146"/>
      <c r="AK17" s="146"/>
      <c r="AL17" s="148"/>
      <c r="AM17" s="146"/>
      <c r="AN17" s="146"/>
      <c r="AO17" s="146"/>
      <c r="AP17" s="148"/>
      <c r="AQ17" s="150"/>
      <c r="AR17" s="150"/>
      <c r="AS17" s="150"/>
      <c r="AT17" s="151"/>
      <c r="AU17" s="152"/>
      <c r="AV17" s="153"/>
      <c r="AW17" s="153"/>
      <c r="AX17" s="153"/>
      <c r="AY17" s="146"/>
      <c r="AZ17" s="146"/>
      <c r="BA17" s="146"/>
      <c r="BB17" s="148"/>
      <c r="BC17" s="146"/>
      <c r="BD17" s="154"/>
      <c r="BE17" s="146"/>
      <c r="BF17" s="146"/>
      <c r="BG17" s="146"/>
      <c r="BH17" s="146"/>
      <c r="BI17" s="146"/>
      <c r="BJ17" s="155"/>
      <c r="BK17" s="146"/>
      <c r="BL17" s="146"/>
      <c r="BM17" s="146"/>
      <c r="BN17" s="156"/>
      <c r="BO17" s="146"/>
      <c r="BP17" s="146"/>
      <c r="BQ17" s="146"/>
      <c r="BR17" s="146"/>
      <c r="BS17" s="148"/>
      <c r="BT17" s="155"/>
      <c r="BU17" s="146"/>
      <c r="BV17" s="155"/>
      <c r="BW17" s="146"/>
      <c r="BX17" s="146"/>
      <c r="BY17" s="146"/>
      <c r="CB17" s="157"/>
      <c r="CC17" s="157"/>
      <c r="CD17" s="157"/>
    </row>
    <row r="18" spans="1:87" s="169" customFormat="1" ht="21">
      <c r="A18" s="158" t="s">
        <v>219</v>
      </c>
      <c r="B18" s="159"/>
      <c r="C18" s="160"/>
      <c r="D18" s="160"/>
      <c r="E18" s="160"/>
      <c r="F18" s="160"/>
      <c r="G18" s="161"/>
      <c r="H18" s="162"/>
      <c r="I18" s="162"/>
      <c r="J18" s="162"/>
      <c r="K18" s="162"/>
      <c r="L18" s="162"/>
      <c r="M18" s="162"/>
      <c r="N18" s="162"/>
      <c r="O18" s="162"/>
      <c r="P18" s="163"/>
      <c r="Q18" s="164"/>
      <c r="R18" s="165"/>
      <c r="S18" s="166"/>
      <c r="T18" s="167"/>
      <c r="U18" s="165"/>
      <c r="V18" s="168"/>
      <c r="W18" s="168"/>
      <c r="Y18" s="165"/>
      <c r="AA18" s="165"/>
      <c r="AB18" s="165"/>
      <c r="AC18" s="165"/>
      <c r="AD18" s="165"/>
      <c r="AF18" s="165"/>
      <c r="AG18" s="165"/>
      <c r="AH18" s="165"/>
      <c r="AI18" s="168"/>
      <c r="AJ18" s="168"/>
      <c r="AK18" s="168"/>
      <c r="AM18" s="168"/>
      <c r="AN18" s="168"/>
      <c r="AO18" s="168"/>
      <c r="AQ18" s="170"/>
      <c r="AR18" s="170"/>
      <c r="AS18" s="170"/>
      <c r="AT18" s="171"/>
      <c r="AU18" s="171"/>
      <c r="AV18" s="172"/>
      <c r="AW18" s="172"/>
      <c r="AX18" s="172"/>
      <c r="AY18" s="168"/>
      <c r="AZ18" s="168"/>
      <c r="BA18" s="168"/>
      <c r="BC18" s="168"/>
      <c r="BD18" s="173"/>
      <c r="BE18" s="168"/>
      <c r="BF18" s="168"/>
      <c r="BG18" s="168"/>
      <c r="BH18" s="168"/>
      <c r="BI18" s="168"/>
      <c r="BK18" s="168"/>
      <c r="BL18" s="168"/>
      <c r="BM18" s="168"/>
      <c r="BN18" s="172"/>
      <c r="BO18" s="168"/>
      <c r="BP18" s="168"/>
      <c r="BQ18" s="168"/>
      <c r="BR18" s="168"/>
      <c r="BT18" s="168"/>
      <c r="BU18" s="168"/>
      <c r="BV18" s="168"/>
      <c r="BW18" s="168"/>
      <c r="BX18" s="168"/>
      <c r="BY18" s="168"/>
      <c r="CA18" s="168"/>
      <c r="CB18" s="168"/>
      <c r="CC18" s="168"/>
      <c r="CD18" s="168"/>
    </row>
    <row r="19" spans="1:87" s="187" customFormat="1" ht="51">
      <c r="A19" s="174" t="s">
        <v>1</v>
      </c>
      <c r="B19" s="175">
        <v>1</v>
      </c>
      <c r="C19" s="176" t="str">
        <f>IFERROR(INDEX(Program_01!$B:$B,MATCH($B19,Program_01!$A:$A,0)),"")</f>
        <v>FULL TIA EAR</v>
      </c>
      <c r="D19" s="176" t="str">
        <f>IFERROR(INDEX(Program_01!D:D,MATCH($B19,Program_01!A:A,0)),"")</f>
        <v>1TB01003C14</v>
      </c>
      <c r="E19" s="176" t="str">
        <f>IFERROR(INDEX(Program_01!$E:$E,MATCH($B19,Program_01!$A:$A,0)),"")</f>
        <v>1.TB.01.003.01</v>
      </c>
      <c r="F19" s="176" t="str">
        <f>IFERROR(INDEX(Program_01!$F:$F,MATCH($B19,Program_01!$A:$A,0)),"")</f>
        <v xml:space="preserve">AMAALA Yacht Club </v>
      </c>
      <c r="G19" s="177" t="str">
        <f>IFERROR(INDEX(Program_01!$G:$G,MATCH($B19,Program_01!$A:$A,0)),"")</f>
        <v>Triple Bay Piling - Beach, RSMLI, Yacht Club and Marina Village Precinct (Hotel 1 and 2)</v>
      </c>
      <c r="H19" s="176" t="str">
        <f>IFERROR(INDEX(Program_01!$H:$H,MATCH($B19,Program_01!$A:$A,0)),"")</f>
        <v>NSCC International Saudi Contracting</v>
      </c>
      <c r="I19" s="176" t="str">
        <f>IFERROR(IF($D19="","",INDEX($J$16:$O$16,MATCH(1,J19:O19,0))),"")</f>
        <v>EOT</v>
      </c>
      <c r="J19" s="176">
        <f>IFERROR(INDEX(Program_01!$I:$I,MATCH($B19,Program_01!$A:$A,0)),"")</f>
        <v>1</v>
      </c>
      <c r="K19" s="176">
        <f>IFERROR(INDEX(Program_01!$J:$J,MATCH($B19,Program_01!$A:$A,0)),"")</f>
        <v>0</v>
      </c>
      <c r="L19" s="176">
        <f>IFERROR(INDEX(Program_01!$K:$K,MATCH($B19,Program_01!$A:$A,0)),"")</f>
        <v>0</v>
      </c>
      <c r="M19" s="176">
        <f>IFERROR(INDEX(Program_01!$L:$L,MATCH($B19,Program_01!$A:$A,0)),"")</f>
        <v>0</v>
      </c>
      <c r="N19" s="176">
        <f>IFERROR(INDEX(Program_01!$L:$L,MATCH($B19,Program_01!$A:$A,0)),"")</f>
        <v>0</v>
      </c>
      <c r="O19" s="176">
        <f>IFERROR(INDEX(Program_01!$N:$N,MATCH($B19,Program_01!$A:$A,0)),"")</f>
        <v>0</v>
      </c>
      <c r="P19" s="178"/>
      <c r="Q19" s="179" t="str">
        <f>IFERROR(INDEX(Program_01!$C:$C,MATCH($B19,Program_01!$A:$A,0)),"")</f>
        <v>NSCC Consolidated Claim - All Plots (Time)</v>
      </c>
      <c r="R19" s="176" t="str">
        <f>IFERROR(INDEX(Program_01!$V:$V,MATCH($B19,Program_01!$A:$A,0)),"")</f>
        <v>TB04400-005C13-NSC-LTR-0326</v>
      </c>
      <c r="S19" s="180">
        <f>IFERROR(INDEX(Program_01!$W:$W,MATCH($B19,Program_01!$A:$A,0)),"")</f>
        <v>45045</v>
      </c>
      <c r="T19" s="178"/>
      <c r="U19" s="176" t="str">
        <f>IFERROR(INDEX(Program_01!$Z:$Z,MATCH($B19,Program_01!$A:$A,0)),"")</f>
        <v>Not responded</v>
      </c>
      <c r="V19" s="181" t="str">
        <f>IFERROR(INDEX(Program_01!$AA:$AA,MATCH($B19,Program_01!$A:$A,0)),"")</f>
        <v>N/A</v>
      </c>
      <c r="W19" s="182" t="str">
        <f t="shared" ref="W19:W194" ca="1" si="0">IF(OR($S19="",$V19="N/A"),"",IF(AND($S19&lt;&gt;0,$V19=0),TODAY()-$S19,IF(AND($S19&lt;&gt;"",$V19&lt;&gt;""),$V19-$S19)))</f>
        <v/>
      </c>
      <c r="X19" s="169"/>
      <c r="Y19" s="179">
        <f>IFERROR(INDEX(Program_01!$BD:$BD,MATCH($B19,Program_01!$A:$A,0)),"")</f>
        <v>0</v>
      </c>
      <c r="Z19" s="169"/>
      <c r="AA19" s="183" t="str">
        <f>IFERROR(IF((INDEX(Program_01!$AD:$AD,MATCH($B19,Program_01!$A:$A,0))=""),INDEX(Program_01!$V:$V,MATCH($B19,Program_01!$A:$A,0)),INDEX(Program_01!$AD:$AD,MATCH($B19,Program_01!$A:$A,0))),"")</f>
        <v>1TB04400-005C13-NSC-LTR-0395</v>
      </c>
      <c r="AB19" s="147">
        <f>IFERROR(IF((INDEX(Program_01!$AE:$AE,MATCH($B19,Program_01!$A:$A,0))=""),INDEX(Program_01!$W:$W,MATCH($B19,Program_01!$A:$A,0)),INDEX(Program_01!$AE:$AE,MATCH($B19,Program_01!$A:$A,0))),"")</f>
        <v>45241</v>
      </c>
      <c r="AC19" s="183" t="str">
        <f>IFERROR(IF($I19="EOT",INDEX(Program_01!$AN:$AN,MATCH($B19,Program_01!$A:$A,0)),INDEX(Program_01!$AY:$AY,MATCH($B19,Program_01!$A:$A,0))),"")</f>
        <v>TB04400-031D03-WSP-LTR-0138</v>
      </c>
      <c r="AD19" s="181">
        <f>IFERROR(IF($I19="EOT",INDEX(Program_01!$AO:$AO,MATCH($B19,Program_01!$A:$A,0)),INDEX(Program_01!$AZ:$AZ,MATCH($B19,Program_01!$A:$A,0))),"")</f>
        <v>45243</v>
      </c>
      <c r="AE19" s="169"/>
      <c r="AF19" s="183"/>
      <c r="AG19" s="181"/>
      <c r="AH19" s="183" t="str">
        <f>IF(OR($D19="",$AS19="VO Issued",$AS19="Open"),"",IF(OR($AC19="Rejected",$AC19="Superseded",$AC19="Dealt Separately"),$AC19,IF($I19="EOT",INDEX(Program_01!$AR:$AR,MATCH($B19,Program_01!$A:$A,0)),INDEX(Program_01!$BB:$BB,MATCH($B19,Program_01!$A:$A,0)))))</f>
        <v>TB04400-031D03-WSP-LTR-0138</v>
      </c>
      <c r="AI19" s="181">
        <f>IF(OR($A19="",$B19="",$I19="",$AS19="VO Issued",$AS19="Open"),"",IF(OR($AD19="N/A"),$AD19,IF($I19="EOT",INDEX(Program_01!$AS:$AS,MATCH($B19,Program_01!$A:$A,0)),INDEX(Program_01!$BC:$BC,MATCH($B19,Program_01!$A:$A,0)))))</f>
        <v>45243</v>
      </c>
      <c r="AJ19" s="183" t="str">
        <f>IF(OR($D19="",$I19="",$AS19="Determination Issued",$AS19="Rejected",$AS19="Open"),"",IF(OR($AH19="Rejected",$AH19="Dealt Separately",$AH19="Superseded",$AH19="Withdrawn"),"N/A",IF($I19="EOT",INDEX(Program_01!AR:AR,MATCH($B19,Program_01!A:A,0)),INDEX(Program_01!BB:BB,MATCH($B19,Program_01!A:A,0)))))</f>
        <v/>
      </c>
      <c r="AK19" s="181" t="str">
        <f>IF(OR($A19="",$B19="",$I19="",$AS19="Determination Issued",$AS19="Rejected",$AS19="Open"),"",IF($AJ19="N/A","N/A",IF($I19="EOT",INDEX(Program_01!AS:AS,MATCH($B19,Program_01!A:A,0)),INDEX(Program_01!BC:BC,MATCH($B19,Program_01!A:A,0)))))</f>
        <v/>
      </c>
      <c r="AL19" s="169"/>
      <c r="AM19" s="184">
        <f>IFERROR(INDEX(Program_01!$BT:$BT,MATCH($B19,Program_01!$A:$A,0)),"")</f>
        <v>0</v>
      </c>
      <c r="AN19" s="184">
        <f>IFERROR(INDEX(Program_01!$BU:$BU,MATCH($B19,Program_01!$A:$A,0)),"")</f>
        <v>0</v>
      </c>
      <c r="AO19" s="184">
        <f>IFERROR(INDEX(Program_01!$BV:$BV,MATCH($B19,Program_01!$A:$A,0)),"")</f>
        <v>0</v>
      </c>
      <c r="AP19" s="169" t="str">
        <f>IF(OR($AN19="Yes",$AO19="Yes"),"1","")</f>
        <v/>
      </c>
      <c r="AQ19" s="184">
        <f>IFERROR(INDEX(Program_01!$BN:$BN,MATCH($B19,Program_01!$A:$A,0)),"")</f>
        <v>0</v>
      </c>
      <c r="AR19" s="184" t="str">
        <f>IFERROR(INDEX(Program_01!$BO:$BO,MATCH($B19,Program_01!$A:$A,0)),"")</f>
        <v>Assessment Report Issued</v>
      </c>
      <c r="AS19" s="184" t="str">
        <f>IFERROR(INDEX(Program_01!$BP:$BP,MATCH($B19,Program_01!$A:$A,0)),"")</f>
        <v>Determination Issued</v>
      </c>
      <c r="AT19" s="185" t="str">
        <f>IFERROR(INDEX(Program_01!$BQ:$BQ,MATCH($B19,Program_01!$A:$A,0)),"")</f>
        <v>Closed</v>
      </c>
      <c r="AU19" s="179" t="str">
        <f>IFERROR(INDEX(Program_01!$BR:$BR,MATCH($B19,Program_01!$A:$A,0)),"")</f>
        <v>Assessment and determination issued on 13 Nov 23.</v>
      </c>
      <c r="AV19" s="186" t="str">
        <f t="shared" ref="AV19:AV82" si="1">IF($I19="","",IF($S19&gt;$AV$16,"",IF($AS19="OPEN","OPEN",IF($AS19="","",IF(AND($AS19&lt;&gt;"OPEN",$AT19="CLOSED"),"CLOSED",IF(AND($AS19&lt;&gt;"OPEN",$AT19&lt;&gt;"CLOSED"),"OPEN",""))))))</f>
        <v>CLOSED</v>
      </c>
      <c r="AW19" s="186" t="str">
        <f>IF($I19="","",IF($S19&lt;$AW$16,"",IF($AS19="OPEN","OPEN",IF($AS19="","",IF(AND($AS19&lt;&gt;"OPEN",$AT19="CLOSED"),"CLOSED",IF(AND($AS19&lt;&gt;"OPEN",$AT19&lt;&gt;"CLOSED"),"OPEN",""))))))</f>
        <v/>
      </c>
      <c r="AX19" s="186" t="str">
        <f t="shared" ref="AX19:AX82" si="2">IF(OR($AV19="OPEN",$AV19="CLOSED"),$AV19,$AW19)</f>
        <v>CLOSED</v>
      </c>
      <c r="AY19" s="181">
        <f>IF(C19="HLEAR",BC19,AB19)</f>
        <v>45241</v>
      </c>
      <c r="AZ19" s="181">
        <f t="shared" ref="AZ19:AZ28" si="3">IF($AD19=0,"",AD19)</f>
        <v>45243</v>
      </c>
      <c r="BA19" s="181">
        <f t="shared" ref="BA19:BA194" si="4">IF(AND($AI19="",$AK19=""),"",IF($AI19="",$AK19,$AI19))</f>
        <v>45243</v>
      </c>
      <c r="BC19" s="181">
        <f>IFERROR(INDEX(Program_01!BF:BF,MATCH($B19,Program_01!$A:$A,0)),"")</f>
        <v>45241</v>
      </c>
      <c r="BD19" s="188" t="str">
        <f ca="1">IFERROR(INDEX(Program_01!BG:BG,MATCH($B19,Program_01!$A:$A,0)),"")</f>
        <v>N/A</v>
      </c>
      <c r="BE19" s="181">
        <f>IFERROR(INDEX(Program_01!BH:BH,MATCH($B19,Program_01!$A:$A,0)),"")</f>
        <v>0</v>
      </c>
      <c r="BF19" s="189">
        <f ca="1">IFERROR(INDEX(Program_01!BI:BI,MATCH($B19,Program_01!$A:$A,0)),"")</f>
        <v>0</v>
      </c>
      <c r="BG19" s="181">
        <f>IFERROR(INDEX(Program_01!BJ:BJ,MATCH($B19,Program_01!$A:$A,0)),"")</f>
        <v>0</v>
      </c>
      <c r="BH19" s="189">
        <f ca="1">IFERROR(INDEX(Program_01!BK:BK,MATCH($B19,Program_01!$A:$A,0)),"")</f>
        <v>0</v>
      </c>
      <c r="BI19" s="181">
        <f>IFERROR(INDEX(Program_01!BL:BL,MATCH($B19,Program_01!$A:$A,0)),"")</f>
        <v>0</v>
      </c>
      <c r="BK19" s="190">
        <f>IFERROR(IF(INDEX(Program_01!$BX:$BX,MATCH($B19,Program_01!$A:$A,0))=DATE(1900,1,0),"",INDEX(Program_01!$BX:$BX,MATCH($B19,Program_01!$A:$A,0))),"")</f>
        <v>45260</v>
      </c>
      <c r="BL19" s="190" t="str">
        <f>IFERROR(IF(INDEX(Program_01!$BY:$BY,MATCH($B19,Program_01!$A:$A,0))=DATE(1900,1,0),"",INDEX(Program_01!$BY:$BY,MATCH($B19,Program_01!$A:$A,0))),"")</f>
        <v/>
      </c>
      <c r="BM19" s="188">
        <f ca="1">IF(OR($AZ19="",$AZ19="N/A"),"",IF(AND($AZ19="",$AY19&lt;&gt;""),TODAY()-$AY19,$AZ19-$AY19))</f>
        <v>2</v>
      </c>
      <c r="BN19" s="191">
        <f ca="1">IF(OR($C19="DEOT",$C19="N/A",$I19=""),"",IF(OR($AM19="Revise &amp; resubmit",$AT19="Awaiting Conclusion of EoT",$AR19="Not Applicable",$AY19=0,$AY19="TBA",$AZ19="N/A",AY19=0),0,IF(AND($AR19="Assessment Report Issued",$AT19&lt;&gt;""),$AZ19-$AY19,IF(AND($AR19="Pending",$AT19="Contractor"),"",IF(AND($AZ19="",$AY19&lt;&gt;""),TODAY()-$AY19,$AZ19-$AY19)))))</f>
        <v>2</v>
      </c>
      <c r="BO19" s="188">
        <f t="shared" ref="BO19:BO82" ca="1" si="5">IF(OR($AR19&lt;&gt;"ASSESSMENT REPORT ISSUED"),"",IF($BN19&lt;&gt;"",$BN19,""))</f>
        <v>2</v>
      </c>
      <c r="BP19" s="188" t="str">
        <f t="shared" ref="BP19:BP194" si="6">IF($AR19="ASSESSMENT REPORT ISSUED","1",IF(AND($AT19="Closed",$AR19&lt;&gt;"Pending"),"1",""))</f>
        <v>1</v>
      </c>
      <c r="BQ19" s="188" t="str">
        <f ca="1">IF(AND($AR19="Pending",$BN19&gt;140),$BN19,"")</f>
        <v/>
      </c>
      <c r="BR19" s="181" t="str">
        <f ca="1">IF(BQ19="","","1")</f>
        <v/>
      </c>
      <c r="BT19" s="190" t="str">
        <f>IFERROR(IF(INDEX(Program_01!$BZ:$BZ,MATCH($B19,Program_01!$A:$A,0))=DATE(1900,1,0),"",INDEX(Program_01!$BZ:$BZ,MATCH($B19,Program_01!$A:$A,0))),"")</f>
        <v/>
      </c>
      <c r="BU19" s="182">
        <f ca="1">IF(OR($I19="",$AV19="",$AM19&lt;&gt;0,$BA19="N/A",$AZ19=""),"",IF(AND($BA19="",$AZ19&lt;&gt;""),TODAY()-$AZ19,$BA19-$AZ19))</f>
        <v>0</v>
      </c>
      <c r="BV19" s="188">
        <f t="shared" ref="BV19:BV82" ca="1" si="7">IF(OR($AS19="Determination Issued",$AS19="VO Issued"),$BU19,"")</f>
        <v>0</v>
      </c>
      <c r="BW19" s="188" t="str">
        <f t="shared" ref="BW19:BW194" si="8">IF(OR($AT19="CLOSED",$AS19="Determination Issued",$AS19="VO Issued"),"1","")</f>
        <v>1</v>
      </c>
      <c r="BX19" s="188" t="str">
        <f t="shared" ref="BX19:BX82" ca="1" si="9">IF(OR($AS19="Determination Issued",$AS19="VO Issued",$AS19="Rejected",$AS19="Canceled",$AS19="Superseded",$AS19="Not Applicable",$BU19=""),"",IF($BU19&gt;90,$BU19,""))</f>
        <v/>
      </c>
      <c r="BY19" s="181" t="str">
        <f ca="1">IF(BX19="","","1")</f>
        <v/>
      </c>
      <c r="CA19" s="192" t="str">
        <f>IF($I19="","",IF(AND($AR19="Assessment Report Issued",$AZ19&lt;&gt;""),"Y","N"))</f>
        <v>Y</v>
      </c>
      <c r="CB19" s="192" t="str">
        <f>IF($I19="","",IF(OR($AS19="Determination Issued",$AS19="VO Issued"),"Y","N"))</f>
        <v>Y</v>
      </c>
      <c r="CC19" s="193">
        <f>IFERROR(INDEX(Program_01!$CE:$CE,MATCH($B19,Program_01!$A:$A,0)),"")</f>
        <v>0</v>
      </c>
      <c r="CD19" s="193">
        <f t="shared" ref="CD19:CD33" si="10">MAX(S19,CC19)</f>
        <v>45045</v>
      </c>
      <c r="CG19" s="194">
        <f>IFERROR(INDEX(Program_01!$AT:$AT,MATCH($B19,Program_01!$A:$A,0)),"")</f>
        <v>0</v>
      </c>
      <c r="CH19" s="194">
        <f>IFERROR(INDEX(Program_01!$AX:$AX,MATCH($B19,Program_01!$A:$A,0)),"")</f>
        <v>0</v>
      </c>
    </row>
    <row r="20" spans="1:87" s="187" customFormat="1" ht="258" customHeight="1">
      <c r="A20" s="174" t="s">
        <v>1</v>
      </c>
      <c r="B20" s="175">
        <v>2</v>
      </c>
      <c r="C20" s="176" t="str">
        <f>IFERROR(INDEX(Program_01!$B:$B,MATCH($B20,Program_01!$A:$A,0)),"")</f>
        <v>COST EAR</v>
      </c>
      <c r="D20" s="176" t="str">
        <f>IFERROR(INDEX(Program_01!$D:$D,MATCH($B20,Program_01!$A:$A,0)),"")</f>
        <v>1TB01003C14</v>
      </c>
      <c r="E20" s="176" t="str">
        <f>IFERROR(INDEX(Program_01!$E:$E,MATCH($B20,Program_01!$A:$A,0)),"")</f>
        <v>1.TB.01.003.01</v>
      </c>
      <c r="F20" s="176" t="str">
        <f>IFERROR(INDEX(Program_01!$F:$F,MATCH($B20,Program_01!$A:$A,0)),"")</f>
        <v xml:space="preserve">AMAALA Yacht Club </v>
      </c>
      <c r="G20" s="176" t="str">
        <f>IFERROR(INDEX(Program_01!$G:$G,MATCH($B20,Program_01!$A:$A,0)),"")</f>
        <v>Triple Bay Piling - Beach, RSMLI, Yacht Club and Marina Village Precinct (Hotel 1 and 2)</v>
      </c>
      <c r="H20" s="176" t="str">
        <f>IFERROR(INDEX(Program_01!$H:$H,MATCH($B20,Program_01!$A:$A,0)),"")</f>
        <v>NSCC International Saudi Contracting</v>
      </c>
      <c r="I20" s="176" t="str">
        <f t="shared" ref="I20:I83" si="11">IFERROR(IF($D20="","",INDEX($J$16:$O$16,MATCH(1,J20:O20,0))),"")</f>
        <v>Prolongation</v>
      </c>
      <c r="J20" s="176">
        <f>IFERROR(INDEX(Program_01!$I:$I,MATCH($B20,Program_01!$A:$A,0)),"")</f>
        <v>0</v>
      </c>
      <c r="K20" s="176">
        <f>IFERROR(INDEX(Program_01!$J:$J,MATCH($B20,Program_01!$A:$A,0)),"")</f>
        <v>1</v>
      </c>
      <c r="L20" s="176">
        <f>IFERROR(INDEX(Program_01!$K:$K,MATCH($B20,Program_01!$A:$A,0)),"")</f>
        <v>0</v>
      </c>
      <c r="M20" s="176">
        <f>IFERROR(INDEX(Program_01!$L:$L,MATCH($B20,Program_01!$A:$A,0)),"")</f>
        <v>0</v>
      </c>
      <c r="N20" s="176">
        <f>IFERROR(INDEX(Program_01!$L:$L,MATCH($B20,Program_01!$A:$A,0)),"")</f>
        <v>0</v>
      </c>
      <c r="O20" s="176">
        <f>IFERROR(INDEX(Program_01!$N:$N,MATCH($B20,Program_01!$A:$A,0)),"")</f>
        <v>0</v>
      </c>
      <c r="P20" s="178"/>
      <c r="Q20" s="179" t="str">
        <f>IFERROR(INDEX(Program_01!$C:$C,MATCH($B20,Program_01!$A:$A,0)),"")</f>
        <v>NSCC Consolidated Claim - All Plots (Cost)</v>
      </c>
      <c r="R20" s="176" t="str">
        <f>IFERROR(INDEX(Program_01!$V:$V,MATCH($B20,Program_01!$A:$A,0)),"")</f>
        <v>1TB04400-005C13-NSC-LTR-0326</v>
      </c>
      <c r="S20" s="180">
        <f>IFERROR(INDEX(Program_01!$W:$W,MATCH($B20,Program_01!$A:$A,0)),"")</f>
        <v>45045</v>
      </c>
      <c r="T20" s="178"/>
      <c r="U20" s="176" t="str">
        <f>IFERROR(INDEX(Program_01!$Z:$Z,MATCH($B20,Program_01!$A:$A,0)),"")</f>
        <v>Not responded</v>
      </c>
      <c r="V20" s="181" t="str">
        <f>IFERROR(INDEX(Program_01!$AA:$AA,MATCH($B20,Program_01!$A:$A,0)),"")</f>
        <v>N/A</v>
      </c>
      <c r="W20" s="182" t="str">
        <f t="shared" ca="1" si="0"/>
        <v/>
      </c>
      <c r="X20" s="169"/>
      <c r="Y20" s="179" t="str">
        <f>IFERROR(INDEX(Program_01!$BD:$BD,MATCH($B20,Program_01!$A:$A,0)),"")</f>
        <v xml:space="preserve">1TB04400-005C13-NSC-LTR-0326 dated 29 Apr 23
1TB04400-005C13-NSC-LTR-0386 dated 09 Oct 23
1TB04400-005C13-NSC-LTR-0393 dated 28 Oct 23
1TB04400-005C13-NSC-LTR-0395 dated 01 Nov 23
1TB04400-005C13-NSC-LTR-0400 dated 20 Feb 24
1TB04400-400000-WSP-LTR-0002 dated 26 Feb 24 requesting HO overhead particulars.
1TB04400-005C13-NSC-LTR-0401 dated 26 Feb 24 submission of requested documents.
1TB04400-005C13-NSC-LTR-0403 dated 04 Jul 24
</v>
      </c>
      <c r="Z20" s="169"/>
      <c r="AA20" s="183" t="str">
        <f>IFERROR(IF((INDEX(Program_01!$AD:$AD,MATCH($B20,Program_01!$A:$A,0))=""),INDEX(Program_01!$V:$V,MATCH($B20,Program_01!$A:$A,0)),INDEX(Program_01!$AD:$AD,MATCH($B20,Program_01!$A:$A,0))),"")</f>
        <v>1TB04400-005C13-NSC-LTR-0395 dated 11 Nov 23
1TB04400-005C13-NSC-LTR-0401 dated 26 Feb 24
1TB04400-005C13-NSC-LTR-0403 04 Jul 24
RFA Signoff</v>
      </c>
      <c r="AB20" s="147">
        <f>IFERROR(IF((INDEX(Program_01!$AE:$AE,MATCH($B20,Program_01!$A:$A,0))=""),INDEX(Program_01!$W:$W,MATCH($B20,Program_01!$A:$A,0)),INDEX(Program_01!$AE:$AE,MATCH($B20,Program_01!$A:$A,0))),"")</f>
        <v>45509</v>
      </c>
      <c r="AC20" s="183" t="str">
        <f>IFERROR(IF($I20="EOT",INDEX(Program_01!$AN:$AN,MATCH($B20,Program_01!$A:$A,0)),INDEX(Program_01!$AY:$AY,MATCH($B20,Program_01!$A:$A,0))),"")</f>
        <v xml:space="preserve">1TB04400-400000-AMA-LTR-0056 </v>
      </c>
      <c r="AD20" s="181">
        <f>IFERROR(IF($I20="EOT",INDEX(Program_01!$AO:$AO,MATCH($B20,Program_01!$A:$A,0)),INDEX(Program_01!$AZ:$AZ,MATCH($B20,Program_01!$A:$A,0))),"")</f>
        <v>45578</v>
      </c>
      <c r="AE20" s="169"/>
      <c r="AF20" s="183"/>
      <c r="AG20" s="181"/>
      <c r="AH20" s="183" t="str">
        <f>IF(OR($D20="",$AS20="VO Issued",$AS20="Open"),"",IF(OR($AC20="Rejected",$AC20="Superseded",$AC20="Dealt Separately"),$AC20,IF($I20="EOT",INDEX(Program_01!$AR:$AR,MATCH($B20,Program_01!$A:$A,0)),INDEX(Program_01!$BB:$BB,MATCH($B20,Program_01!$A:$A,0)))))</f>
        <v>1TB04400-400000-AMA-DVO-CM-0002 - DVO 013</v>
      </c>
      <c r="AI20" s="181">
        <f>IF(OR($A20="",$B20="",$I20="",$AS20="VO Issued",$AS20="Open"),"",IF(OR($AD20="N/A"),$AD20,IF($I20="EOT",INDEX(Program_01!$AS:$AS,MATCH($B20,Program_01!$A:$A,0)),INDEX(Program_01!$BC:$BC,MATCH($B20,Program_01!$A:$A,0)))))</f>
        <v>45585</v>
      </c>
      <c r="AJ20" s="183" t="str">
        <f>IF(OR($D20="",$I20="",$AS20="Determination Issued",$AS20="Rejected",$AS20="Open"),"",IF(OR($AH20="Rejected",$AH20="Dealt Separately",$AH20="Superseded",$AH20="Withdrawn"),"N/A",IF($I20="EOT",INDEX(Program_01!AR:AR,MATCH($B20,Program_01!A:A,0)),INDEX(Program_01!BB:BB,MATCH($B20,Program_01!A:A,0)))))</f>
        <v>1TB04400-400000-AMA-DVO-CM-0002 - DVO 013</v>
      </c>
      <c r="AK20" s="181">
        <f>IF(OR($A20="",$B20="",$I20="",$AS20="Determination Issued",$AS20="Rejected",$AS20="Open"),"",IF($AJ20="N/A","N/A",IF($I20="EOT",INDEX(Program_01!AS:AS,MATCH($B20,Program_01!A:A,0)),INDEX(Program_01!BC:BC,MATCH($B20,Program_01!A:A,0)))))</f>
        <v>45585</v>
      </c>
      <c r="AL20" s="169"/>
      <c r="AM20" s="184">
        <f>IFERROR(INDEX(Program_01!$BT:$BT,MATCH($B20,Program_01!$A:$A,0)),"")</f>
        <v>0</v>
      </c>
      <c r="AN20" s="184">
        <f>IFERROR(INDEX(Program_01!$BU:$BU,MATCH($B20,Program_01!$A:$A,0)),"")</f>
        <v>0</v>
      </c>
      <c r="AO20" s="184">
        <f>IFERROR(INDEX(Program_01!$BV:$BV,MATCH($B20,Program_01!$A:$A,0)),"")</f>
        <v>0</v>
      </c>
      <c r="AP20" s="169" t="str">
        <f t="shared" ref="AP20:AP94" si="12">IF(OR($AN20="Yes",$AO20="Yes"),"1","")</f>
        <v/>
      </c>
      <c r="AQ20" s="184">
        <f>IFERROR(INDEX(Program_01!$BN:$BN,MATCH($B20,Program_01!$A:$A,0)),"")</f>
        <v>0</v>
      </c>
      <c r="AR20" s="184" t="str">
        <f>IFERROR(INDEX(Program_01!$BO:$BO,MATCH($B20,Program_01!$A:$A,0)),"")</f>
        <v>Assessment Report Issued</v>
      </c>
      <c r="AS20" s="184" t="str">
        <f>IFERROR(INDEX(Program_01!$BP:$BP,MATCH($B20,Program_01!$A:$A,0)),"")</f>
        <v>DVO Issued</v>
      </c>
      <c r="AT20" s="185" t="str">
        <f>IFERROR(INDEX(Program_01!$BQ:$BQ,MATCH($B20,Program_01!$A:$A,0)),"")</f>
        <v>Closed</v>
      </c>
      <c r="AU20" s="179" t="str">
        <f>IFERROR(INDEX(Program_01!$BR:$BR,MATCH($B20,Program_01!$A:$A,0)),"")</f>
        <v xml:space="preserve">29 Jul 24: Commercial leads and senior managment meeting with NSCC to close out final account
12 August 2024 : Final Account Settlment RFA currently in progress, once approved the commercial claims report will be updated to make reference to the approved RFA and submitted for approval. 
26 Aug 24: No update available (Blake on Leave)
8 Sep 2024 -  Commercial report is currently in WF for approval reflecting the approved RFA final settlement amount RFA 1TB04400-400000-AMA-RFA-CM-0004 dated 5 Aug 24
24 Sep 24: Assessment report in WF-004674
07 Oct 24: Assessment report approved by GCEO. However, it will not be issued to the contractor. as the EoT Costs contained within, form part of the previously agreed and GCEO signed off final account settlement of SAR 108,561,603. a DVO for the Final account settlemetent under preperation.
commercial to prepare teh cover letter &amp; issue it to the contractor ASAP
13 Oct 24: Report issued to NSCC via letter ref 1TB04400-400000-AMA-LTR-0056
14 Oct 24: NSCC issued the acceptance letter, Commercial to issue the final account DVO
09 Oct 24: DVO issued to contractor.
10 Oct 24: DVO signed by the contractor
NOTE: RFA for Final Account Settlment Signed off and therefore this item is now considered closed </v>
      </c>
      <c r="AV20" s="186" t="str">
        <f t="shared" si="1"/>
        <v>CLOSED</v>
      </c>
      <c r="AW20" s="186" t="str">
        <f t="shared" ref="AW20:AW94" si="13">IF($I20="","",IF($S20&lt;$AW$16,"",IF($AS20="OPEN","OPEN",IF($AS20="","",IF(AND($AS20&lt;&gt;"OPEN",$AT20="CLOSED"),"CLOSED",IF(AND($AS20&lt;&gt;"OPEN",$AT20&lt;&gt;"CLOSED"),"OPEN",""))))))</f>
        <v/>
      </c>
      <c r="AX20" s="186" t="str">
        <f t="shared" si="2"/>
        <v>CLOSED</v>
      </c>
      <c r="AY20" s="181">
        <f t="shared" ref="AY20:AY83" si="14">IF(C20="HLEAR",BC20,AB20)</f>
        <v>45509</v>
      </c>
      <c r="AZ20" s="181">
        <f t="shared" si="3"/>
        <v>45578</v>
      </c>
      <c r="BA20" s="181">
        <f t="shared" si="4"/>
        <v>45585</v>
      </c>
      <c r="BC20" s="181">
        <f>IFERROR(INDEX(Program_01!BF:BF,MATCH($B20,Program_01!$A:$A,0)),"")</f>
        <v>45509</v>
      </c>
      <c r="BD20" s="188" t="str">
        <f ca="1">IFERROR(INDEX(Program_01!BG:BG,MATCH($B20,Program_01!$A:$A,0)),"")</f>
        <v>N/A</v>
      </c>
      <c r="BE20" s="181">
        <f>IFERROR(INDEX(Program_01!BH:BH,MATCH($B20,Program_01!$A:$A,0)),"")</f>
        <v>0</v>
      </c>
      <c r="BF20" s="189" t="str">
        <f ca="1">IFERROR(INDEX(Program_01!BI:BI,MATCH($B20,Program_01!$A:$A,0)),"")</f>
        <v>N/A</v>
      </c>
      <c r="BG20" s="181">
        <f>IFERROR(INDEX(Program_01!BJ:BJ,MATCH($B20,Program_01!$A:$A,0)),"")</f>
        <v>0</v>
      </c>
      <c r="BH20" s="189">
        <f ca="1">IFERROR(INDEX(Program_01!BK:BK,MATCH($B20,Program_01!$A:$A,0)),"")</f>
        <v>0</v>
      </c>
      <c r="BI20" s="181">
        <f>IFERROR(INDEX(Program_01!BL:BL,MATCH($B20,Program_01!$A:$A,0)),"")</f>
        <v>0</v>
      </c>
      <c r="BK20" s="190">
        <f>IFERROR(IF(INDEX(Program_01!$BX:$BX,MATCH($B20,Program_01!$A:$A,0))=DATE(1900,1,0),"",INDEX(Program_01!$BX:$BX,MATCH($B20,Program_01!$A:$A,0))),"")</f>
        <v>45578</v>
      </c>
      <c r="BL20" s="190" t="str">
        <f>IFERROR(IF(INDEX(Program_01!$BY:$BY,MATCH($B20,Program_01!$A:$A,0))=DATE(1900,1,0),"",INDEX(Program_01!$BY:$BY,MATCH($B20,Program_01!$A:$A,0))),"")</f>
        <v/>
      </c>
      <c r="BM20" s="188">
        <f t="shared" ref="BM20:BM83" ca="1" si="15">IF(OR($AZ20="",$AZ20="N/A"),"",IF(AND($AZ20="",$AY20&lt;&gt;""),TODAY()-$AY20,$AZ20-$AY20))</f>
        <v>69</v>
      </c>
      <c r="BN20" s="191">
        <f t="shared" ref="BN20:BN82" ca="1" si="16">IF(OR($C20="DEOT",$C20="N/A",$I20=""),"",IF(OR($AM20="Revise &amp; resubmit",$AT20="Awaiting Conclusion of EoT",$AR20="Not Applicable",$AY20=0,$AY20="TBA",$AZ20="N/A",AY20=0),0,IF(AND($AR20="Assessment Report Issued",$AT20&lt;&gt;""),$AZ20-$AY20,IF(AND($AR20="Pending",$AT20="Contractor"),"",IF(AND($AZ20="",$AY20&lt;&gt;""),TODAY()-$AY20,$AZ20-$AY20)))))</f>
        <v>69</v>
      </c>
      <c r="BO20" s="188">
        <f t="shared" ca="1" si="5"/>
        <v>69</v>
      </c>
      <c r="BP20" s="188" t="str">
        <f t="shared" si="6"/>
        <v>1</v>
      </c>
      <c r="BQ20" s="188" t="str">
        <f t="shared" ref="BQ20:BQ83" ca="1" si="17">IF(AND($AR20="Pending",$BN20&gt;140),$BN20,"")</f>
        <v/>
      </c>
      <c r="BR20" s="181" t="str">
        <f t="shared" ref="BR20:BR28" ca="1" si="18">IF(BQ20="","","1")</f>
        <v/>
      </c>
      <c r="BT20" s="190">
        <f>IFERROR(IF(INDEX(Program_01!$BZ:$BZ,MATCH($B20,Program_01!$A:$A,0))=DATE(1900,1,0),"",INDEX(Program_01!$BZ:$BZ,MATCH($B20,Program_01!$A:$A,0))),"")</f>
        <v>45585</v>
      </c>
      <c r="BU20" s="182">
        <f ca="1">IF(OR($I20="",$AV20="",$AM20&lt;&gt;0,$BA20="N/A",$AZ20=""),"",IF(AND($BA20="",$AZ20&lt;&gt;""),TODAY()-$AZ20,$BA20-$AZ20))</f>
        <v>7</v>
      </c>
      <c r="BV20" s="188" t="str">
        <f t="shared" si="7"/>
        <v/>
      </c>
      <c r="BW20" s="188" t="str">
        <f t="shared" si="8"/>
        <v>1</v>
      </c>
      <c r="BX20" s="188" t="str">
        <f t="shared" ca="1" si="9"/>
        <v/>
      </c>
      <c r="BY20" s="181" t="str">
        <f t="shared" ref="BY20:BY28" ca="1" si="19">IF(BX20="","","1")</f>
        <v/>
      </c>
      <c r="CA20" s="192" t="str">
        <f t="shared" ref="CA20:CA94" si="20">IF($I20="","",IF(AND($AR20="Assessment Report Issued",$AZ20&lt;&gt;""),"Y","N"))</f>
        <v>Y</v>
      </c>
      <c r="CB20" s="192" t="str">
        <f t="shared" ref="CB20:CB94" si="21">IF($I20="","",IF(OR($AS20="Determination Issued",$AS20="VO Issued"),"Y","N"))</f>
        <v>N</v>
      </c>
      <c r="CC20" s="193">
        <f>IFERROR(INDEX(Program_01!$CE:$CE,MATCH($B20,Program_01!$A:$A,0)),"")</f>
        <v>0</v>
      </c>
      <c r="CD20" s="193">
        <f t="shared" si="10"/>
        <v>45045</v>
      </c>
      <c r="CG20" s="194">
        <f>IFERROR(INDEX(Program_01!$AT:$AT,MATCH($B20,Program_01!$A:$A,0)),"")</f>
        <v>653085.79</v>
      </c>
      <c r="CH20" s="194">
        <f>IFERROR(INDEX(Program_01!$AX:$AX,MATCH($B20,Program_01!$A:$A,0)),"")</f>
        <v>10071304</v>
      </c>
      <c r="CI20" s="187" t="s">
        <v>220</v>
      </c>
    </row>
    <row r="21" spans="1:87" s="187" customFormat="1" ht="359.25" customHeight="1">
      <c r="A21" s="174" t="s">
        <v>1</v>
      </c>
      <c r="B21" s="175">
        <v>3</v>
      </c>
      <c r="C21" s="176" t="str">
        <f>IFERROR(INDEX(Program_01!$B:$B,MATCH($B21,Program_01!$A:$A,0)),"")</f>
        <v>FULL TIA EAR</v>
      </c>
      <c r="D21" s="176" t="str">
        <f>IFERROR(INDEX(Program_01!$D:$D,MATCH($B21,Program_01!$A:$A,0)),"")</f>
        <v>1TB01002C01</v>
      </c>
      <c r="E21" s="176" t="str">
        <f>IFERROR(INDEX(Program_01!$E:$E,MATCH($B21,Program_01!$A:$A,0)),"")</f>
        <v>1.TB.01.002.01</v>
      </c>
      <c r="F21" s="176" t="str">
        <f>IFERROR(INDEX(Program_01!$F:$F,MATCH($B21,Program_01!$A:$A,0)),"")</f>
        <v>Marina Lifestyle Hotel &amp; Village</v>
      </c>
      <c r="G21" s="176" t="str">
        <f>IFERROR(INDEX(Program_01!$G:$G,MATCH($B21,Program_01!$A:$A,0)),"")</f>
        <v>Triple Bay Wide Ground Improvement</v>
      </c>
      <c r="H21" s="176" t="str">
        <f>IFERROR(INDEX(Program_01!$H:$H,MATCH($B21,Program_01!$A:$A,0)),"")</f>
        <v>Soil Improvement Contracting</v>
      </c>
      <c r="I21" s="176" t="str">
        <f t="shared" si="11"/>
        <v>EOT</v>
      </c>
      <c r="J21" s="176">
        <f>IFERROR(INDEX(Program_01!$I:$I,MATCH($B21,Program_01!$A:$A,0)),"")</f>
        <v>1</v>
      </c>
      <c r="K21" s="176">
        <f>IFERROR(INDEX(Program_01!$J:$J,MATCH($B21,Program_01!$A:$A,0)),"")</f>
        <v>0</v>
      </c>
      <c r="L21" s="176">
        <f>IFERROR(INDEX(Program_01!$K:$K,MATCH($B21,Program_01!$A:$A,0)),"")</f>
        <v>0</v>
      </c>
      <c r="M21" s="176">
        <f>IFERROR(INDEX(Program_01!$L:$L,MATCH($B21,Program_01!$A:$A,0)),"")</f>
        <v>0</v>
      </c>
      <c r="N21" s="176">
        <f>IFERROR(INDEX(Program_01!$L:$L,MATCH($B21,Program_01!$A:$A,0)),"")</f>
        <v>0</v>
      </c>
      <c r="O21" s="176">
        <f>IFERROR(INDEX(Program_01!$N:$N,MATCH($B21,Program_01!$A:$A,0)),"")</f>
        <v>0</v>
      </c>
      <c r="P21" s="178"/>
      <c r="Q21" s="179" t="str">
        <f>IFERROR(INDEX(Program_01!$C:$C,MATCH($B21,Program_01!$A:$A,0)),"")</f>
        <v>Consolidated Claim - EOT (Delay in IFC's)</v>
      </c>
      <c r="R21" s="176" t="str">
        <f>IFERROR(INDEX(Program_01!$V:$V,MATCH($B21,Program_01!$A:$A,0)),"")</f>
        <v>1TB04004-004C03-SIC-LTR-0018</v>
      </c>
      <c r="S21" s="180">
        <f>IFERROR(INDEX(Program_01!$W:$W,MATCH($B21,Program_01!$A:$A,0)),"")</f>
        <v>44702</v>
      </c>
      <c r="T21" s="178"/>
      <c r="U21" s="176" t="str">
        <f>IFERROR(INDEX(Program_01!$Z:$Z,MATCH($B21,Program_01!$A:$A,0)),"")</f>
        <v>1TB04004-004C03-SAP-LTR-0027</v>
      </c>
      <c r="V21" s="181">
        <f>IFERROR(INDEX(Program_01!$AA:$AA,MATCH($B21,Program_01!$A:$A,0)),"")</f>
        <v>44710</v>
      </c>
      <c r="W21" s="182">
        <f t="shared" ca="1" si="0"/>
        <v>8</v>
      </c>
      <c r="X21" s="169"/>
      <c r="Y21" s="179" t="str">
        <f>IFERROR(INDEX(Program_01!$BD:$BD,MATCH($B21,Program_01!$A:$A,0)),"")</f>
        <v>WF-016414  Name: TB Wide - Ground Improvement Works - SIC - Marina Lifestyle Hotel - Employer's Assessment Report - EOT 06 (1TB04004-004C03-AMA-RPT-CM-0005)
09 May 24: Contractor accepted the Employer's EOT  assessment report via letter ref  1TB04004-004CO3-SIC-LTR-113</v>
      </c>
      <c r="Z21" s="169"/>
      <c r="AA21" s="183" t="str">
        <f>IFERROR(IF((INDEX(Program_01!$AD:$AD,MATCH($B21,Program_01!$A:$A,0))=""),INDEX(Program_01!$V:$V,MATCH($B21,Program_01!$A:$A,0)),INDEX(Program_01!$AD:$AD,MATCH($B21,Program_01!$A:$A,0))),"")</f>
        <v>1TB04004-004C03-SIC-LTR-0043 dated 03-Sep-2022
1TB04004-004C03-SIC-LTR-0103</v>
      </c>
      <c r="AB21" s="147">
        <f>IFERROR(IF((INDEX(Program_01!$AE:$AE,MATCH($B21,Program_01!$A:$A,0))=""),INDEX(Program_01!$W:$W,MATCH($B21,Program_01!$A:$A,0)),INDEX(Program_01!$AE:$AE,MATCH($B21,Program_01!$A:$A,0))),"")</f>
        <v>45111</v>
      </c>
      <c r="AC21" s="183" t="str">
        <f>IFERROR(IF($I21="EOT",INDEX(Program_01!$AN:$AN,MATCH($B21,Program_01!$A:$A,0)),INDEX(Program_01!$AY:$AY,MATCH($B21,Program_01!$A:$A,0))),"")</f>
        <v>1TB04004-004C03-AMA-LTR-0007</v>
      </c>
      <c r="AD21" s="181">
        <f>IFERROR(IF($I21="EOT",INDEX(Program_01!$AO:$AO,MATCH($B21,Program_01!$A:$A,0)),INDEX(Program_01!$AZ:$AZ,MATCH($B21,Program_01!$A:$A,0))),"")</f>
        <v>45407</v>
      </c>
      <c r="AE21" s="169"/>
      <c r="AF21" s="183"/>
      <c r="AG21" s="181"/>
      <c r="AH21" s="183" t="str">
        <f>IF(OR($D21="",$AS21="VO Issued",$AS21="Open"),"",IF(OR($AC21="Rejected",$AC21="Superseded",$AC21="Dealt Separately"),$AC21,IF($I21="EOT",INDEX(Program_01!$AR:$AR,MATCH($B21,Program_01!$A:$A,0)),INDEX(Program_01!$BB:$BB,MATCH($B21,Program_01!$A:$A,0)))))</f>
        <v>AMA04004-GENCORR-000738
1TB04004-004C03-AMA-DVO-CM-0004[C0]-MLH - EOT No.6 for GI Works (Time only)</v>
      </c>
      <c r="AI21" s="181">
        <f>IF(OR($A21="",$B21="",$I21="",$AS21="VO Issued",$AS21="Open"),"",IF(OR($AD21="N/A"),$AD21,IF($I21="EOT",INDEX(Program_01!$AS:$AS,MATCH($B21,Program_01!$A:$A,0)),INDEX(Program_01!$BC:$BC,MATCH($B21,Program_01!$A:$A,0)))))</f>
        <v>45545</v>
      </c>
      <c r="AJ21" s="183" t="str">
        <f>IF(OR($D21="",$I21="",$AS21="Determination Issued",$AS21="Rejected",$AS21="Open"),"",IF(OR($AH21="Rejected",$AH21="Dealt Separately",$AH21="Superseded",$AH21="Withdrawn"),"N/A",IF($I21="EOT",INDEX(Program_01!AR:AR,MATCH($B21,Program_01!A:A,0)),INDEX(Program_01!BB:BB,MATCH($B21,Program_01!A:A,0)))))</f>
        <v>AMA04004-GENCORR-000738
1TB04004-004C03-AMA-DVO-CM-0004[C0]-MLH - EOT No.6 for GI Works (Time only)</v>
      </c>
      <c r="AK21" s="181">
        <f>IF(OR($A21="",$B21="",$I21="",$AS21="Determination Issued",$AS21="Rejected",$AS21="Open"),"",IF($AJ21="N/A","N/A",IF($I21="EOT",INDEX(Program_01!AS:AS,MATCH($B21,Program_01!A:A,0)),INDEX(Program_01!BC:BC,MATCH($B21,Program_01!A:A,0)))))</f>
        <v>45545</v>
      </c>
      <c r="AL21" s="169"/>
      <c r="AM21" s="184">
        <f>IFERROR(INDEX(Program_01!$BT:$BT,MATCH($B21,Program_01!$A:$A,0)),"")</f>
        <v>0</v>
      </c>
      <c r="AN21" s="184">
        <f>IFERROR(INDEX(Program_01!$BU:$BU,MATCH($B21,Program_01!$A:$A,0)),"")</f>
        <v>0</v>
      </c>
      <c r="AO21" s="184">
        <f>IFERROR(INDEX(Program_01!$BV:$BV,MATCH($B21,Program_01!$A:$A,0)),"")</f>
        <v>0</v>
      </c>
      <c r="AP21" s="169" t="str">
        <f t="shared" si="12"/>
        <v/>
      </c>
      <c r="AQ21" s="184">
        <f>IFERROR(INDEX(Program_01!$BN:$BN,MATCH($B21,Program_01!$A:$A,0)),"")</f>
        <v>0</v>
      </c>
      <c r="AR21" s="184" t="str">
        <f>IFERROR(INDEX(Program_01!$BO:$BO,MATCH($B21,Program_01!$A:$A,0)),"")</f>
        <v>Assessment Report Issued</v>
      </c>
      <c r="AS21" s="184" t="str">
        <f>IFERROR(INDEX(Program_01!$BP:$BP,MATCH($B21,Program_01!$A:$A,0)),"")</f>
        <v>DVO Issued</v>
      </c>
      <c r="AT21" s="185" t="str">
        <f>IFERROR(INDEX(Program_01!$BQ:$BQ,MATCH($B21,Program_01!$A:$A,0)),"")</f>
        <v>Closed</v>
      </c>
      <c r="AU21" s="179" t="str">
        <f>IFERROR(INDEX(Program_01!$BR:$BR,MATCH($B21,Program_01!$A:$A,0)),"")</f>
        <v>22 Apr 24: WF currently with Fahad for approval
25 Apr 24: Assessment report issued to the contractor. awaiting acceptance on the same
06 May 24: ditto
09 May 24: Contractor accepted the Employer's EOT  assessment report via letter ref  1TB04004-004CO3-SIC-LTR-113. Commercial to prepare VO/DVO following to PVO approval
07 Jul 24: VO under preperation, targeted to finalize it by today
15-July-24 PVO/VO drafted, targeted to put in WF today
29 Jul 24: PVO/ VO in  WF (WF-016540)
10 Aug 24: Still in WF
25 Aug 24: WF approved by CEO on 25th Aug. targeteded to issue it EOD
27 Aug 24: VO issued to contractor
28 Aug 24: VO signed by contractor and sent back to commercial. Commercial to prepare DVO
08 Sep 2024  DVO put in the workflow on 05 Sep 24, WF-016564 Early Works
10 Sep 24: DVO issued to contractor via mail ref AMA04004-GENCORR-000738. contractor to return signed copy</v>
      </c>
      <c r="AV21" s="186" t="str">
        <f t="shared" si="1"/>
        <v>CLOSED</v>
      </c>
      <c r="AW21" s="186" t="str">
        <f t="shared" si="13"/>
        <v/>
      </c>
      <c r="AX21" s="186" t="str">
        <f t="shared" si="2"/>
        <v>CLOSED</v>
      </c>
      <c r="AY21" s="181">
        <f t="shared" si="14"/>
        <v>45111</v>
      </c>
      <c r="AZ21" s="181">
        <f t="shared" si="3"/>
        <v>45407</v>
      </c>
      <c r="BA21" s="181">
        <f t="shared" si="4"/>
        <v>45545</v>
      </c>
      <c r="BC21" s="181">
        <f>IFERROR(INDEX(Program_01!BF:BF,MATCH($B21,Program_01!$A:$A,0)),"")</f>
        <v>45111</v>
      </c>
      <c r="BD21" s="188" t="str">
        <f ca="1">IFERROR(INDEX(Program_01!BG:BG,MATCH($B21,Program_01!$A:$A,0)),"")</f>
        <v>N/A</v>
      </c>
      <c r="BE21" s="181">
        <f>IFERROR(INDEX(Program_01!BH:BH,MATCH($B21,Program_01!$A:$A,0)),"")</f>
        <v>0</v>
      </c>
      <c r="BF21" s="189">
        <f ca="1">IFERROR(INDEX(Program_01!BI:BI,MATCH($B21,Program_01!$A:$A,0)),"")</f>
        <v>0</v>
      </c>
      <c r="BG21" s="181">
        <f>IFERROR(INDEX(Program_01!BJ:BJ,MATCH($B21,Program_01!$A:$A,0)),"")</f>
        <v>0</v>
      </c>
      <c r="BH21" s="189">
        <f ca="1">IFERROR(INDEX(Program_01!BK:BK,MATCH($B21,Program_01!$A:$A,0)),"")</f>
        <v>0</v>
      </c>
      <c r="BI21" s="181">
        <f>IFERROR(INDEX(Program_01!BL:BL,MATCH($B21,Program_01!$A:$A,0)),"")</f>
        <v>0</v>
      </c>
      <c r="BK21" s="190">
        <f>IFERROR(IF(INDEX(Program_01!$BX:$BX,MATCH($B21,Program_01!$A:$A,0))=DATE(1900,1,0),"",INDEX(Program_01!$BX:$BX,MATCH($B21,Program_01!$A:$A,0))),"")</f>
        <v>45407</v>
      </c>
      <c r="BL21" s="190" t="str">
        <f>IFERROR(IF(INDEX(Program_01!$BY:$BY,MATCH($B21,Program_01!$A:$A,0))=DATE(1900,1,0),"",INDEX(Program_01!$BY:$BY,MATCH($B21,Program_01!$A:$A,0))),"")</f>
        <v/>
      </c>
      <c r="BM21" s="188">
        <f t="shared" ca="1" si="15"/>
        <v>296</v>
      </c>
      <c r="BN21" s="191">
        <f t="shared" ca="1" si="16"/>
        <v>296</v>
      </c>
      <c r="BO21" s="188">
        <f t="shared" ca="1" si="5"/>
        <v>296</v>
      </c>
      <c r="BP21" s="188" t="str">
        <f t="shared" si="6"/>
        <v>1</v>
      </c>
      <c r="BQ21" s="188" t="str">
        <f t="shared" ca="1" si="17"/>
        <v/>
      </c>
      <c r="BR21" s="181" t="str">
        <f t="shared" ca="1" si="18"/>
        <v/>
      </c>
      <c r="BT21" s="190">
        <f>IFERROR(IF(INDEX(Program_01!$BZ:$BZ,MATCH($B21,Program_01!$A:$A,0))=DATE(1900,1,0),"",INDEX(Program_01!$BZ:$BZ,MATCH($B21,Program_01!$A:$A,0))),"")</f>
        <v>45545</v>
      </c>
      <c r="BU21" s="182">
        <f t="shared" ref="BU21:BU94" ca="1" si="22">IF(OR($I21="",$AV21="",$AM21&lt;&gt;0,$BA21="N/A",$AZ21=""),"",IF(AND($BA21="",$AZ21&lt;&gt;""),TODAY()-$AZ21,$BA21-$AZ21))</f>
        <v>138</v>
      </c>
      <c r="BV21" s="188" t="str">
        <f t="shared" si="7"/>
        <v/>
      </c>
      <c r="BW21" s="188" t="str">
        <f t="shared" si="8"/>
        <v>1</v>
      </c>
      <c r="BX21" s="188">
        <f t="shared" ca="1" si="9"/>
        <v>138</v>
      </c>
      <c r="BY21" s="181" t="str">
        <f t="shared" ca="1" si="19"/>
        <v>1</v>
      </c>
      <c r="CA21" s="192" t="str">
        <f t="shared" si="20"/>
        <v>Y</v>
      </c>
      <c r="CB21" s="192" t="str">
        <f t="shared" si="21"/>
        <v>N</v>
      </c>
      <c r="CC21" s="193">
        <f>IFERROR(INDEX(Program_01!$CE:$CE,MATCH($B21,Program_01!$A:$A,0)),"")</f>
        <v>0</v>
      </c>
      <c r="CD21" s="193">
        <f t="shared" si="10"/>
        <v>44702</v>
      </c>
      <c r="CG21" s="194">
        <f>IFERROR(INDEX(Program_01!$AT:$AT,MATCH($B21,Program_01!$A:$A,0)),"")</f>
        <v>0</v>
      </c>
      <c r="CH21" s="194">
        <f>IFERROR(INDEX(Program_01!$AX:$AX,MATCH($B21,Program_01!$A:$A,0)),"")</f>
        <v>0</v>
      </c>
    </row>
    <row r="22" spans="1:87" s="187" customFormat="1" ht="330.75" customHeight="1">
      <c r="A22" s="174" t="s">
        <v>1</v>
      </c>
      <c r="B22" s="175">
        <v>4</v>
      </c>
      <c r="C22" s="176" t="str">
        <f>IFERROR(INDEX(Program_01!$B:$B,MATCH($B22,Program_01!$A:$A,0)),"")</f>
        <v>COST EAR</v>
      </c>
      <c r="D22" s="176" t="str">
        <f>IFERROR(INDEX(Program_01!$D:$D,MATCH($B22,Program_01!$A:$A,0)),"")</f>
        <v>1TB01002C01</v>
      </c>
      <c r="E22" s="176" t="str">
        <f>IFERROR(INDEX(Program_01!$E:$E,MATCH($B22,Program_01!$A:$A,0)),"")</f>
        <v>1.TB.01.002.01</v>
      </c>
      <c r="F22" s="176" t="str">
        <f>IFERROR(INDEX(Program_01!$F:$F,MATCH($B22,Program_01!$A:$A,0)),"")</f>
        <v>Marina Lifestyle Hotel &amp; Village</v>
      </c>
      <c r="G22" s="176" t="str">
        <f>IFERROR(INDEX(Program_01!$G:$G,MATCH($B22,Program_01!$A:$A,0)),"")</f>
        <v>Triple Bay Wide Ground Improvement</v>
      </c>
      <c r="H22" s="176" t="str">
        <f>IFERROR(INDEX(Program_01!$H:$H,MATCH($B22,Program_01!$A:$A,0)),"")</f>
        <v>Soil Improvement Contracting</v>
      </c>
      <c r="I22" s="176" t="str">
        <f t="shared" si="11"/>
        <v>Prolongation</v>
      </c>
      <c r="J22" s="176">
        <f>IFERROR(INDEX(Program_01!$I:$I,MATCH($B22,Program_01!$A:$A,0)),"")</f>
        <v>0</v>
      </c>
      <c r="K22" s="176">
        <f>IFERROR(INDEX(Program_01!$J:$J,MATCH($B22,Program_01!$A:$A,0)),"")</f>
        <v>1</v>
      </c>
      <c r="L22" s="176">
        <f>IFERROR(INDEX(Program_01!$K:$K,MATCH($B22,Program_01!$A:$A,0)),"")</f>
        <v>0</v>
      </c>
      <c r="M22" s="176">
        <f>IFERROR(INDEX(Program_01!$L:$L,MATCH($B22,Program_01!$A:$A,0)),"")</f>
        <v>0</v>
      </c>
      <c r="N22" s="176">
        <f>IFERROR(INDEX(Program_01!$L:$L,MATCH($B22,Program_01!$A:$A,0)),"")</f>
        <v>0</v>
      </c>
      <c r="O22" s="176">
        <f>IFERROR(INDEX(Program_01!$N:$N,MATCH($B22,Program_01!$A:$A,0)),"")</f>
        <v>0</v>
      </c>
      <c r="P22" s="178"/>
      <c r="Q22" s="179" t="str">
        <f>IFERROR(INDEX(Program_01!$C:$C,MATCH($B22,Program_01!$A:$A,0)),"")</f>
        <v>Consolidated Claim - Prolongation Costs (Delay in IFC's)</v>
      </c>
      <c r="R22" s="176" t="str">
        <f>IFERROR(INDEX(Program_01!$V:$V,MATCH($B22,Program_01!$A:$A,0)),"")</f>
        <v>1TB04004-004C03-SIC-LTR-0018</v>
      </c>
      <c r="S22" s="180">
        <f>IFERROR(INDEX(Program_01!$W:$W,MATCH($B22,Program_01!$A:$A,0)),"")</f>
        <v>44702</v>
      </c>
      <c r="T22" s="178"/>
      <c r="U22" s="176" t="str">
        <f>IFERROR(INDEX(Program_01!$Z:$Z,MATCH($B22,Program_01!$A:$A,0)),"")</f>
        <v>1TB04004-004C03-SAP-LTR-0027</v>
      </c>
      <c r="V22" s="181">
        <f>IFERROR(INDEX(Program_01!$AA:$AA,MATCH($B22,Program_01!$A:$A,0)),"")</f>
        <v>44710</v>
      </c>
      <c r="W22" s="182">
        <f t="shared" ca="1" si="0"/>
        <v>8</v>
      </c>
      <c r="X22" s="169"/>
      <c r="Y22" s="179" t="str">
        <f>IFERROR(INDEX(Program_01!$BD:$BD,MATCH($B22,Program_01!$A:$A,0)),"")</f>
        <v>1TB04004-004C03-AMA-LTR-0007 dated 25 Apr 24
11TB04004-004CO3-SIC-LTR-113 dated 09 May 24
AMA04004-VAR-OR-000002 issued on 22 Sep 24
AMA04004-DVOR-000001 issued on 22 Sep 24</v>
      </c>
      <c r="Z22" s="169"/>
      <c r="AA22" s="183" t="str">
        <f>IFERROR(IF((INDEX(Program_01!$AD:$AD,MATCH($B22,Program_01!$A:$A,0))=""),INDEX(Program_01!$V:$V,MATCH($B22,Program_01!$A:$A,0)),INDEX(Program_01!$AD:$AD,MATCH($B22,Program_01!$A:$A,0))),"")</f>
        <v>1TB04004-004C03-SIC-LTR-0043 dated 03-Sep-2022
1TB04004-004C03-SIC-LTR-0103 dated 04 Jul 23
1TB04004-004CO3-SIC-LTR-113 09 May 24
further particulars received via email on 15 Jul 24</v>
      </c>
      <c r="AB22" s="147">
        <f>IFERROR(IF((INDEX(Program_01!$AE:$AE,MATCH($B22,Program_01!$A:$A,0))=""),INDEX(Program_01!$W:$W,MATCH($B22,Program_01!$A:$A,0)),INDEX(Program_01!$AE:$AE,MATCH($B22,Program_01!$A:$A,0))),"")</f>
        <v>45488</v>
      </c>
      <c r="AC22" s="183" t="str">
        <f>IFERROR(IF($I22="EOT",INDEX(Program_01!$AN:$AN,MATCH($B22,Program_01!$A:$A,0)),INDEX(Program_01!$AY:$AY,MATCH($B22,Program_01!$A:$A,0))),"")</f>
        <v>1TB04004-004C03-AMA-RPT-CM-0006
1TB04004-004C03-AMA-LTR-0009</v>
      </c>
      <c r="AD22" s="181">
        <f>IFERROR(IF($I22="EOT",INDEX(Program_01!$AO:$AO,MATCH($B22,Program_01!$A:$A,0)),INDEX(Program_01!$AZ:$AZ,MATCH($B22,Program_01!$A:$A,0))),"")</f>
        <v>45542</v>
      </c>
      <c r="AE22" s="169"/>
      <c r="AF22" s="183"/>
      <c r="AG22" s="181"/>
      <c r="AH22" s="183" t="str">
        <f>IF(OR($D22="",$AS22="VO Issued",$AS22="Open"),"",IF(OR($AC22="Rejected",$AC22="Superseded",$AC22="Dealt Separately"),$AC22,IF($I22="EOT",INDEX(Program_01!$AR:$AR,MATCH($B22,Program_01!$A:$A,0)),INDEX(Program_01!$BB:$BB,MATCH($B22,Program_01!$A:$A,0)))))</f>
        <v>AMA04004-DVOR-000001 issued on 22 Sep 24</v>
      </c>
      <c r="AI22" s="181">
        <f>IF(OR($A22="",$B22="",$I22="",$AS22="VO Issued",$AS22="Open"),"",IF(OR($AD22="N/A"),$AD22,IF($I22="EOT",INDEX(Program_01!$AS:$AS,MATCH($B22,Program_01!$A:$A,0)),INDEX(Program_01!$BC:$BC,MATCH($B22,Program_01!$A:$A,0)))))</f>
        <v>45557</v>
      </c>
      <c r="AJ22" s="183" t="str">
        <f>IF(OR($D22="",$I22="",$AS22="Determination Issued",$AS22="Rejected",$AS22="Open"),"",IF(OR($AH22="Rejected",$AH22="Dealt Separately",$AH22="Superseded",$AH22="Withdrawn"),"N/A",IF($I22="EOT",INDEX(Program_01!AR:AR,MATCH($B22,Program_01!A:A,0)),INDEX(Program_01!BB:BB,MATCH($B22,Program_01!A:A,0)))))</f>
        <v>AMA04004-DVOR-000001 issued on 22 Sep 24</v>
      </c>
      <c r="AK22" s="181">
        <f>IF(OR($A22="",$B22="",$I22="",$AS22="Determination Issued",$AS22="Rejected",$AS22="Open"),"",IF($AJ22="N/A","N/A",IF($I22="EOT",INDEX(Program_01!AS:AS,MATCH($B22,Program_01!A:A,0)),INDEX(Program_01!BC:BC,MATCH($B22,Program_01!A:A,0)))))</f>
        <v>45557</v>
      </c>
      <c r="AL22" s="169"/>
      <c r="AM22" s="184">
        <f>IFERROR(INDEX(Program_01!$BT:$BT,MATCH($B22,Program_01!$A:$A,0)),"")</f>
        <v>0</v>
      </c>
      <c r="AN22" s="184">
        <f>IFERROR(INDEX(Program_01!$BU:$BU,MATCH($B22,Program_01!$A:$A,0)),"")</f>
        <v>0</v>
      </c>
      <c r="AO22" s="184">
        <f>IFERROR(INDEX(Program_01!$BV:$BV,MATCH($B22,Program_01!$A:$A,0)),"")</f>
        <v>0</v>
      </c>
      <c r="AP22" s="169" t="str">
        <f t="shared" si="12"/>
        <v/>
      </c>
      <c r="AQ22" s="184">
        <f>IFERROR(INDEX(Program_01!$BN:$BN,MATCH($B22,Program_01!$A:$A,0)),"")</f>
        <v>0</v>
      </c>
      <c r="AR22" s="184" t="str">
        <f>IFERROR(INDEX(Program_01!$BO:$BO,MATCH($B22,Program_01!$A:$A,0)),"")</f>
        <v>Assessment Report Issued</v>
      </c>
      <c r="AS22" s="184" t="str">
        <f>IFERROR(INDEX(Program_01!$BP:$BP,MATCH($B22,Program_01!$A:$A,0)),"")</f>
        <v>DVO Issued</v>
      </c>
      <c r="AT22" s="185" t="str">
        <f>IFERROR(INDEX(Program_01!$BQ:$BQ,MATCH($B22,Program_01!$A:$A,0)),"")</f>
        <v>Closed</v>
      </c>
      <c r="AU22" s="179" t="str">
        <f>IFERROR(INDEX(Program_01!$BR:$BR,MATCH($B22,Program_01!$A:$A,0)),"")</f>
        <v>28 May 24: PG advised commercial to provide brief narrative on each of the heads of claims for costs
2-June-24 -The cost assessment report was issued to PG for review. Report was sent back to commercial with comments.
7-Jul-24:Invoices received from SIC and is updating their report to reflect Paul G's comments. targeted to finalize the report and to send it by COB tomorrow for PG's review.
14-July-24 Cost Assessmnet targeted to be sent to Paul G by EOD
27 Jul 24: Sent to claim team for review.
29 Jul 24: report under review with claims
10 Aug 24: WC &amp; PII cost to be reevaluated as per claims comments. contractor provided the additional insurance details on 15 Jul 24 via email
20 Aug 24: Assessment report put in WF (WF-016555) on 19 Aug 24
26 Aug 24: Still in WF
02 Sep 24: WF approved by GCEO, to be issued to the contractor EoD
08 Sep 24: Cost Assessment issued to Contractor for acceptance, after which VO / DVO shall be processed.
09 Sep 24: Contractor aknowledged the assessment report. commercial to prepare PVO/VO &amp; DVO. targeted to put in WF
10 Sep 24: PVO / VO &amp; DVO put in WF (WF-016566)
24 Sep 24: VO &amp; DVO issued to contractor on 22 Sep 24</v>
      </c>
      <c r="AV22" s="186" t="str">
        <f t="shared" si="1"/>
        <v>CLOSED</v>
      </c>
      <c r="AW22" s="186" t="str">
        <f t="shared" si="13"/>
        <v/>
      </c>
      <c r="AX22" s="186" t="str">
        <f t="shared" si="2"/>
        <v>CLOSED</v>
      </c>
      <c r="AY22" s="181">
        <f t="shared" si="14"/>
        <v>45488</v>
      </c>
      <c r="AZ22" s="181">
        <f t="shared" si="3"/>
        <v>45542</v>
      </c>
      <c r="BA22" s="181">
        <f t="shared" si="4"/>
        <v>45557</v>
      </c>
      <c r="BC22" s="181">
        <f>IFERROR(INDEX(Program_01!BF:BF,MATCH($B22,Program_01!$A:$A,0)),"")</f>
        <v>45488</v>
      </c>
      <c r="BD22" s="188" t="str">
        <f ca="1">IFERROR(INDEX(Program_01!BG:BG,MATCH($B22,Program_01!$A:$A,0)),"")</f>
        <v>N/A</v>
      </c>
      <c r="BE22" s="181">
        <f>IFERROR(INDEX(Program_01!BH:BH,MATCH($B22,Program_01!$A:$A,0)),"")</f>
        <v>0</v>
      </c>
      <c r="BF22" s="189" t="str">
        <f ca="1">IFERROR(INDEX(Program_01!BI:BI,MATCH($B22,Program_01!$A:$A,0)),"")</f>
        <v>N/A</v>
      </c>
      <c r="BG22" s="181">
        <f>IFERROR(INDEX(Program_01!BJ:BJ,MATCH($B22,Program_01!$A:$A,0)),"")</f>
        <v>0</v>
      </c>
      <c r="BH22" s="189">
        <f ca="1">IFERROR(INDEX(Program_01!BK:BK,MATCH($B22,Program_01!$A:$A,0)),"")</f>
        <v>0</v>
      </c>
      <c r="BI22" s="181">
        <f>IFERROR(INDEX(Program_01!BL:BL,MATCH($B22,Program_01!$A:$A,0)),"")</f>
        <v>0</v>
      </c>
      <c r="BK22" s="190">
        <f>IFERROR(IF(INDEX(Program_01!$BX:$BX,MATCH($B22,Program_01!$A:$A,0))=DATE(1900,1,0),"",INDEX(Program_01!$BX:$BX,MATCH($B22,Program_01!$A:$A,0))),"")</f>
        <v>45539</v>
      </c>
      <c r="BL22" s="190" t="str">
        <f>IFERROR(IF(INDEX(Program_01!$BY:$BY,MATCH($B22,Program_01!$A:$A,0))=DATE(1900,1,0),"",INDEX(Program_01!$BY:$BY,MATCH($B22,Program_01!$A:$A,0))),"")</f>
        <v/>
      </c>
      <c r="BM22" s="188">
        <f t="shared" ca="1" si="15"/>
        <v>54</v>
      </c>
      <c r="BN22" s="191">
        <f t="shared" ca="1" si="16"/>
        <v>54</v>
      </c>
      <c r="BO22" s="188">
        <f t="shared" ca="1" si="5"/>
        <v>54</v>
      </c>
      <c r="BP22" s="188" t="str">
        <f t="shared" si="6"/>
        <v>1</v>
      </c>
      <c r="BQ22" s="188" t="str">
        <f t="shared" ca="1" si="17"/>
        <v/>
      </c>
      <c r="BR22" s="181" t="str">
        <f t="shared" ca="1" si="18"/>
        <v/>
      </c>
      <c r="BT22" s="195">
        <f>IFERROR(IF(INDEX(Program_01!$BZ:$BZ,MATCH($B22,Program_01!$A:$A,0))=DATE(1900,1,0),"",INDEX(Program_01!$BZ:$BZ,MATCH($B22,Program_01!$A:$A,0))),"")</f>
        <v>45557</v>
      </c>
      <c r="BU22" s="182">
        <f t="shared" ca="1" si="22"/>
        <v>15</v>
      </c>
      <c r="BV22" s="188" t="str">
        <f t="shared" si="7"/>
        <v/>
      </c>
      <c r="BW22" s="188" t="str">
        <f t="shared" si="8"/>
        <v>1</v>
      </c>
      <c r="BX22" s="188" t="str">
        <f t="shared" ca="1" si="9"/>
        <v/>
      </c>
      <c r="BY22" s="181" t="str">
        <f t="shared" ca="1" si="19"/>
        <v/>
      </c>
      <c r="CA22" s="192" t="str">
        <f t="shared" si="20"/>
        <v>Y</v>
      </c>
      <c r="CB22" s="192" t="str">
        <f t="shared" si="21"/>
        <v>N</v>
      </c>
      <c r="CC22" s="193">
        <f>IFERROR(INDEX(Program_01!$CE:$CE,MATCH($B22,Program_01!$A:$A,0)),"")</f>
        <v>0</v>
      </c>
      <c r="CD22" s="193">
        <f t="shared" si="10"/>
        <v>44702</v>
      </c>
      <c r="CG22" s="194">
        <f>IFERROR(INDEX(Program_01!$AT:$AT,MATCH($B22,Program_01!$A:$A,0)),"")</f>
        <v>2201256.02</v>
      </c>
      <c r="CH22" s="194">
        <f>IFERROR(INDEX(Program_01!$AX:$AX,MATCH($B22,Program_01!$A:$A,0)),"")</f>
        <v>1003204.66</v>
      </c>
      <c r="CI22" s="187" t="s">
        <v>220</v>
      </c>
    </row>
    <row r="23" spans="1:87" s="187" customFormat="1" ht="204">
      <c r="A23" s="174" t="s">
        <v>1</v>
      </c>
      <c r="B23" s="175">
        <v>5</v>
      </c>
      <c r="C23" s="176" t="str">
        <f>IFERROR(INDEX(Program_01!$B:$B,MATCH($B23,Program_01!$A:$A,0)),"")</f>
        <v>FULL TIA EAR</v>
      </c>
      <c r="D23" s="176" t="str">
        <f>IFERROR(INDEX(Program_01!$D:$D,MATCH($B23,Program_01!$A:$A,0)),"")</f>
        <v>1TB01006C03</v>
      </c>
      <c r="E23" s="176" t="str">
        <f>IFERROR(INDEX(Program_01!$E:$E,MATCH($B23,Program_01!$A:$A,0)),"")</f>
        <v>1.TB.01.006.99</v>
      </c>
      <c r="F23" s="176" t="str">
        <f>IFERROR(INDEX(Program_01!$F:$F,MATCH($B23,Program_01!$A:$A,0)),"")</f>
        <v>Village Boutique Hotel</v>
      </c>
      <c r="G23" s="176" t="str">
        <f>IFERROR(INDEX(Program_01!$G:$G,MATCH($B23,Program_01!$A:$A,0)),"")</f>
        <v>Concrete Structure and Civil Works for Village Boutique Hotel</v>
      </c>
      <c r="H23" s="176" t="str">
        <f>IFERROR(INDEX(Program_01!$H:$H,MATCH($B23,Program_01!$A:$A,0)),"")</f>
        <v>Mounes Mohamed Al Shayeb and Partners for Civil Construction - MOBCO</v>
      </c>
      <c r="I23" s="176" t="str">
        <f t="shared" si="11"/>
        <v>EOT</v>
      </c>
      <c r="J23" s="176">
        <f>IFERROR(INDEX(Program_01!$I:$I,MATCH($B23,Program_01!$A:$A,0)),"")</f>
        <v>1</v>
      </c>
      <c r="K23" s="176">
        <f>IFERROR(INDEX(Program_01!$J:$J,MATCH($B23,Program_01!$A:$A,0)),"")</f>
        <v>0</v>
      </c>
      <c r="L23" s="176">
        <f>IFERROR(INDEX(Program_01!$K:$K,MATCH($B23,Program_01!$A:$A,0)),"")</f>
        <v>0</v>
      </c>
      <c r="M23" s="176">
        <f>IFERROR(INDEX(Program_01!$L:$L,MATCH($B23,Program_01!$A:$A,0)),"")</f>
        <v>0</v>
      </c>
      <c r="N23" s="176">
        <f>IFERROR(INDEX(Program_01!$L:$L,MATCH($B23,Program_01!$A:$A,0)),"")</f>
        <v>0</v>
      </c>
      <c r="O23" s="176">
        <f>IFERROR(INDEX(Program_01!$N:$N,MATCH($B23,Program_01!$A:$A,0)),"")</f>
        <v>0</v>
      </c>
      <c r="P23" s="178"/>
      <c r="Q23" s="179" t="str">
        <f>IFERROR(INDEX(Program_01!$C:$C,MATCH($B23,Program_01!$A:$A,0)),"")</f>
        <v>Consolidated Claim - EOT Claim (Delay in IFC's, Delays in Allocating Mobilization Area, Delay in Site Hand-over)</v>
      </c>
      <c r="R23" s="176" t="str">
        <f>IFERROR(INDEX(Program_01!$V:$V,MATCH($B23,Program_01!$A:$A,0)),"")</f>
        <v>1TB01006-006C03-MOO-LTR-0024
dated 20-Jul-23
Update of Interim EOT No. 01
1TB01006-006C03-MOO-LTR-0030
MOO01006-CLM-000001</v>
      </c>
      <c r="S23" s="180">
        <f>IFERROR(INDEX(Program_01!$W:$W,MATCH($B23,Program_01!$A:$A,0)),"")</f>
        <v>45155</v>
      </c>
      <c r="T23" s="178"/>
      <c r="U23" s="176" t="str">
        <f>IFERROR(INDEX(Program_01!$Z:$Z,MATCH($B23,Program_01!$A:$A,0)),"")</f>
        <v>1TB01006-006C03-AMA-LTR-0054</v>
      </c>
      <c r="V23" s="181">
        <f>IFERROR(INDEX(Program_01!$AA:$AA,MATCH($B23,Program_01!$A:$A,0)),"")</f>
        <v>45193</v>
      </c>
      <c r="W23" s="182">
        <f t="shared" ca="1" si="0"/>
        <v>38</v>
      </c>
      <c r="X23" s="169"/>
      <c r="Y23" s="179" t="str">
        <f>IFERROR(INDEX(Program_01!$BD:$BD,MATCH($B23,Program_01!$A:$A,0)),"")</f>
        <v>Determination was issued to Contractor on 14 Nov 2023</v>
      </c>
      <c r="Z23" s="169"/>
      <c r="AA23" s="183" t="str">
        <f>IFERROR(IF((INDEX(Program_01!$AD:$AD,MATCH($B23,Program_01!$A:$A,0))=""),INDEX(Program_01!$V:$V,MATCH($B23,Program_01!$A:$A,0)),INDEX(Program_01!$AD:$AD,MATCH($B23,Program_01!$A:$A,0))),"")</f>
        <v>1TB01006-006C03-MOO-LTR-0024
dated 20-Jul-23
Update of Interim EOT No. 01
1TB01006-006C03-MOO-LTR-0030
MOO01006-CLM-000001</v>
      </c>
      <c r="AB23" s="147">
        <f>IFERROR(IF((INDEX(Program_01!$AE:$AE,MATCH($B23,Program_01!$A:$A,0))=""),INDEX(Program_01!$W:$W,MATCH($B23,Program_01!$A:$A,0)),INDEX(Program_01!$AE:$AE,MATCH($B23,Program_01!$A:$A,0))),"")</f>
        <v>45155</v>
      </c>
      <c r="AC23" s="183" t="str">
        <f>IFERROR(IF($I23="EOT",INDEX(Program_01!$AN:$AN,MATCH($B23,Program_01!$A:$A,0)),INDEX(Program_01!$AY:$AY,MATCH($B23,Program_01!$A:$A,0))),"")</f>
        <v>1TB01006-006C03-AMA-LTR-0088</v>
      </c>
      <c r="AD23" s="181">
        <f>IFERROR(IF($I23="EOT",INDEX(Program_01!$AO:$AO,MATCH($B23,Program_01!$A:$A,0)),INDEX(Program_01!$AZ:$AZ,MATCH($B23,Program_01!$A:$A,0))),"")</f>
        <v>45244</v>
      </c>
      <c r="AE23" s="169"/>
      <c r="AF23" s="183"/>
      <c r="AG23" s="181"/>
      <c r="AH23" s="183" t="str">
        <f>IF(OR($D23="",$AS23="VO Issued",$AS23="Open"),"",IF(OR($AC23="Rejected",$AC23="Superseded",$AC23="Dealt Separately"),$AC23,IF($I23="EOT",INDEX(Program_01!$AR:$AR,MATCH($B23,Program_01!$A:$A,0)),INDEX(Program_01!$BB:$BB,MATCH($B23,Program_01!$A:$A,0)))))</f>
        <v>1TB01006-006C03-AMA-LTR-0088</v>
      </c>
      <c r="AI23" s="181">
        <f>IF(OR($A23="",$B23="",$I23="",$AS23="VO Issued",$AS23="Open"),"",IF(OR($AD23="N/A"),$AD23,IF($I23="EOT",INDEX(Program_01!$AS:$AS,MATCH($B23,Program_01!$A:$A,0)),INDEX(Program_01!$BC:$BC,MATCH($B23,Program_01!$A:$A,0)))))</f>
        <v>45244</v>
      </c>
      <c r="AJ23" s="183" t="str">
        <f>IF(OR($D23="",$I23="",$AS23="Determination Issued",$AS23="Rejected",$AS23="Open"),"",IF(OR($AH23="Rejected",$AH23="Dealt Separately",$AH23="Superseded",$AH23="Withdrawn"),"N/A",IF($I23="EOT",INDEX(Program_01!AR:AR,MATCH($B23,Program_01!A:A,0)),INDEX(Program_01!BB:BB,MATCH($B23,Program_01!A:A,0)))))</f>
        <v/>
      </c>
      <c r="AK23" s="181" t="str">
        <f>IF(OR($A23="",$B23="",$I23="",$AS23="Determination Issued",$AS23="Rejected",$AS23="Open"),"",IF($AJ23="N/A","N/A",IF($I23="EOT",INDEX(Program_01!AS:AS,MATCH($B23,Program_01!A:A,0)),INDEX(Program_01!BC:BC,MATCH($B23,Program_01!A:A,0)))))</f>
        <v/>
      </c>
      <c r="AL23" s="169"/>
      <c r="AM23" s="184">
        <f>IFERROR(INDEX(Program_01!$BT:$BT,MATCH($B23,Program_01!$A:$A,0)),"")</f>
        <v>0</v>
      </c>
      <c r="AN23" s="184" t="str">
        <f>IFERROR(INDEX(Program_01!$BU:$BU,MATCH($B23,Program_01!$A:$A,0)),"")</f>
        <v>Yes</v>
      </c>
      <c r="AO23" s="184">
        <f>IFERROR(INDEX(Program_01!$BV:$BV,MATCH($B23,Program_01!$A:$A,0)),"")</f>
        <v>0</v>
      </c>
      <c r="AP23" s="169" t="str">
        <f t="shared" si="12"/>
        <v>1</v>
      </c>
      <c r="AQ23" s="184">
        <f>IFERROR(INDEX(Program_01!$BN:$BN,MATCH($B23,Program_01!$A:$A,0)),"")</f>
        <v>0</v>
      </c>
      <c r="AR23" s="184" t="str">
        <f>IFERROR(INDEX(Program_01!$BO:$BO,MATCH($B23,Program_01!$A:$A,0)),"")</f>
        <v>Assessment Report Issued</v>
      </c>
      <c r="AS23" s="184" t="str">
        <f>IFERROR(INDEX(Program_01!$BP:$BP,MATCH($B23,Program_01!$A:$A,0)),"")</f>
        <v>Determination Issued</v>
      </c>
      <c r="AT23" s="185" t="str">
        <f>IFERROR(INDEX(Program_01!$BQ:$BQ,MATCH($B23,Program_01!$A:$A,0)),"")</f>
        <v>Closed</v>
      </c>
      <c r="AU23" s="196" t="str">
        <f>IFERROR(INDEX(Program_01!$BR:$BR,MATCH($B23,Program_01!$A:$A,0)),"")</f>
        <v>Closed.</v>
      </c>
      <c r="AV23" s="186" t="str">
        <f t="shared" si="1"/>
        <v>CLOSED</v>
      </c>
      <c r="AW23" s="186" t="str">
        <f t="shared" si="13"/>
        <v/>
      </c>
      <c r="AX23" s="186" t="str">
        <f t="shared" si="2"/>
        <v>CLOSED</v>
      </c>
      <c r="AY23" s="181">
        <f t="shared" si="14"/>
        <v>45155</v>
      </c>
      <c r="AZ23" s="181">
        <f t="shared" si="3"/>
        <v>45244</v>
      </c>
      <c r="BA23" s="181">
        <f t="shared" si="4"/>
        <v>45244</v>
      </c>
      <c r="BC23" s="181">
        <f>IFERROR(INDEX(Program_01!BF:BF,MATCH($B23,Program_01!$A:$A,0)),"")</f>
        <v>45155</v>
      </c>
      <c r="BD23" s="188" t="str">
        <f ca="1">IFERROR(INDEX(Program_01!BG:BG,MATCH($B23,Program_01!$A:$A,0)),"")</f>
        <v>N/A</v>
      </c>
      <c r="BE23" s="181">
        <f>IFERROR(INDEX(Program_01!BH:BH,MATCH($B23,Program_01!$A:$A,0)),"")</f>
        <v>0</v>
      </c>
      <c r="BF23" s="189">
        <f ca="1">IFERROR(INDEX(Program_01!BI:BI,MATCH($B23,Program_01!$A:$A,0)),"")</f>
        <v>0</v>
      </c>
      <c r="BG23" s="181">
        <f>IFERROR(INDEX(Program_01!BJ:BJ,MATCH($B23,Program_01!$A:$A,0)),"")</f>
        <v>0</v>
      </c>
      <c r="BH23" s="189">
        <f ca="1">IFERROR(INDEX(Program_01!BK:BK,MATCH($B23,Program_01!$A:$A,0)),"")</f>
        <v>0</v>
      </c>
      <c r="BI23" s="181">
        <f>IFERROR(INDEX(Program_01!BL:BL,MATCH($B23,Program_01!$A:$A,0)),"")</f>
        <v>0</v>
      </c>
      <c r="BK23" s="190">
        <f>IFERROR(IF(INDEX(Program_01!$BX:$BX,MATCH($B23,Program_01!$A:$A,0))=DATE(1900,1,0),"",INDEX(Program_01!$BX:$BX,MATCH($B23,Program_01!$A:$A,0))),"")</f>
        <v>45291</v>
      </c>
      <c r="BL23" s="190" t="str">
        <f>IFERROR(IF(INDEX(Program_01!$BY:$BY,MATCH($B23,Program_01!$A:$A,0))=DATE(1900,1,0),"",INDEX(Program_01!$BY:$BY,MATCH($B23,Program_01!$A:$A,0))),"")</f>
        <v/>
      </c>
      <c r="BM23" s="188">
        <f t="shared" ca="1" si="15"/>
        <v>89</v>
      </c>
      <c r="BN23" s="191">
        <f t="shared" ca="1" si="16"/>
        <v>89</v>
      </c>
      <c r="BO23" s="188">
        <f t="shared" ca="1" si="5"/>
        <v>89</v>
      </c>
      <c r="BP23" s="188" t="str">
        <f t="shared" si="6"/>
        <v>1</v>
      </c>
      <c r="BQ23" s="188" t="str">
        <f t="shared" ca="1" si="17"/>
        <v/>
      </c>
      <c r="BR23" s="181" t="str">
        <f t="shared" ca="1" si="18"/>
        <v/>
      </c>
      <c r="BT23" s="190" t="str">
        <f>IFERROR(IF(INDEX(Program_01!$BZ:$BZ,MATCH($B23,Program_01!$A:$A,0))=DATE(1900,1,0),"",INDEX(Program_01!$BZ:$BZ,MATCH($B23,Program_01!$A:$A,0))),"")</f>
        <v/>
      </c>
      <c r="BU23" s="182">
        <f t="shared" ca="1" si="22"/>
        <v>0</v>
      </c>
      <c r="BV23" s="188">
        <f t="shared" ca="1" si="7"/>
        <v>0</v>
      </c>
      <c r="BW23" s="188" t="str">
        <f t="shared" si="8"/>
        <v>1</v>
      </c>
      <c r="BX23" s="188" t="str">
        <f t="shared" ca="1" si="9"/>
        <v/>
      </c>
      <c r="BY23" s="181" t="str">
        <f t="shared" ca="1" si="19"/>
        <v/>
      </c>
      <c r="CA23" s="192" t="str">
        <f t="shared" si="20"/>
        <v>Y</v>
      </c>
      <c r="CB23" s="192" t="str">
        <f t="shared" si="21"/>
        <v>Y</v>
      </c>
      <c r="CC23" s="193">
        <f>IFERROR(INDEX(Program_01!$CE:$CE,MATCH($B23,Program_01!$A:$A,0)),"")</f>
        <v>0</v>
      </c>
      <c r="CD23" s="193">
        <f t="shared" si="10"/>
        <v>45155</v>
      </c>
      <c r="CG23" s="194">
        <f>IFERROR(INDEX(Program_01!$AT:$AT,MATCH($B23,Program_01!$A:$A,0)),"")</f>
        <v>0</v>
      </c>
      <c r="CH23" s="194">
        <f>IFERROR(INDEX(Program_01!$AX:$AX,MATCH($B23,Program_01!$A:$A,0)),"")</f>
        <v>0</v>
      </c>
    </row>
    <row r="24" spans="1:87" s="187" customFormat="1" ht="313.5" customHeight="1">
      <c r="A24" s="174" t="s">
        <v>1</v>
      </c>
      <c r="B24" s="175">
        <v>6</v>
      </c>
      <c r="C24" s="176" t="str">
        <f>IFERROR(INDEX(Program_01!$B:$B,MATCH($B24,Program_01!$A:$A,0)),"")</f>
        <v>COST EAR</v>
      </c>
      <c r="D24" s="176" t="str">
        <f>IFERROR(INDEX(Program_01!$D:$D,MATCH($B24,Program_01!$A:$A,0)),"")</f>
        <v>1TB01005C02</v>
      </c>
      <c r="E24" s="176" t="str">
        <f>IFERROR(INDEX(Program_01!$E:$E,MATCH($B24,Program_01!$A:$A,0)),"")</f>
        <v>1.TB.01.005.01</v>
      </c>
      <c r="F24" s="176" t="str">
        <f>IFERROR(INDEX(Program_01!$F:$F,MATCH($B24,Program_01!$A:$A,0)),"")</f>
        <v>Red Sea Marine Life Institute</v>
      </c>
      <c r="G24" s="176" t="str">
        <f>IFERROR(INDEX(Program_01!$G:$G,MATCH($B24,Program_01!$A:$A,0)),"")</f>
        <v>Construction Contract - Structural Concrete, Wet Trades, Dewatering, Earthworks &amp; BOH Finishes</v>
      </c>
      <c r="H24" s="176" t="str">
        <f>IFERROR(INDEX(Program_01!$H:$H,MATCH($B24,Program_01!$A:$A,0)),"")</f>
        <v>Saudi Arabian Baytur Construction Company</v>
      </c>
      <c r="I24" s="176" t="str">
        <f t="shared" si="11"/>
        <v>Other Claims</v>
      </c>
      <c r="J24" s="176">
        <f>IFERROR(INDEX(Program_01!$I:$I,MATCH($B24,Program_01!$A:$A,0)),"")</f>
        <v>0</v>
      </c>
      <c r="K24" s="176">
        <f>IFERROR(INDEX(Program_01!$J:$J,MATCH($B24,Program_01!$A:$A,0)),"")</f>
        <v>0</v>
      </c>
      <c r="L24" s="176">
        <f>IFERROR(INDEX(Program_01!$K:$K,MATCH($B24,Program_01!$A:$A,0)),"")</f>
        <v>0</v>
      </c>
      <c r="M24" s="176">
        <f>IFERROR(INDEX(Program_01!$L:$L,MATCH($B24,Program_01!$A:$A,0)),"")</f>
        <v>0</v>
      </c>
      <c r="N24" s="176">
        <f>IFERROR(INDEX(Program_01!$L:$L,MATCH($B24,Program_01!$A:$A,0)),"")</f>
        <v>0</v>
      </c>
      <c r="O24" s="176">
        <f>IFERROR(INDEX(Program_01!$N:$N,MATCH($B24,Program_01!$A:$A,0)),"")</f>
        <v>1</v>
      </c>
      <c r="P24" s="178"/>
      <c r="Q24" s="179" t="str">
        <f>IFERROR(INDEX(Program_01!$C:$C,MATCH($B24,Program_01!$A:$A,0)),"")</f>
        <v>Notice of Disatisfaction - Secant Piling (Temporary Works)</v>
      </c>
      <c r="R24" s="176" t="str">
        <f>IFERROR(INDEX(Program_01!$V:$V,MATCH($B24,Program_01!$A:$A,0)),"")</f>
        <v>1TB01005-005C02-SAB-LTR-0044</v>
      </c>
      <c r="S24" s="180">
        <f>IFERROR(INDEX(Program_01!$W:$W,MATCH($B24,Program_01!$A:$A,0)),"")</f>
        <v>45277</v>
      </c>
      <c r="T24" s="178"/>
      <c r="U24" s="176" t="str">
        <f>IFERROR(INDEX(Program_01!$Z:$Z,MATCH($B24,Program_01!$A:$A,0)),"")</f>
        <v>Not responded</v>
      </c>
      <c r="V24" s="181" t="str">
        <f>IFERROR(INDEX(Program_01!$AA:$AA,MATCH($B24,Program_01!$A:$A,0)),"")</f>
        <v>N/A</v>
      </c>
      <c r="W24" s="182" t="str">
        <f t="shared" ca="1" si="0"/>
        <v/>
      </c>
      <c r="X24" s="169"/>
      <c r="Y24" s="179">
        <f>IFERROR(INDEX(Program_01!$BD:$BD,MATCH($B24,Program_01!$A:$A,0)),"")</f>
        <v>0</v>
      </c>
      <c r="Z24" s="169"/>
      <c r="AA24" s="183" t="str">
        <f>IFERROR(IF((INDEX(Program_01!$AD:$AD,MATCH($B24,Program_01!$A:$A,0))=""),INDEX(Program_01!$V:$V,MATCH($B24,Program_01!$A:$A,0)),INDEX(Program_01!$AD:$AD,MATCH($B24,Program_01!$A:$A,0))),"")</f>
        <v>1TB01005-005C02-SAB-LTR-0044</v>
      </c>
      <c r="AB24" s="147">
        <f>IFERROR(IF((INDEX(Program_01!$AE:$AE,MATCH($B24,Program_01!$A:$A,0))=""),INDEX(Program_01!$W:$W,MATCH($B24,Program_01!$A:$A,0)),INDEX(Program_01!$AE:$AE,MATCH($B24,Program_01!$A:$A,0))),"")</f>
        <v>45277</v>
      </c>
      <c r="AC24" s="183" t="str">
        <f>IFERROR(IF($I24="EOT",INDEX(Program_01!$AN:$AN,MATCH($B24,Program_01!$A:$A,0)),INDEX(Program_01!$AY:$AY,MATCH($B24,Program_01!$A:$A,0))),"")</f>
        <v>1TB01005-005C02-AMA-LTR-0069 dated 7 Dec 23</v>
      </c>
      <c r="AD24" s="181" t="str">
        <f>IFERROR(IF($I24="EOT",INDEX(Program_01!$AO:$AO,MATCH($B24,Program_01!$A:$A,0)),INDEX(Program_01!$AZ:$AZ,MATCH($B24,Program_01!$A:$A,0))),"")</f>
        <v>N/A</v>
      </c>
      <c r="AE24" s="169"/>
      <c r="AF24" s="183"/>
      <c r="AG24" s="181"/>
      <c r="AH24" s="183" t="str">
        <f>IF(OR($D24="",$AS24="VO Issued",$AS24="Open"),"",IF(OR($AC24="Rejected",$AC24="Superseded",$AC24="Dealt Separately"),$AC24,IF($I24="EOT",INDEX(Program_01!$AR:$AR,MATCH($B24,Program_01!$A:$A,0)),INDEX(Program_01!$BB:$BB,MATCH($B24,Program_01!$A:$A,0)))))</f>
        <v>Rejected</v>
      </c>
      <c r="AI24" s="181" t="str">
        <f>IF(OR($A24="",$B24="",$I24="",$AS24="VO Issued",$AS24="Open"),"",IF(OR($AD24="N/A"),$AD24,IF($I24="EOT",INDEX(Program_01!$AS:$AS,MATCH($B24,Program_01!$A:$A,0)),INDEX(Program_01!$BC:$BC,MATCH($B24,Program_01!$A:$A,0)))))</f>
        <v>N/A</v>
      </c>
      <c r="AJ24" s="183" t="str">
        <f>IF(OR($D24="",$I24="",$AS24="Determination Issued",$AS24="Rejected",$AS24="Open"),"",IF(OR($AH24="Rejected",$AH24="Dealt Separately",$AH24="Superseded",$AH24="Withdrawn"),"N/A",IF($I24="EOT",INDEX(Program_01!AR:AR,MATCH($B24,Program_01!A:A,0)),INDEX(Program_01!BB:BB,MATCH($B24,Program_01!A:A,0)))))</f>
        <v>N/A</v>
      </c>
      <c r="AK24" s="181" t="str">
        <f>IF(OR($A24="",$B24="",$I24="",$AS24="Determination Issued",$AS24="Rejected",$AS24="Open"),"",IF($AJ24="N/A","N/A",IF($I24="EOT",INDEX(Program_01!AS:AS,MATCH($B24,Program_01!A:A,0)),INDEX(Program_01!BC:BC,MATCH($B24,Program_01!A:A,0)))))</f>
        <v>N/A</v>
      </c>
      <c r="AL24" s="169"/>
      <c r="AM24" s="184" t="str">
        <f>IFERROR(INDEX(Program_01!$BT:$BT,MATCH($B24,Program_01!$A:$A,0)),"")</f>
        <v>Merit</v>
      </c>
      <c r="AN24" s="184" t="str">
        <f>IFERROR(INDEX(Program_01!$BU:$BU,MATCH($B24,Program_01!$A:$A,0)),"")</f>
        <v>Yes</v>
      </c>
      <c r="AO24" s="184">
        <f>IFERROR(INDEX(Program_01!$BV:$BV,MATCH($B24,Program_01!$A:$A,0)),"")</f>
        <v>0</v>
      </c>
      <c r="AP24" s="169" t="str">
        <f t="shared" si="12"/>
        <v>1</v>
      </c>
      <c r="AQ24" s="184">
        <f>IFERROR(INDEX(Program_01!$BN:$BN,MATCH($B24,Program_01!$A:$A,0)),"")</f>
        <v>0</v>
      </c>
      <c r="AR24" s="184" t="str">
        <f>IFERROR(INDEX(Program_01!$BO:$BO,MATCH($B24,Program_01!$A:$A,0)),"")</f>
        <v>Canceled</v>
      </c>
      <c r="AS24" s="184" t="str">
        <f>IFERROR(INDEX(Program_01!$BP:$BP,MATCH($B24,Program_01!$A:$A,0)),"")</f>
        <v>Canceled</v>
      </c>
      <c r="AT24" s="185" t="str">
        <f>IFERROR(INDEX(Program_01!$BQ:$BQ,MATCH($B24,Program_01!$A:$A,0)),"")</f>
        <v>Closed</v>
      </c>
      <c r="AU24" s="179" t="str">
        <f>IFERROR(INDEX(Program_01!$BR:$BR,MATCH($B24,Program_01!$A:$A,0)),"")</f>
        <v>Note: this submission cannot be considered as a formal notice of disatifaction for the engineer's determination and hence considered cancelled / rejected
Notice of Disatisfaction to RSG's determination.
14-Jan-24: Contractor claimed additional costs related to breaking of secant piling - this was rejected by the employer refer to letter 1TB01005-005C02-AMA-LTR-0069
15-Jan-24: Commercial team shared the Notice and other documents related to Claims  and Legal Team.
29-Jan-24: Ongoing action for re-assessment. RFC is currently being prepared.
12-Feb-24 - Ditto
26-Feb-24: Ditto
10-Mar-24 - RFC approved, proceeding to PVO
19-Mar-24: PVO rejected by Senior Project Director (Revise and Resubmit status). 
27-Mar-24: Commercial team to formally inform the contractor regardrding the rejection.
05-May-24: As per the Senior Project Director (RSMLI), the variation claim for temporary openings has been rejected. Hence, the associated claim should be rejected, and an official response will be issued.</v>
      </c>
      <c r="AV24" s="186" t="str">
        <f t="shared" si="1"/>
        <v>CLOSED</v>
      </c>
      <c r="AW24" s="186" t="str">
        <f t="shared" si="13"/>
        <v/>
      </c>
      <c r="AX24" s="186" t="str">
        <f t="shared" si="2"/>
        <v>CLOSED</v>
      </c>
      <c r="AY24" s="181">
        <f t="shared" si="14"/>
        <v>45277</v>
      </c>
      <c r="AZ24" s="181" t="str">
        <f t="shared" si="3"/>
        <v>N/A</v>
      </c>
      <c r="BA24" s="181" t="str">
        <f t="shared" si="4"/>
        <v>N/A</v>
      </c>
      <c r="BC24" s="181">
        <f>IFERROR(INDEX(Program_01!BF:BF,MATCH($B24,Program_01!$A:$A,0)),"")</f>
        <v>45277</v>
      </c>
      <c r="BD24" s="188" t="str">
        <f ca="1">IFERROR(INDEX(Program_01!BG:BG,MATCH($B24,Program_01!$A:$A,0)),"")</f>
        <v>N/A</v>
      </c>
      <c r="BE24" s="181">
        <f>IFERROR(INDEX(Program_01!BH:BH,MATCH($B24,Program_01!$A:$A,0)),"")</f>
        <v>0</v>
      </c>
      <c r="BF24" s="189" t="str">
        <f ca="1">IFERROR(INDEX(Program_01!BI:BI,MATCH($B24,Program_01!$A:$A,0)),"")</f>
        <v>N/A</v>
      </c>
      <c r="BG24" s="181">
        <f>IFERROR(INDEX(Program_01!BJ:BJ,MATCH($B24,Program_01!$A:$A,0)),"")</f>
        <v>0</v>
      </c>
      <c r="BH24" s="189">
        <f ca="1">IFERROR(INDEX(Program_01!BK:BK,MATCH($B24,Program_01!$A:$A,0)),"")</f>
        <v>0</v>
      </c>
      <c r="BI24" s="181">
        <f>IFERROR(INDEX(Program_01!BL:BL,MATCH($B24,Program_01!$A:$A,0)),"")</f>
        <v>0</v>
      </c>
      <c r="BK24" s="190">
        <f>IFERROR(IF(INDEX(Program_01!$BX:$BX,MATCH($B24,Program_01!$A:$A,0))=DATE(1900,1,0),"",INDEX(Program_01!$BX:$BX,MATCH($B24,Program_01!$A:$A,0))),"")</f>
        <v>45404</v>
      </c>
      <c r="BL24" s="190" t="str">
        <f>IFERROR(IF(INDEX(Program_01!$BY:$BY,MATCH($B24,Program_01!$A:$A,0))=DATE(1900,1,0),"",INDEX(Program_01!$BY:$BY,MATCH($B24,Program_01!$A:$A,0))),"")</f>
        <v/>
      </c>
      <c r="BM24" s="188" t="str">
        <f t="shared" ca="1" si="15"/>
        <v/>
      </c>
      <c r="BN24" s="191">
        <f t="shared" ca="1" si="16"/>
        <v>0</v>
      </c>
      <c r="BO24" s="188" t="str">
        <f t="shared" si="5"/>
        <v/>
      </c>
      <c r="BP24" s="188" t="str">
        <f t="shared" si="6"/>
        <v>1</v>
      </c>
      <c r="BQ24" s="188" t="str">
        <f t="shared" ca="1" si="17"/>
        <v/>
      </c>
      <c r="BR24" s="181" t="str">
        <f t="shared" ca="1" si="18"/>
        <v/>
      </c>
      <c r="BT24" s="190" t="str">
        <f>IFERROR(IF(INDEX(Program_01!$BZ:$BZ,MATCH($B24,Program_01!$A:$A,0))=DATE(1900,1,0),"",INDEX(Program_01!$BZ:$BZ,MATCH($B24,Program_01!$A:$A,0))),"")</f>
        <v/>
      </c>
      <c r="BU24" s="182" t="str">
        <f t="shared" ca="1" si="22"/>
        <v/>
      </c>
      <c r="BV24" s="188" t="str">
        <f t="shared" si="7"/>
        <v/>
      </c>
      <c r="BW24" s="188" t="str">
        <f t="shared" si="8"/>
        <v>1</v>
      </c>
      <c r="BX24" s="188" t="str">
        <f t="shared" ca="1" si="9"/>
        <v/>
      </c>
      <c r="BY24" s="181" t="str">
        <f t="shared" ca="1" si="19"/>
        <v/>
      </c>
      <c r="CA24" s="192" t="str">
        <f t="shared" si="20"/>
        <v>N</v>
      </c>
      <c r="CB24" s="192" t="str">
        <f t="shared" si="21"/>
        <v>N</v>
      </c>
      <c r="CC24" s="193">
        <f>IFERROR(INDEX(Program_01!$CE:$CE,MATCH($B24,Program_01!$A:$A,0)),"")</f>
        <v>0</v>
      </c>
      <c r="CD24" s="193">
        <f t="shared" si="10"/>
        <v>45277</v>
      </c>
      <c r="CG24" s="194" t="str">
        <f>IFERROR(INDEX(Program_01!$AT:$AT,MATCH($B24,Program_01!$A:$A,0)),"")</f>
        <v>N/A</v>
      </c>
      <c r="CH24" s="194">
        <f>IFERROR(INDEX(Program_01!$AX:$AX,MATCH($B24,Program_01!$A:$A,0)),"")</f>
        <v>0</v>
      </c>
    </row>
    <row r="25" spans="1:87" s="187" customFormat="1" ht="394.5" customHeight="1">
      <c r="A25" s="174" t="s">
        <v>1</v>
      </c>
      <c r="B25" s="175">
        <v>7</v>
      </c>
      <c r="C25" s="176" t="str">
        <f>IFERROR(INDEX(Program_01!$B:$B,MATCH($B25,Program_01!$A:$A,0)),"")</f>
        <v>FULL TIA EAR</v>
      </c>
      <c r="D25" s="176" t="str">
        <f>IFERROR(INDEX(Program_01!$D:$D,MATCH($B25,Program_01!$A:$A,0)),"")</f>
        <v>1TB01031C02</v>
      </c>
      <c r="E25" s="176" t="str">
        <f>IFERROR(INDEX(Program_01!$E:$E,MATCH($B25,Program_01!$A:$A,0)),"")</f>
        <v>1.TB.01.031.01</v>
      </c>
      <c r="F25" s="176" t="str">
        <f>IFERROR(INDEX(Program_01!$F:$F,MATCH($B25,Program_01!$A:$A,0)),"")</f>
        <v>The Marina</v>
      </c>
      <c r="G25" s="176" t="str">
        <f>IFERROR(INDEX(Program_01!$G:$G,MATCH($B25,Program_01!$A:$A,0)),"")</f>
        <v>Triple Bay Marina Basin - Design and Build Main Contract</v>
      </c>
      <c r="H25" s="176" t="str">
        <f>IFERROR(INDEX(Program_01!$H:$H,MATCH($B25,Program_01!$A:$A,0)),"")</f>
        <v>Alsaad General Contracting Company</v>
      </c>
      <c r="I25" s="176" t="str">
        <f t="shared" si="11"/>
        <v>EOT</v>
      </c>
      <c r="J25" s="176">
        <f>IFERROR(INDEX(Program_01!$I:$I,MATCH($B25,Program_01!$A:$A,0)),"")</f>
        <v>1</v>
      </c>
      <c r="K25" s="176">
        <f>IFERROR(INDEX(Program_01!$J:$J,MATCH($B25,Program_01!$A:$A,0)),"")</f>
        <v>0</v>
      </c>
      <c r="L25" s="176">
        <f>IFERROR(INDEX(Program_01!$K:$K,MATCH($B25,Program_01!$A:$A,0)),"")</f>
        <v>0</v>
      </c>
      <c r="M25" s="176">
        <f>IFERROR(INDEX(Program_01!$L:$L,MATCH($B25,Program_01!$A:$A,0)),"")</f>
        <v>0</v>
      </c>
      <c r="N25" s="176">
        <f>IFERROR(INDEX(Program_01!$L:$L,MATCH($B25,Program_01!$A:$A,0)),"")</f>
        <v>0</v>
      </c>
      <c r="O25" s="176">
        <f>IFERROR(INDEX(Program_01!$N:$N,MATCH($B25,Program_01!$A:$A,0)),"")</f>
        <v>0</v>
      </c>
      <c r="P25" s="178"/>
      <c r="Q25" s="179" t="str">
        <f>IFERROR(INDEX(Program_01!$C:$C,MATCH($B25,Program_01!$A:$A,0)),"")</f>
        <v>Notice of Disatisfaction - Engineer's Instruction No. 5, 7, 9 &amp; 10 (EOT)</v>
      </c>
      <c r="R25" s="176" t="str">
        <f>IFERROR(INDEX(Program_01!$V:$V,MATCH($B25,Program_01!$A:$A,0)),"")</f>
        <v>1TB01031-031C02-ALS-LTR-0231</v>
      </c>
      <c r="S25" s="180">
        <f>IFERROR(INDEX(Program_01!$W:$W,MATCH($B25,Program_01!$A:$A,0)),"")</f>
        <v>45085</v>
      </c>
      <c r="T25" s="178"/>
      <c r="U25" s="176" t="str">
        <f>IFERROR(INDEX(Program_01!$Z:$Z,MATCH($B25,Program_01!$A:$A,0)),"")</f>
        <v>1TB01031-031D03-WSP-LTR-0301</v>
      </c>
      <c r="V25" s="181">
        <f>IFERROR(INDEX(Program_01!$AA:$AA,MATCH($B25,Program_01!$A:$A,0)),"")</f>
        <v>45119</v>
      </c>
      <c r="W25" s="182">
        <f t="shared" ca="1" si="0"/>
        <v>34</v>
      </c>
      <c r="X25" s="169"/>
      <c r="Y25" s="179" t="str">
        <f>IFERROR(INDEX(Program_01!$BD:$BD,MATCH($B25,Program_01!$A:$A,0)),"")</f>
        <v>WSP-LTR-000021 dated 1 Dec 21
SGC-LTR-000015 dated 25 Nov 21
ALS01031-GENCORR-000346  dated 04 Dec 2023
AMA01031-GENCORR-000747 dated 12 Oct 23
ALS01031-GENCORR-000355 dated 19 Dec 23
AMA01031-GENCORR-000772 dated 19 Dec 23
ALS01031-GENCORR-000372 dated 19 Feb 24
AMA01031-GENCORR-000818 dated 22 Feb 24
ALS01031-GENCORR-000412 dated 6 Jul 24
ALS01031-GENCORR-000416 dated 29 Jul 24
ALS01031-GENCORR-000417 dated 30 Jul 24</v>
      </c>
      <c r="Z25" s="169"/>
      <c r="AA25" s="183" t="str">
        <f>IFERROR(IF((INDEX(Program_01!$AD:$AD,MATCH($B25,Program_01!$A:$A,0))=""),INDEX(Program_01!$V:$V,MATCH($B25,Program_01!$A:$A,0)),INDEX(Program_01!$AD:$AD,MATCH($B25,Program_01!$A:$A,0))),"")</f>
        <v>ALS01031-GENCORR-000412 dated 6 Jul 24
ALS01031-GENCORR-000416 29 Jul 24
ALS01031-GENCORR-000417</v>
      </c>
      <c r="AB25" s="147">
        <f>IFERROR(IF((INDEX(Program_01!$AE:$AE,MATCH($B25,Program_01!$A:$A,0))=""),INDEX(Program_01!$W:$W,MATCH($B25,Program_01!$A:$A,0)),INDEX(Program_01!$AE:$AE,MATCH($B25,Program_01!$A:$A,0))),"")</f>
        <v>45503</v>
      </c>
      <c r="AC25" s="183" t="str">
        <f>IFERROR(IF($I25="EOT",INDEX(Program_01!$AN:$AN,MATCH($B25,Program_01!$A:$A,0)),INDEX(Program_01!$AY:$AY,MATCH($B25,Program_01!$A:$A,0))),"")</f>
        <v>N/A</v>
      </c>
      <c r="AD25" s="181" t="str">
        <f>IFERROR(IF($I25="EOT",INDEX(Program_01!$AO:$AO,MATCH($B25,Program_01!$A:$A,0)),INDEX(Program_01!$AZ:$AZ,MATCH($B25,Program_01!$A:$A,0))),"")</f>
        <v>N/A</v>
      </c>
      <c r="AE25" s="169"/>
      <c r="AF25" s="183"/>
      <c r="AG25" s="181"/>
      <c r="AH25" s="183">
        <f>IF(OR($D25="",$AS25="VO Issued",$AS25="Open"),"",IF(OR($AC25="Rejected",$AC25="Superseded",$AC25="Dealt Separately"),$AC25,IF($I25="EOT",INDEX(Program_01!$AR:$AR,MATCH($B25,Program_01!$A:$A,0)),INDEX(Program_01!$BB:$BB,MATCH($B25,Program_01!$A:$A,0)))))</f>
        <v>0</v>
      </c>
      <c r="AI25" s="181" t="str">
        <f>IF(OR($A25="",$B25="",$I25="",$AS25="VO Issued",$AS25="Open"),"",IF(OR($AD25="N/A"),$AD25,IF($I25="EOT",INDEX(Program_01!$AS:$AS,MATCH($B25,Program_01!$A:$A,0)),INDEX(Program_01!$BC:$BC,MATCH($B25,Program_01!$A:$A,0)))))</f>
        <v>N/A</v>
      </c>
      <c r="AJ25" s="183">
        <f>IF(OR($D25="",$I25="",$AS25="Determination Issued",$AS25="Rejected",$AS25="Open"),"",IF(OR($AH25="Rejected",$AH25="Dealt Separately",$AH25="Superseded",$AH25="Withdrawn"),"N/A",IF($I25="EOT",INDEX(Program_01!AR:AR,MATCH($B25,Program_01!A:A,0)),INDEX(Program_01!BB:BB,MATCH($B25,Program_01!A:A,0)))))</f>
        <v>0</v>
      </c>
      <c r="AK25" s="181">
        <f>IF(OR($A25="",$B25="",$I25="",$AS25="Determination Issued",$AS25="Rejected",$AS25="Open"),"",IF($AJ25="N/A","N/A",IF($I25="EOT",INDEX(Program_01!AS:AS,MATCH($B25,Program_01!A:A,0)),INDEX(Program_01!BC:BC,MATCH($B25,Program_01!A:A,0)))))</f>
        <v>0</v>
      </c>
      <c r="AL25" s="169"/>
      <c r="AM25" s="184">
        <f>IFERROR(INDEX(Program_01!$BT:$BT,MATCH($B25,Program_01!$A:$A,0)),"")</f>
        <v>0</v>
      </c>
      <c r="AN25" s="184" t="str">
        <f>IFERROR(INDEX(Program_01!$BU:$BU,MATCH($B25,Program_01!$A:$A,0)),"")</f>
        <v>Yes</v>
      </c>
      <c r="AO25" s="184">
        <f>IFERROR(INDEX(Program_01!$BV:$BV,MATCH($B25,Program_01!$A:$A,0)),"")</f>
        <v>0</v>
      </c>
      <c r="AP25" s="169" t="str">
        <f t="shared" si="12"/>
        <v>1</v>
      </c>
      <c r="AQ25" s="184">
        <f>IFERROR(INDEX(Program_01!$BN:$BN,MATCH($B25,Program_01!$A:$A,0)),"")</f>
        <v>0</v>
      </c>
      <c r="AR25" s="184" t="str">
        <f>IFERROR(INDEX(Program_01!$BO:$BO,MATCH($B25,Program_01!$A:$A,0)),"")</f>
        <v>Not Applicable</v>
      </c>
      <c r="AS25" s="184" t="str">
        <f>IFERROR(INDEX(Program_01!$BP:$BP,MATCH($B25,Program_01!$A:$A,0)),"")</f>
        <v>Dealt Separately</v>
      </c>
      <c r="AT25" s="185" t="str">
        <f>IFERROR(INDEX(Program_01!$BQ:$BQ,MATCH($B25,Program_01!$A:$A,0)),"")</f>
        <v>Closed</v>
      </c>
      <c r="AU25" s="179" t="str">
        <f>IFERROR(INDEX(Program_01!$BR:$BR,MATCH($B25,Program_01!$A:$A,0)),"")</f>
        <v xml:space="preserve">19-Mar-24 - The initial assessment was informally issued to Alsaad, and we are awaiting its comments. We also request further information/supporting documents from Alsaad.
22 Apr 24: a meeting was held on 21 Apr 24, contractor scheduled a meeting with planning to dicuss the window analysis. a letter was issued to the contractor to extend the contract for 2 months without cost through a VO.
06 May 24: action with contractor
03 Jun 24: Ditto
24 Jun 24: Ditto, awaiting response from contractor
15 Jul 24: Ditto, in the meantime Commercial to send a reminder to the contractor
29 Jul 24: Ditto
30 Jul 24: Contractor submitted a consolidated claim that includes  fixed jetties VO (item 31 below) for the 80 days along with the updated program of work.
DVO for EOT - 1 has been issued for 324 days  </v>
      </c>
      <c r="AV25" s="186" t="str">
        <f t="shared" si="1"/>
        <v>CLOSED</v>
      </c>
      <c r="AW25" s="186" t="str">
        <f t="shared" si="13"/>
        <v/>
      </c>
      <c r="AX25" s="186" t="str">
        <f t="shared" si="2"/>
        <v>CLOSED</v>
      </c>
      <c r="AY25" s="181">
        <f t="shared" si="14"/>
        <v>45503</v>
      </c>
      <c r="AZ25" s="181" t="str">
        <f t="shared" si="3"/>
        <v>N/A</v>
      </c>
      <c r="BA25" s="181" t="str">
        <f t="shared" si="4"/>
        <v>N/A</v>
      </c>
      <c r="BC25" s="181">
        <f>IFERROR(INDEX(Program_01!BF:BF,MATCH($B25,Program_01!$A:$A,0)),"")</f>
        <v>45503</v>
      </c>
      <c r="BD25" s="188" t="str">
        <f ca="1">IFERROR(INDEX(Program_01!BG:BG,MATCH($B25,Program_01!$A:$A,0)),"")</f>
        <v>N/A</v>
      </c>
      <c r="BE25" s="181">
        <f>IFERROR(INDEX(Program_01!BH:BH,MATCH($B25,Program_01!$A:$A,0)),"")</f>
        <v>0</v>
      </c>
      <c r="BF25" s="189">
        <f ca="1">IFERROR(INDEX(Program_01!BI:BI,MATCH($B25,Program_01!$A:$A,0)),"")</f>
        <v>0</v>
      </c>
      <c r="BG25" s="181">
        <f>IFERROR(INDEX(Program_01!BJ:BJ,MATCH($B25,Program_01!$A:$A,0)),"")</f>
        <v>0</v>
      </c>
      <c r="BH25" s="189">
        <f ca="1">IFERROR(INDEX(Program_01!BK:BK,MATCH($B25,Program_01!$A:$A,0)),"")</f>
        <v>0</v>
      </c>
      <c r="BI25" s="181">
        <f>IFERROR(INDEX(Program_01!BL:BL,MATCH($B25,Program_01!$A:$A,0)),"")</f>
        <v>0</v>
      </c>
      <c r="BK25" s="190">
        <f>IFERROR(IF(INDEX(Program_01!$BX:$BX,MATCH($B25,Program_01!$A:$A,0))=DATE(1900,1,0),"",INDEX(Program_01!$BX:$BX,MATCH($B25,Program_01!$A:$A,0))),"")</f>
        <v>45512</v>
      </c>
      <c r="BL25" s="190" t="str">
        <f>IFERROR(IF(INDEX(Program_01!$BY:$BY,MATCH($B25,Program_01!$A:$A,0))=DATE(1900,1,0),"",INDEX(Program_01!$BY:$BY,MATCH($B25,Program_01!$A:$A,0))),"")</f>
        <v/>
      </c>
      <c r="BM25" s="188" t="str">
        <f t="shared" ca="1" si="15"/>
        <v/>
      </c>
      <c r="BN25" s="191">
        <f t="shared" ca="1" si="16"/>
        <v>0</v>
      </c>
      <c r="BO25" s="188" t="str">
        <f t="shared" si="5"/>
        <v/>
      </c>
      <c r="BP25" s="188" t="str">
        <f t="shared" si="6"/>
        <v>1</v>
      </c>
      <c r="BQ25" s="188" t="str">
        <f t="shared" ca="1" si="17"/>
        <v/>
      </c>
      <c r="BR25" s="181" t="str">
        <f t="shared" ca="1" si="18"/>
        <v/>
      </c>
      <c r="BT25" s="190" t="str">
        <f>IFERROR(IF(INDEX(Program_01!$BZ:$BZ,MATCH($B25,Program_01!$A:$A,0))=DATE(1900,1,0),"",INDEX(Program_01!$BZ:$BZ,MATCH($B25,Program_01!$A:$A,0))),"")</f>
        <v/>
      </c>
      <c r="BU25" s="182" t="str">
        <f t="shared" ca="1" si="22"/>
        <v/>
      </c>
      <c r="BV25" s="188" t="str">
        <f t="shared" si="7"/>
        <v/>
      </c>
      <c r="BW25" s="188" t="str">
        <f t="shared" si="8"/>
        <v>1</v>
      </c>
      <c r="BX25" s="188" t="str">
        <f t="shared" ca="1" si="9"/>
        <v/>
      </c>
      <c r="BY25" s="181" t="str">
        <f t="shared" ca="1" si="19"/>
        <v/>
      </c>
      <c r="CA25" s="192" t="str">
        <f t="shared" si="20"/>
        <v>N</v>
      </c>
      <c r="CB25" s="192" t="str">
        <f t="shared" si="21"/>
        <v>N</v>
      </c>
      <c r="CC25" s="193">
        <f>IFERROR(INDEX(Program_01!$CE:$CE,MATCH($B25,Program_01!$A:$A,0)),"")</f>
        <v>0</v>
      </c>
      <c r="CD25" s="193">
        <f t="shared" si="10"/>
        <v>45085</v>
      </c>
      <c r="CG25" s="194">
        <f>IFERROR(INDEX(Program_01!$AT:$AT,MATCH($B25,Program_01!$A:$A,0)),"")</f>
        <v>0</v>
      </c>
      <c r="CH25" s="194">
        <f>IFERROR(INDEX(Program_01!$AX:$AX,MATCH($B25,Program_01!$A:$A,0)),"")</f>
        <v>0</v>
      </c>
    </row>
    <row r="26" spans="1:87" s="187" customFormat="1" ht="409.5" customHeight="1">
      <c r="A26" s="174" t="s">
        <v>1</v>
      </c>
      <c r="B26" s="175">
        <v>8</v>
      </c>
      <c r="C26" s="176" t="str">
        <f>IFERROR(INDEX(Program_01!$B:$B,MATCH($B26,Program_01!$A:$A,0)),"")</f>
        <v>COST EAR</v>
      </c>
      <c r="D26" s="176" t="str">
        <f>IFERROR(INDEX(Program_01!$D:$D,MATCH($B26,Program_01!$A:$A,0)),"")</f>
        <v>1TB01031C02</v>
      </c>
      <c r="E26" s="176" t="str">
        <f>IFERROR(INDEX(Program_01!$E:$E,MATCH($B26,Program_01!$A:$A,0)),"")</f>
        <v>1.TB.01.031.01</v>
      </c>
      <c r="F26" s="176" t="str">
        <f>IFERROR(INDEX(Program_01!$F:$F,MATCH($B26,Program_01!$A:$A,0)),"")</f>
        <v>The Marina</v>
      </c>
      <c r="G26" s="176" t="str">
        <f>IFERROR(INDEX(Program_01!$G:$G,MATCH($B26,Program_01!$A:$A,0)),"")</f>
        <v>Triple Bay Marina Basin - Design and Build Main Contract</v>
      </c>
      <c r="H26" s="176" t="str">
        <f>IFERROR(INDEX(Program_01!$H:$H,MATCH($B26,Program_01!$A:$A,0)),"")</f>
        <v>Alsaad General Contracting Company</v>
      </c>
      <c r="I26" s="176" t="str">
        <f t="shared" si="11"/>
        <v>Prolongation</v>
      </c>
      <c r="J26" s="176">
        <f>IFERROR(INDEX(Program_01!$I:$I,MATCH($B26,Program_01!$A:$A,0)),"")</f>
        <v>0</v>
      </c>
      <c r="K26" s="176">
        <f>IFERROR(INDEX(Program_01!$J:$J,MATCH($B26,Program_01!$A:$A,0)),"")</f>
        <v>1</v>
      </c>
      <c r="L26" s="176">
        <f>IFERROR(INDEX(Program_01!$K:$K,MATCH($B26,Program_01!$A:$A,0)),"")</f>
        <v>0</v>
      </c>
      <c r="M26" s="176">
        <f>IFERROR(INDEX(Program_01!$L:$L,MATCH($B26,Program_01!$A:$A,0)),"")</f>
        <v>0</v>
      </c>
      <c r="N26" s="176">
        <f>IFERROR(INDEX(Program_01!$L:$L,MATCH($B26,Program_01!$A:$A,0)),"")</f>
        <v>0</v>
      </c>
      <c r="O26" s="176">
        <f>IFERROR(INDEX(Program_01!$N:$N,MATCH($B26,Program_01!$A:$A,0)),"")</f>
        <v>0</v>
      </c>
      <c r="P26" s="178"/>
      <c r="Q26" s="179" t="str">
        <f>IFERROR(INDEX(Program_01!$C:$C,MATCH($B26,Program_01!$A:$A,0)),"")</f>
        <v>EOT 1  Prolongation
Engineer's Instruction No. 5, 7, 9 &amp; 10</v>
      </c>
      <c r="R26" s="176" t="str">
        <f>IFERROR(INDEX(Program_01!$V:$V,MATCH($B26,Program_01!$A:$A,0)),"")</f>
        <v>1TB01031-031C02-ALS-LTR-0231</v>
      </c>
      <c r="S26" s="180">
        <f>IFERROR(INDEX(Program_01!$W:$W,MATCH($B26,Program_01!$A:$A,0)),"")</f>
        <v>45085</v>
      </c>
      <c r="T26" s="178"/>
      <c r="U26" s="176" t="str">
        <f>IFERROR(INDEX(Program_01!$Z:$Z,MATCH($B26,Program_01!$A:$A,0)),"")</f>
        <v>1TB01031-031D03-WSP-LTR-0301</v>
      </c>
      <c r="V26" s="181">
        <f>IFERROR(INDEX(Program_01!$AA:$AA,MATCH($B26,Program_01!$A:$A,0)),"")</f>
        <v>45119</v>
      </c>
      <c r="W26" s="182">
        <f t="shared" ca="1" si="0"/>
        <v>34</v>
      </c>
      <c r="X26" s="169"/>
      <c r="Y26" s="179" t="str">
        <f>IFERROR(INDEX(Program_01!$BD:$BD,MATCH($B26,Program_01!$A:$A,0)),"")</f>
        <v>WSP-LTR-000021 dated 1 Dec 21
SGC-LTR-000015 dated 25 Nov 21
ALS01031-GENCORR-000346  dated 04 Dec 2023
AMA01031-GENCORR-000747 dated 12 Oct 23
ALS01031-GENCORR-000355 dated 19 Dec 23
AMA01031-GENCORR-000772 dated 19 Dec 23
ALS01031-GENCORR-000372 dated 19 Feb 24
AMA01031-GENCORR-000818 dated 22 Feb 24
1TB01031-031C02-AMA-LTR-0028 dated 20 Oct 24
ALS01031-GENCORR-000430 dated 18 Nov 24 (confirmation of  contractor's agreement to the determination of One Hundred three (103) days Extension to the Time for Completion of the Works with “Zero” Cost Impact on final Contract Value received for “EOT-02" via Aconex ref. 1TB01031-031C02-AMA-LTR-0028 dated October 20, 2024)
 1TB01031-031C02-AMA-LTR-0043 dated O8 May 2025</v>
      </c>
      <c r="Z26" s="169"/>
      <c r="AA26" s="183" t="str">
        <f>IFERROR(IF((INDEX(Program_01!$AD:$AD,MATCH($B26,Program_01!$A:$A,0))=""),INDEX(Program_01!$V:$V,MATCH($B26,Program_01!$A:$A,0)),INDEX(Program_01!$AD:$AD,MATCH($B26,Program_01!$A:$A,0))),"")</f>
        <v xml:space="preserve">ALS01031-GENCORR-000412 dated 6 Jul 24
ALS01031-GENCORR-000416 29 Jul 24
ALS01031-GENCORR-000417 30 Jul 24
ALS01031-GENCORR-000419 08 Aug 24
ALS01031-GENCORR-000430 on 18 Nov 24
1TB01031-031C02-ALS-LTR-0311 </v>
      </c>
      <c r="AB26" s="147">
        <f>IFERROR(IF((INDEX(Program_01!$AE:$AE,MATCH($B26,Program_01!$A:$A,0))=""),INDEX(Program_01!$W:$W,MATCH($B26,Program_01!$A:$A,0)),INDEX(Program_01!$AE:$AE,MATCH($B26,Program_01!$A:$A,0))),"")</f>
        <v>45851</v>
      </c>
      <c r="AC26" s="183" t="str">
        <f>IFERROR(IF($I26="EOT",INDEX(Program_01!$AN:$AN,MATCH($B26,Program_01!$A:$A,0)),INDEX(Program_01!$AY:$AY,MATCH($B26,Program_01!$A:$A,0))),"")</f>
        <v>N/A</v>
      </c>
      <c r="AD26" s="181" t="str">
        <f>IFERROR(IF($I26="EOT",INDEX(Program_01!$AO:$AO,MATCH($B26,Program_01!$A:$A,0)),INDEX(Program_01!$AZ:$AZ,MATCH($B26,Program_01!$A:$A,0))),"")</f>
        <v>N/A</v>
      </c>
      <c r="AE26" s="169"/>
      <c r="AF26" s="183"/>
      <c r="AG26" s="181"/>
      <c r="AH26" s="183">
        <f>IF(OR($D26="",$AS26="VO Issued",$AS26="Open"),"",IF(OR($AC26="Rejected",$AC26="Superseded",$AC26="Dealt Separately"),$AC26,IF($I26="EOT",INDEX(Program_01!$AR:$AR,MATCH($B26,Program_01!$A:$A,0)),INDEX(Program_01!$BB:$BB,MATCH($B26,Program_01!$A:$A,0)))))</f>
        <v>0</v>
      </c>
      <c r="AI26" s="181" t="str">
        <f>IF(OR($A26="",$B26="",$I26="",$AS26="VO Issued",$AS26="Open"),"",IF(OR($AD26="N/A"),$AD26,IF($I26="EOT",INDEX(Program_01!$AS:$AS,MATCH($B26,Program_01!$A:$A,0)),INDEX(Program_01!$BC:$BC,MATCH($B26,Program_01!$A:$A,0)))))</f>
        <v>N/A</v>
      </c>
      <c r="AJ26" s="183">
        <f>IF(OR($D26="",$I26="",$AS26="Determination Issued",$AS26="Rejected",$AS26="Open"),"",IF(OR($AH26="Rejected",$AH26="Dealt Separately",$AH26="Superseded",$AH26="Withdrawn"),"N/A",IF($I26="EOT",INDEX(Program_01!AR:AR,MATCH($B26,Program_01!A:A,0)),INDEX(Program_01!BB:BB,MATCH($B26,Program_01!A:A,0)))))</f>
        <v>0</v>
      </c>
      <c r="AK26" s="181">
        <f>IF(OR($A26="",$B26="",$I26="",$AS26="Determination Issued",$AS26="Rejected",$AS26="Open"),"",IF($AJ26="N/A","N/A",IF($I26="EOT",INDEX(Program_01!AS:AS,MATCH($B26,Program_01!A:A,0)),INDEX(Program_01!BC:BC,MATCH($B26,Program_01!A:A,0)))))</f>
        <v>0</v>
      </c>
      <c r="AL26" s="169"/>
      <c r="AM26" s="184">
        <f>IFERROR(INDEX(Program_01!$BT:$BT,MATCH($B26,Program_01!$A:$A,0)),"")</f>
        <v>0</v>
      </c>
      <c r="AN26" s="184">
        <f>IFERROR(INDEX(Program_01!$BU:$BU,MATCH($B26,Program_01!$A:$A,0)),"")</f>
        <v>0</v>
      </c>
      <c r="AO26" s="184">
        <f>IFERROR(INDEX(Program_01!$BV:$BV,MATCH($B26,Program_01!$A:$A,0)),"")</f>
        <v>0</v>
      </c>
      <c r="AP26" s="169" t="str">
        <f t="shared" si="12"/>
        <v/>
      </c>
      <c r="AQ26" s="184">
        <f>IFERROR(INDEX(Program_01!$BN:$BN,MATCH($B26,Program_01!$A:$A,0)),"")</f>
        <v>0</v>
      </c>
      <c r="AR26" s="184" t="str">
        <f>IFERROR(INDEX(Program_01!$BO:$BO,MATCH($B26,Program_01!$A:$A,0)),"")</f>
        <v>Not Applicable</v>
      </c>
      <c r="AS26" s="184" t="str">
        <f>IFERROR(INDEX(Program_01!$BP:$BP,MATCH($B26,Program_01!$A:$A,0)),"")</f>
        <v>Dealt Separately</v>
      </c>
      <c r="AT26" s="185" t="str">
        <f>IFERROR(INDEX(Program_01!$BQ:$BQ,MATCH($B26,Program_01!$A:$A,0)),"")</f>
        <v>Closed</v>
      </c>
      <c r="AU26" s="179" t="str">
        <f>IFERROR(INDEX(Program_01!$BR:$BR,MATCH($B26,Program_01!$A:$A,0)),"")</f>
        <v xml:space="preserve">14 Jul 25: The Contractor responded via 1TB01031-031C02-ALS-LTR-0311 on 13 Jul  by rejecting the Employer’s ten-day deadline, asserting that all required substantiations were already submitted and discussed in prior meetings, contractor further requests a final meeting to resolve the matter, and seeks release of the undisputed SAR 7.29 million.
24-July-25: Al Saad has accepted the Employer's Assessment of SAR 7.29M in the meeting held with ED commercial on 24th July 2025. Formal acceptance is awaited from Al Saad.
27 Jul 25: Ditto
10 Aug 25: RSG Commercial is in the process of EOT Cost report and Determination will follow after report approval 
25 Aug 25: EOT Cost Report sent to Claims Team on 24 August 2025
26 Aug 25: Commercial to arrange a meeting to discuss what costs we allow and the substantiation we require
04 Sep 25: revised concurrency analysis for Alsaad from the site planning team sent to Forensic planning  for review
08 Sep 25: meeting scheduled for 08 Sep 25 btw claims &amp; commercial to discuss &amp; finalise, action still with planning to review the 22 days. Targeted to revert by 11 Sep 25
15 Sep 25: Targeted to conclude the final review by 16 Sep 25
29 Sep 25: Planning to confirm by end of the day
02 Oct 25: Forensic Planning finalised the re-assessment of the 22 days concurrent delay and concluded to a reduction of 21 days. Draft report sent to commercial for finalisation 
04 OCT 25:Further clarifications from the Claim team regarding the prolongation cost assessment from Nigel have been addressed, and the final response is awaited.
06 Oct 25: email sent to commercial to provide further particulars and review the excel sheet 
08 Oct 25: Commercial responded with additional documents and clarifications
09 Oct 25: EOT cost summary excel sent back to commercial to review the ‘MIS’ tab for the months from April ’22 to Aug ’22 and Nov ’22
20 Oct 25: Request for Approval – Final Account Settlement for Al Saad General Cont put in WF-015055  
03 Nov 25: Fianl account issued to Al SAAD via 1TB01031-031C02-AMA-RFA-CM-0016, awaiting acceptance from contractor
17 Nov 25: Ditto
29 Nov 25: RFA has been approved to process the final payment via 1TB01031-031C02-AMA-RFA-CM-0016, awaiting approval of TOC to process FAS
01 Dec 25: This item considered closed as it is deemed to be closed by an RFA
NOTE: it has been decided that an assessment report will no longer be prepared and instead will be processed as a RFA. </v>
      </c>
      <c r="AV26" s="186" t="str">
        <f t="shared" si="1"/>
        <v>CLOSED</v>
      </c>
      <c r="AW26" s="186" t="str">
        <f t="shared" si="13"/>
        <v/>
      </c>
      <c r="AX26" s="186" t="str">
        <f t="shared" si="2"/>
        <v>CLOSED</v>
      </c>
      <c r="AY26" s="181">
        <f t="shared" si="14"/>
        <v>45851</v>
      </c>
      <c r="AZ26" s="181" t="str">
        <f t="shared" si="3"/>
        <v>N/A</v>
      </c>
      <c r="BA26" s="181" t="str">
        <f t="shared" si="4"/>
        <v>N/A</v>
      </c>
      <c r="BC26" s="181">
        <f>IFERROR(INDEX(Program_01!BF:BF,MATCH($B26,Program_01!$A:$A,0)),"")</f>
        <v>45851</v>
      </c>
      <c r="BD26" s="188" t="str">
        <f ca="1">IFERROR(INDEX(Program_01!BG:BG,MATCH($B26,Program_01!$A:$A,0)),"")</f>
        <v>N/A</v>
      </c>
      <c r="BE26" s="181">
        <f>IFERROR(INDEX(Program_01!BH:BH,MATCH($B26,Program_01!$A:$A,0)),"")</f>
        <v>0</v>
      </c>
      <c r="BF26" s="189" t="str">
        <f ca="1">IFERROR(INDEX(Program_01!BI:BI,MATCH($B26,Program_01!$A:$A,0)),"")</f>
        <v>N/A</v>
      </c>
      <c r="BG26" s="181">
        <f>IFERROR(INDEX(Program_01!BJ:BJ,MATCH($B26,Program_01!$A:$A,0)),"")</f>
        <v>0</v>
      </c>
      <c r="BH26" s="189">
        <f ca="1">IFERROR(INDEX(Program_01!BK:BK,MATCH($B26,Program_01!$A:$A,0)),"")</f>
        <v>0</v>
      </c>
      <c r="BI26" s="181">
        <f>IFERROR(INDEX(Program_01!BL:BL,MATCH($B26,Program_01!$A:$A,0)),"")</f>
        <v>0</v>
      </c>
      <c r="BK26" s="190">
        <f>IFERROR(IF(INDEX(Program_01!$BX:$BX,MATCH($B26,Program_01!$A:$A,0))=DATE(1900,1,0),"",INDEX(Program_01!$BX:$BX,MATCH($B26,Program_01!$A:$A,0))),"")</f>
        <v>45992</v>
      </c>
      <c r="BL26" s="190" t="str">
        <f>IFERROR(IF(INDEX(Program_01!$BY:$BY,MATCH($B26,Program_01!$A:$A,0))=DATE(1900,1,0),"",INDEX(Program_01!$BY:$BY,MATCH($B26,Program_01!$A:$A,0))),"")</f>
        <v/>
      </c>
      <c r="BM26" s="188" t="str">
        <f t="shared" ca="1" si="15"/>
        <v/>
      </c>
      <c r="BN26" s="191">
        <f t="shared" ca="1" si="16"/>
        <v>0</v>
      </c>
      <c r="BO26" s="188" t="str">
        <f t="shared" si="5"/>
        <v/>
      </c>
      <c r="BP26" s="188" t="str">
        <f t="shared" si="6"/>
        <v>1</v>
      </c>
      <c r="BQ26" s="188" t="str">
        <f t="shared" ca="1" si="17"/>
        <v/>
      </c>
      <c r="BR26" s="181" t="str">
        <f t="shared" ca="1" si="18"/>
        <v/>
      </c>
      <c r="BT26" s="190" t="str">
        <f>IFERROR(IF(INDEX(Program_01!$BZ:$BZ,MATCH($B26,Program_01!$A:$A,0))=DATE(1900,1,0),"",INDEX(Program_01!$BZ:$BZ,MATCH($B26,Program_01!$A:$A,0))),"")</f>
        <v/>
      </c>
      <c r="BU26" s="182" t="str">
        <f t="shared" ca="1" si="22"/>
        <v/>
      </c>
      <c r="BV26" s="188" t="str">
        <f t="shared" si="7"/>
        <v/>
      </c>
      <c r="BW26" s="188" t="str">
        <f t="shared" si="8"/>
        <v>1</v>
      </c>
      <c r="BX26" s="188" t="str">
        <f t="shared" ca="1" si="9"/>
        <v/>
      </c>
      <c r="BY26" s="181" t="str">
        <f t="shared" ca="1" si="19"/>
        <v/>
      </c>
      <c r="CA26" s="192" t="str">
        <f t="shared" si="20"/>
        <v>N</v>
      </c>
      <c r="CB26" s="192" t="str">
        <f t="shared" si="21"/>
        <v>N</v>
      </c>
      <c r="CC26" s="193">
        <f>IFERROR(INDEX(Program_01!$CE:$CE,MATCH($B26,Program_01!$A:$A,0)),"")</f>
        <v>0</v>
      </c>
      <c r="CD26" s="193">
        <f t="shared" si="10"/>
        <v>45085</v>
      </c>
      <c r="CG26" s="194">
        <f>IFERROR(INDEX(Program_01!$AT:$AT,MATCH($B26,Program_01!$A:$A,0)),"")</f>
        <v>46455401.689999998</v>
      </c>
      <c r="CH26" s="194">
        <f>IFERROR(INDEX(Program_01!$AX:$AX,MATCH($B26,Program_01!$A:$A,0)),"")</f>
        <v>14631530.800000001</v>
      </c>
      <c r="CI26" s="187" t="s">
        <v>221</v>
      </c>
    </row>
    <row r="27" spans="1:87" s="187" customFormat="1" ht="409.5" customHeight="1">
      <c r="A27" s="174" t="s">
        <v>1</v>
      </c>
      <c r="B27" s="197">
        <v>9</v>
      </c>
      <c r="C27" s="176" t="str">
        <f>IFERROR(INDEX(Program_01!$B:$B,MATCH($B27,Program_01!$A:$A,0)),"")</f>
        <v>FULL TIA EAR</v>
      </c>
      <c r="D27" s="176" t="str">
        <f>IFERROR(INDEX(Program_01!$D:$D,MATCH($B27,Program_01!$A:$A,0)),"")</f>
        <v>1TB01006C03</v>
      </c>
      <c r="E27" s="176" t="str">
        <f>IFERROR(INDEX(Program_01!$E:$E,MATCH($B27,Program_01!$A:$A,0)),"")</f>
        <v>1.TB.01.006.99</v>
      </c>
      <c r="F27" s="176" t="str">
        <f>IFERROR(INDEX(Program_01!$F:$F,MATCH($B27,Program_01!$A:$A,0)),"")</f>
        <v>Village Boutique Hotel</v>
      </c>
      <c r="G27" s="176" t="str">
        <f>IFERROR(INDEX(Program_01!$G:$G,MATCH($B27,Program_01!$A:$A,0)),"")</f>
        <v>Concrete Structure and Civil Works for Village Boutique Hotel</v>
      </c>
      <c r="H27" s="176" t="str">
        <f>IFERROR(INDEX(Program_01!$H:$H,MATCH($B27,Program_01!$A:$A,0)),"")</f>
        <v>Mounes Mohamed Al Shayeb and Partners for Civil Construction - MOBCO</v>
      </c>
      <c r="I27" s="176" t="str">
        <f t="shared" si="11"/>
        <v>EOT</v>
      </c>
      <c r="J27" s="176">
        <f>IFERROR(INDEX(Program_01!$I:$I,MATCH($B27,Program_01!$A:$A,0)),"")</f>
        <v>1</v>
      </c>
      <c r="K27" s="176">
        <f>IFERROR(INDEX(Program_01!$J:$J,MATCH($B27,Program_01!$A:$A,0)),"")</f>
        <v>0</v>
      </c>
      <c r="L27" s="176">
        <f>IFERROR(INDEX(Program_01!$K:$K,MATCH($B27,Program_01!$A:$A,0)),"")</f>
        <v>0</v>
      </c>
      <c r="M27" s="176">
        <f>IFERROR(INDEX(Program_01!$L:$L,MATCH($B27,Program_01!$A:$A,0)),"")</f>
        <v>0</v>
      </c>
      <c r="N27" s="176">
        <f>IFERROR(INDEX(Program_01!$L:$L,MATCH($B27,Program_01!$A:$A,0)),"")</f>
        <v>0</v>
      </c>
      <c r="O27" s="176">
        <f>IFERROR(INDEX(Program_01!$N:$N,MATCH($B27,Program_01!$A:$A,0)),"")</f>
        <v>0</v>
      </c>
      <c r="P27" s="178"/>
      <c r="Q27" s="179" t="str">
        <f>IFERROR(INDEX(Program_01!$C:$C,MATCH($B27,Program_01!$A:$A,0)),"")</f>
        <v xml:space="preserve">EOT Claim No. 3 - up to Nov 10, 2023 (Delay in Issuing IFC Drawings, Delay in Providing Benchmarks and coordination drawings with SANSRS Coordinates, Delay in providing access (site handover) - update of Item 5
</v>
      </c>
      <c r="R27" s="176" t="str">
        <f>IFERROR(INDEX(Program_01!$V:$V,MATCH($B27,Program_01!$A:$A,0)),"")</f>
        <v>1TB01006-006C03-MOO-LTR-0063</v>
      </c>
      <c r="S27" s="180">
        <f>IFERROR(INDEX(Program_01!$W:$W,MATCH($B27,Program_01!$A:$A,0)),"")</f>
        <v>45258</v>
      </c>
      <c r="T27" s="178"/>
      <c r="U27" s="176" t="str">
        <f>IFERROR(INDEX(Program_01!$Z:$Z,MATCH($B27,Program_01!$A:$A,0)),"")</f>
        <v>1TB01006-006C03-AMA-LTR-0113</v>
      </c>
      <c r="V27" s="181">
        <f>IFERROR(INDEX(Program_01!$AA:$AA,MATCH($B27,Program_01!$A:$A,0)),"")</f>
        <v>45312</v>
      </c>
      <c r="W27" s="182">
        <f t="shared" ca="1" si="0"/>
        <v>54</v>
      </c>
      <c r="X27" s="169"/>
      <c r="Y27" s="179" t="str">
        <f>IFERROR(INDEX(Program_01!$BD:$BD,MATCH($B27,Program_01!$A:$A,0)),"")</f>
        <v>1TB01006-006C03-AMA-LTR-0120 dated 04 Feb 24 Rejected,Revise and Resubmit
Contractor submissted a revised claim with a new cut off date as EOT 4, however, the actual claim is still EOT 3
Contractor submitted  EOT 5 under letter 1TB01006-006C03-MOO-LTR-0098 dated 12 June 2024 which was rejects the claim in its entirety under Clause 20.1.7 as it does not comply with the requirements of Clause 20.1 (Contractor’s Claims), Clause 8.4 (Extension of Time) or Clause 8.5 (Time Impact Analysis). Consequently, the Contractor is required to resubmit its fully detailed claim within 20 Business Days of this letter.
10 Nov 24: Contractor issued a letter to follow up on Employer's review on the claim via letter 1TB01006-006C03-MOO-LTR-0113 on 07 Nov 24
1TB01006-006C03-AMA-LTR-0148 dated 29 Jan 25
1TB01006-006C03-MOO-LTR-0118 dated 20 Feb 25</v>
      </c>
      <c r="Z27" s="169"/>
      <c r="AA27" s="183" t="str">
        <f>IFERROR(IF((INDEX(Program_01!$AD:$AD,MATCH($B27,Program_01!$A:$A,0))=""),INDEX(Program_01!$V:$V,MATCH($B27,Program_01!$A:$A,0)),INDEX(Program_01!$AD:$AD,MATCH($B27,Program_01!$A:$A,0))),"")</f>
        <v>1TB01006-006C03-MOO-LTR-0082 dated 28 Jan 24
1TB01006-006C03-MOO-LTR-0094 dated 05 Apr 24
1TB01006-006C03-MOO-LTR-0098 dated 14 Jun 24
1TB01006-006C03-MOO-LTR-0100 dated 25 Jul 24
1TB01006-006C03-MOO-LTR-0110 
dated 29Sep 24
1TB01006-006C03-MOO-LTR-0118</v>
      </c>
      <c r="AB27" s="147">
        <f>IFERROR(IF((INDEX(Program_01!$AE:$AE,MATCH($B27,Program_01!$A:$A,0))=""),INDEX(Program_01!$W:$W,MATCH($B27,Program_01!$A:$A,0)),INDEX(Program_01!$AE:$AE,MATCH($B27,Program_01!$A:$A,0))),"")</f>
        <v>45708</v>
      </c>
      <c r="AC27" s="183" t="str">
        <f>IFERROR(IF($I27="EOT",INDEX(Program_01!$AN:$AN,MATCH($B27,Program_01!$A:$A,0)),INDEX(Program_01!$AY:$AY,MATCH($B27,Program_01!$A:$A,0))),"")</f>
        <v>1TB01006-006C03-AMA-LTR-0159</v>
      </c>
      <c r="AD27" s="181">
        <f>IFERROR(IF($I27="EOT",INDEX(Program_01!$AO:$AO,MATCH($B27,Program_01!$A:$A,0)),INDEX(Program_01!$AZ:$AZ,MATCH($B27,Program_01!$A:$A,0))),"")</f>
        <v>45896</v>
      </c>
      <c r="AE27" s="169"/>
      <c r="AF27" s="183"/>
      <c r="AG27" s="181"/>
      <c r="AH27" s="183">
        <f>IF(OR($D27="",$AS27="VO Issued",$AS27="Open"),"",IF(OR($AC27="Rejected",$AC27="Superseded",$AC27="Dealt Separately"),$AC27,IF($I27="EOT",INDEX(Program_01!$AR:$AR,MATCH($B27,Program_01!$A:$A,0)),INDEX(Program_01!$BB:$BB,MATCH($B27,Program_01!$A:$A,0)))))</f>
        <v>0</v>
      </c>
      <c r="AI27" s="181">
        <f>IF(OR($A27="",$B27="",$I27="",$AS27="VO Issued",$AS27="Open"),"",IF(OR($AD27="N/A"),$AD27,IF($I27="EOT",INDEX(Program_01!$AS:$AS,MATCH($B27,Program_01!$A:$A,0)),INDEX(Program_01!$BC:$BC,MATCH($B27,Program_01!$A:$A,0)))))</f>
        <v>0</v>
      </c>
      <c r="AJ27" s="183">
        <f>IF(OR($D27="",$I27="",$AS27="Determination Issued",$AS27="Rejected",$AS27="Open"),"",IF(OR($AH27="Rejected",$AH27="Dealt Separately",$AH27="Superseded",$AH27="Withdrawn"),"N/A",IF($I27="EOT",INDEX(Program_01!AR:AR,MATCH($B27,Program_01!A:A,0)),INDEX(Program_01!BB:BB,MATCH($B27,Program_01!A:A,0)))))</f>
        <v>0</v>
      </c>
      <c r="AK27" s="181">
        <f>IF(OR($A27="",$B27="",$I27="",$AS27="Determination Issued",$AS27="Rejected",$AS27="Open"),"",IF($AJ27="N/A","N/A",IF($I27="EOT",INDEX(Program_01!AS:AS,MATCH($B27,Program_01!A:A,0)),INDEX(Program_01!BC:BC,MATCH($B27,Program_01!A:A,0)))))</f>
        <v>0</v>
      </c>
      <c r="AL27" s="169"/>
      <c r="AM27" s="184">
        <f>IFERROR(INDEX(Program_01!$BT:$BT,MATCH($B27,Program_01!$A:$A,0)),"")</f>
        <v>0</v>
      </c>
      <c r="AN27" s="184" t="str">
        <f>IFERROR(INDEX(Program_01!$BU:$BU,MATCH($B27,Program_01!$A:$A,0)),"")</f>
        <v>Yes</v>
      </c>
      <c r="AO27" s="184">
        <f>IFERROR(INDEX(Program_01!$BV:$BV,MATCH($B27,Program_01!$A:$A,0)),"")</f>
        <v>0</v>
      </c>
      <c r="AP27" s="169" t="str">
        <f t="shared" si="12"/>
        <v>1</v>
      </c>
      <c r="AQ27" s="184">
        <f>IFERROR(INDEX(Program_01!$BN:$BN,MATCH($B27,Program_01!$A:$A,0)),"")</f>
        <v>0</v>
      </c>
      <c r="AR27" s="184" t="str">
        <f>IFERROR(INDEX(Program_01!$BO:$BO,MATCH($B27,Program_01!$A:$A,0)),"")</f>
        <v>Assessment Report Issued</v>
      </c>
      <c r="AS27" s="184" t="str">
        <f>IFERROR(INDEX(Program_01!$BP:$BP,MATCH($B27,Program_01!$A:$A,0)),"")</f>
        <v>EI Issued</v>
      </c>
      <c r="AT27" s="185" t="str">
        <f>IFERROR(INDEX(Program_01!$BQ:$BQ,MATCH($B27,Program_01!$A:$A,0)),"")</f>
        <v>Closed</v>
      </c>
      <c r="AU27" s="179" t="str">
        <f>IFERROR(INDEX(Program_01!$BR:$BR,MATCH($B27,Program_01!$A:$A,0)),"")</f>
        <v xml:space="preserve">27 Oct 25: Shaju to follow up
02 Nov 25 - Planning responded to Notice of Disatisfaction, dissmissing the challnge with valid arguments,  letterin the WF-037710
04 Nov 25 - Response to Notice of Disatisfaction was issued Ref. 1TB01006-006C03-AMA-LTR-0164
17 Nov 25: Awaiting response from contractor
01 Dec 25: Ditto, commercial to issue a follow up letter, if a response is not received within 2 weeks, comm to determine
13 Dec 25 - Follow-up letter was sent (Ref. 1TB01006-006C03-AMA-LTR-0170). Contractor responded expressing disagreement (Ref.1TB01006-006C03-MOO-LTR-0141). Letter was sent to Planning to respond
06 Jan 26: Planning provided their input to be incorporated in the reponse
07 Jan 26: Draft response put in Workflow (WF-040043)
12 Jan 26: currently with Stuart P
14 Jan 26 - Resposne to Notice of Dissatisfcation sent on 14 Jan 26 (Ref. 1TB01006-006C03-AMA-LTR-0177)
27 Jan 26: awaiting response from contractor
09 Feb 26: Ditto, Commercial to issue a follow up letter to the contractor
23 Feb 26: follow up letter in WF-041504
08 March 26: Follow-up letter sent to Contractor Ref. 1TB01006-006C03-AMA-LTR-00179 
06 April 26: Ditto, awaiting contractor's response
20 April 2026: Awaiting Contractor's response
04 May 26: Commercial to check with delivery team regarding the DD and followwing to that comm to issue a follow up letter if required
14 May 26: Determination letter and EI drafted and to go into workflow (WF- 044034 for ED letter \ WF-044032 for EI).
18 May 26: Ditto
31 May 26: Determination letter and EI Issued : Ref. 1TB01006-006C03-AMA-LTR-0182 </v>
      </c>
      <c r="AV27" s="186" t="str">
        <f t="shared" si="1"/>
        <v>CLOSED</v>
      </c>
      <c r="AW27" s="186" t="str">
        <f>IF($I27="","",IF($S27&lt;$AW$16,"",IF($AS27="OPEN","OPEN",IF($AS27="","",IF(AND($AS27&lt;&gt;"OPEN",$AT27="CLOSED"),"CLOSED",IF(AND($AS27&lt;&gt;"OPEN",$AT27&lt;&gt;"CLOSED"),"OPEN",""))))))</f>
        <v/>
      </c>
      <c r="AX27" s="186" t="str">
        <f t="shared" si="2"/>
        <v>CLOSED</v>
      </c>
      <c r="AY27" s="181">
        <f t="shared" si="14"/>
        <v>45708</v>
      </c>
      <c r="AZ27" s="181">
        <f t="shared" si="3"/>
        <v>45896</v>
      </c>
      <c r="BA27" s="181">
        <f t="shared" si="4"/>
        <v>0</v>
      </c>
      <c r="BC27" s="181">
        <f>IFERROR(INDEX(Program_01!BF:BF,MATCH($B27,Program_01!$A:$A,0)),"")</f>
        <v>45708</v>
      </c>
      <c r="BD27" s="188" t="str">
        <f ca="1">IFERROR(INDEX(Program_01!BG:BG,MATCH($B27,Program_01!$A:$A,0)),"")</f>
        <v>N/A</v>
      </c>
      <c r="BE27" s="181">
        <f>IFERROR(INDEX(Program_01!BH:BH,MATCH($B27,Program_01!$A:$A,0)),"")</f>
        <v>45805</v>
      </c>
      <c r="BF27" s="189">
        <f ca="1">IFERROR(INDEX(Program_01!BI:BI,MATCH($B27,Program_01!$A:$A,0)),"")</f>
        <v>47</v>
      </c>
      <c r="BG27" s="181">
        <f>IFERROR(INDEX(Program_01!BJ:BJ,MATCH($B27,Program_01!$A:$A,0)),"")</f>
        <v>45852</v>
      </c>
      <c r="BH27" s="189">
        <f ca="1">IFERROR(INDEX(Program_01!BK:BK,MATCH($B27,Program_01!$A:$A,0)),"")</f>
        <v>14</v>
      </c>
      <c r="BI27" s="181">
        <f>IFERROR(INDEX(Program_01!BL:BL,MATCH($B27,Program_01!$A:$A,0)),"")</f>
        <v>45866</v>
      </c>
      <c r="BK27" s="190">
        <f>IFERROR(IF(INDEX(Program_01!$BX:$BX,MATCH($B27,Program_01!$A:$A,0))=DATE(1900,1,0),"",INDEX(Program_01!$BX:$BX,MATCH($B27,Program_01!$A:$A,0))),"")</f>
        <v>45896</v>
      </c>
      <c r="BL27" s="190" t="str">
        <f>IFERROR(IF(INDEX(Program_01!$BY:$BY,MATCH($B27,Program_01!$A:$A,0))=DATE(1900,1,0),"",INDEX(Program_01!$BY:$BY,MATCH($B27,Program_01!$A:$A,0))),"")</f>
        <v/>
      </c>
      <c r="BM27" s="188">
        <f t="shared" ca="1" si="15"/>
        <v>188</v>
      </c>
      <c r="BN27" s="191">
        <f t="shared" ca="1" si="16"/>
        <v>188</v>
      </c>
      <c r="BO27" s="188">
        <f t="shared" ca="1" si="5"/>
        <v>188</v>
      </c>
      <c r="BP27" s="188" t="str">
        <f t="shared" si="6"/>
        <v>1</v>
      </c>
      <c r="BQ27" s="188" t="str">
        <f t="shared" ca="1" si="17"/>
        <v/>
      </c>
      <c r="BR27" s="181" t="str">
        <f t="shared" ca="1" si="18"/>
        <v/>
      </c>
      <c r="BT27" s="190" t="str">
        <f>IFERROR(IF(INDEX(Program_01!$BZ:$BZ,MATCH($B27,Program_01!$A:$A,0))=DATE(1900,1,0),"",INDEX(Program_01!$BZ:$BZ,MATCH($B27,Program_01!$A:$A,0))),"")</f>
        <v/>
      </c>
      <c r="BU27" s="182">
        <f t="shared" ca="1" si="22"/>
        <v>-45896</v>
      </c>
      <c r="BV27" s="188" t="str">
        <f t="shared" si="7"/>
        <v/>
      </c>
      <c r="BW27" s="188" t="str">
        <f t="shared" si="8"/>
        <v>1</v>
      </c>
      <c r="BX27" s="188" t="str">
        <f t="shared" ca="1" si="9"/>
        <v/>
      </c>
      <c r="BY27" s="181" t="str">
        <f t="shared" ca="1" si="19"/>
        <v/>
      </c>
      <c r="CA27" s="192" t="str">
        <f t="shared" si="20"/>
        <v>Y</v>
      </c>
      <c r="CB27" s="192" t="str">
        <f t="shared" si="21"/>
        <v>N</v>
      </c>
      <c r="CC27" s="193">
        <f>IFERROR(INDEX(Program_01!$CE:$CE,MATCH($B27,Program_01!$A:$A,0)),"")</f>
        <v>45258</v>
      </c>
      <c r="CD27" s="193">
        <f t="shared" si="10"/>
        <v>45258</v>
      </c>
      <c r="CG27" s="194">
        <f>IFERROR(INDEX(Program_01!$AT:$AT,MATCH($B27,Program_01!$A:$A,0)),"")</f>
        <v>0</v>
      </c>
      <c r="CH27" s="194">
        <f>IFERROR(INDEX(Program_01!$AX:$AX,MATCH($B27,Program_01!$A:$A,0)),"")</f>
        <v>0</v>
      </c>
    </row>
    <row r="28" spans="1:87" s="187" customFormat="1" ht="363" customHeight="1">
      <c r="A28" s="174" t="s">
        <v>1</v>
      </c>
      <c r="B28" s="175">
        <v>10</v>
      </c>
      <c r="C28" s="176" t="str">
        <f>IFERROR(INDEX(Program_01!$B:$B,MATCH($B28,Program_01!$A:$A,0)),"")</f>
        <v>COST EAR</v>
      </c>
      <c r="D28" s="176" t="str">
        <f>IFERROR(INDEX(Program_01!$D:$D,MATCH($B28,Program_01!$A:$A,0)),"")</f>
        <v>1TB01031C02</v>
      </c>
      <c r="E28" s="176" t="str">
        <f>IFERROR(INDEX(Program_01!$E:$E,MATCH($B28,Program_01!$A:$A,0)),"")</f>
        <v>1.TB.01.031.01</v>
      </c>
      <c r="F28" s="176" t="str">
        <f>IFERROR(INDEX(Program_01!$F:$F,MATCH($B28,Program_01!$A:$A,0)),"")</f>
        <v>The Marina</v>
      </c>
      <c r="G28" s="176" t="str">
        <f>IFERROR(INDEX(Program_01!$G:$G,MATCH($B28,Program_01!$A:$A,0)),"")</f>
        <v>Triple Bay Marina Basin - Design and Build Main Contract</v>
      </c>
      <c r="H28" s="176" t="str">
        <f>IFERROR(INDEX(Program_01!$H:$H,MATCH($B28,Program_01!$A:$A,0)),"")</f>
        <v>Alsaad General Contracting Company</v>
      </c>
      <c r="I28" s="176" t="str">
        <f t="shared" si="11"/>
        <v>Other Claims</v>
      </c>
      <c r="J28" s="176">
        <f>IFERROR(INDEX(Program_01!$I:$I,MATCH($B28,Program_01!$A:$A,0)),"")</f>
        <v>0</v>
      </c>
      <c r="K28" s="176">
        <f>IFERROR(INDEX(Program_01!$J:$J,MATCH($B28,Program_01!$A:$A,0)),"")</f>
        <v>0</v>
      </c>
      <c r="L28" s="176">
        <f>IFERROR(INDEX(Program_01!$K:$K,MATCH($B28,Program_01!$A:$A,0)),"")</f>
        <v>0</v>
      </c>
      <c r="M28" s="176">
        <f>IFERROR(INDEX(Program_01!$L:$L,MATCH($B28,Program_01!$A:$A,0)),"")</f>
        <v>0</v>
      </c>
      <c r="N28" s="176">
        <f>IFERROR(INDEX(Program_01!$L:$L,MATCH($B28,Program_01!$A:$A,0)),"")</f>
        <v>0</v>
      </c>
      <c r="O28" s="176">
        <f>IFERROR(INDEX(Program_01!$N:$N,MATCH($B28,Program_01!$A:$A,0)),"")</f>
        <v>1</v>
      </c>
      <c r="P28" s="178"/>
      <c r="Q28" s="179" t="str">
        <f>IFERROR(INDEX(Program_01!$C:$C,MATCH($B28,Program_01!$A:$A,0)),"")</f>
        <v>Notice of Dissatisfaction on Engineer's Determination - Works carried out by Binyah</v>
      </c>
      <c r="R28" s="176" t="str">
        <f>IFERROR(INDEX(Program_01!$V:$V,MATCH($B28,Program_01!$A:$A,0)),"")</f>
        <v>1TB01031-031C02-ALS-LTR-0283</v>
      </c>
      <c r="S28" s="180">
        <f>IFERROR(INDEX(Program_01!$W:$W,MATCH($B28,Program_01!$A:$A,0)),"")</f>
        <v>45313</v>
      </c>
      <c r="T28" s="178"/>
      <c r="U28" s="176" t="str">
        <f>IFERROR(INDEX(Program_01!$Z:$Z,MATCH($B28,Program_01!$A:$A,0)),"")</f>
        <v>Initial response not required</v>
      </c>
      <c r="V28" s="181" t="str">
        <f>IFERROR(INDEX(Program_01!$AA:$AA,MATCH($B28,Program_01!$A:$A,0)),"")</f>
        <v>N/A</v>
      </c>
      <c r="W28" s="182" t="str">
        <f t="shared" ca="1" si="0"/>
        <v/>
      </c>
      <c r="X28" s="169"/>
      <c r="Y28" s="179" t="str">
        <f>IFERROR(INDEX(Program_01!$BD:$BD,MATCH($B28,Program_01!$A:$A,0)),"")</f>
        <v>1TB01031-031D03-WSP-EIN-CM-0021 dated10 Dec 23
1TB01031-031D03-WSP-LTR-0408 dated 10 Dec 23
DVO-028 -EI-035 Additional Resources to ALS.pdf
1TB01031-031D03-WSP-LTR-0410 dated 11 Dec 23
1TB01031-031C02-ALS-LTR-0282 dated 09 Jan 24
1TB01031-031D03-WSP-LTR-0429 dated 31 Jan 24
1TB01031-031D03-WSP-LTR-0437 dated 12 Feb 24
1TB01031-031D03-WSP-LTR-0423 dated 13 Jan 24
1TB01031-031C02-ALS-LTR-0283 dated 22 Jan 24</v>
      </c>
      <c r="Z28" s="169"/>
      <c r="AA28" s="183" t="str">
        <f>IFERROR(IF((INDEX(Program_01!$AD:$AD,MATCH($B28,Program_01!$A:$A,0))=""),INDEX(Program_01!$V:$V,MATCH($B28,Program_01!$A:$A,0)),INDEX(Program_01!$AD:$AD,MATCH($B28,Program_01!$A:$A,0))),"")</f>
        <v>1TB01031-031C02-ALS-LTR-0283</v>
      </c>
      <c r="AB28" s="147">
        <f>IFERROR(IF((INDEX(Program_01!$AE:$AE,MATCH($B28,Program_01!$A:$A,0))=""),INDEX(Program_01!$W:$W,MATCH($B28,Program_01!$A:$A,0)),INDEX(Program_01!$AE:$AE,MATCH($B28,Program_01!$A:$A,0))),"")</f>
        <v>45313</v>
      </c>
      <c r="AC28" s="183" t="str">
        <f>IFERROR(IF($I28="EOT",INDEX(Program_01!$AN:$AN,MATCH($B28,Program_01!$A:$A,0)),INDEX(Program_01!$AY:$AY,MATCH($B28,Program_01!$A:$A,0))),"")</f>
        <v>N/A</v>
      </c>
      <c r="AD28" s="181">
        <f>IFERROR(IF($I28="EOT",INDEX(Program_01!$AO:$AO,MATCH($B28,Program_01!$A:$A,0)),INDEX(Program_01!$AZ:$AZ,MATCH($B28,Program_01!$A:$A,0))),"")</f>
        <v>0</v>
      </c>
      <c r="AE28" s="169"/>
      <c r="AF28" s="183"/>
      <c r="AG28" s="181"/>
      <c r="AH28" s="183">
        <f>IF(OR($D28="",$AS28="VO Issued",$AS28="Open"),"",IF(OR($AC28="Rejected",$AC28="Superseded",$AC28="Dealt Separately"),$AC28,IF($I28="EOT",INDEX(Program_01!$AR:$AR,MATCH($B28,Program_01!$A:$A,0)),INDEX(Program_01!$BB:$BB,MATCH($B28,Program_01!$A:$A,0)))))</f>
        <v>0</v>
      </c>
      <c r="AI28" s="181">
        <f>IF(OR($A28="",$B28="",$I28="",$AS28="VO Issued",$AS28="Open"),"",IF(OR($AD28="N/A"),$AD28,IF($I28="EOT",INDEX(Program_01!$AS:$AS,MATCH($B28,Program_01!$A:$A,0)),INDEX(Program_01!$BC:$BC,MATCH($B28,Program_01!$A:$A,0)))))</f>
        <v>0</v>
      </c>
      <c r="AJ28" s="183">
        <f>IF(OR($D28="",$I28="",$AS28="Determination Issued",$AS28="Rejected",$AS28="Open"),"",IF(OR($AH28="Rejected",$AH28="Dealt Separately",$AH28="Superseded",$AH28="Withdrawn"),"N/A",IF($I28="EOT",INDEX(Program_01!AR:AR,MATCH($B28,Program_01!A:A,0)),INDEX(Program_01!BB:BB,MATCH($B28,Program_01!A:A,0)))))</f>
        <v>0</v>
      </c>
      <c r="AK28" s="181">
        <f>IF(OR($A28="",$B28="",$I28="",$AS28="Determination Issued",$AS28="Rejected",$AS28="Open"),"",IF($AJ28="N/A","N/A",IF($I28="EOT",INDEX(Program_01!AS:AS,MATCH($B28,Program_01!A:A,0)),INDEX(Program_01!BC:BC,MATCH($B28,Program_01!A:A,0)))))</f>
        <v>0</v>
      </c>
      <c r="AL28" s="169"/>
      <c r="AM28" s="184">
        <f>IFERROR(INDEX(Program_01!$BT:$BT,MATCH($B28,Program_01!$A:$A,0)),"")</f>
        <v>0</v>
      </c>
      <c r="AN28" s="184" t="str">
        <f>IFERROR(INDEX(Program_01!$BU:$BU,MATCH($B28,Program_01!$A:$A,0)),"")</f>
        <v>Yes</v>
      </c>
      <c r="AO28" s="184">
        <f>IFERROR(INDEX(Program_01!$BV:$BV,MATCH($B28,Program_01!$A:$A,0)),"")</f>
        <v>0</v>
      </c>
      <c r="AP28" s="169" t="str">
        <f t="shared" si="12"/>
        <v>1</v>
      </c>
      <c r="AQ28" s="184">
        <f>IFERROR(INDEX(Program_01!$BN:$BN,MATCH($B28,Program_01!$A:$A,0)),"")</f>
        <v>0</v>
      </c>
      <c r="AR28" s="184" t="str">
        <f>IFERROR(INDEX(Program_01!$BO:$BO,MATCH($B28,Program_01!$A:$A,0)),"")</f>
        <v>Not Applicable</v>
      </c>
      <c r="AS28" s="184" t="str">
        <f>IFERROR(INDEX(Program_01!$BP:$BP,MATCH($B28,Program_01!$A:$A,0)),"")</f>
        <v>Dealt Separately</v>
      </c>
      <c r="AT28" s="185" t="str">
        <f>IFERROR(INDEX(Program_01!$BQ:$BQ,MATCH($B28,Program_01!$A:$A,0)),"")</f>
        <v>Closed</v>
      </c>
      <c r="AU28" s="179" t="str">
        <f>IFERROR(INDEX(Program_01!$BR:$BR,MATCH($B28,Program_01!$A:$A,0)),"")</f>
        <v>22 Dec 24: Ditto
13 Dec 24: Sasho had a discussion with the contractor to withdraw the letter. awaiting formal letter from contractor
27 Jan 25: this item to be moved to disputes tab
note: to be removed from the list
10 Mar 25: Ditto, with Sasho
24 Mar 25: Ditto
07 Apr 25: Ditto
09 Apr 25: No further comments required as its a potential dispute
22 Apr 25: Ditto
04 May 25: Ditto, BK to speak with NE on the week commencing on the 18th of may to close the claim
19 May 25: Ditto
01-June-25: Ditto,  FA in proccess. It is not expected that the Contractor will reopen this issue.
16 Jun 25: Ditto
30 Jun 25: Ditto, to be resolved with final account
14 July 25: Ditto
24 July 25: Drafting FA aggrement at the moment, wording ensures giving up the rights on all the open and potential claims.
12 Aug 25: Ditto
23 Aug 25:  Contractor has accepted the Final Account statement via Email, this implies any NOD issued by the contractor is withdrawn. Official letter of withrawal will be requested to the Contractor, once FAS is signed and closed
08 Sep 25: Ditto
07 Oct 25: Ditto
03 Nov 25: Ditto
17 Nov 25: Ditto
01 Dec 25: Ditto, to be closed as final account has been finalised</v>
      </c>
      <c r="AV28" s="186" t="str">
        <f t="shared" si="1"/>
        <v/>
      </c>
      <c r="AW28" s="186" t="str">
        <f t="shared" si="13"/>
        <v>CLOSED</v>
      </c>
      <c r="AX28" s="186" t="str">
        <f t="shared" si="2"/>
        <v>CLOSED</v>
      </c>
      <c r="AY28" s="181">
        <f t="shared" si="14"/>
        <v>45313</v>
      </c>
      <c r="AZ28" s="181" t="str">
        <f t="shared" si="3"/>
        <v/>
      </c>
      <c r="BA28" s="181">
        <f t="shared" si="4"/>
        <v>0</v>
      </c>
      <c r="BC28" s="181">
        <f>IFERROR(INDEX(Program_01!BF:BF,MATCH($B28,Program_01!$A:$A,0)),"")</f>
        <v>45313</v>
      </c>
      <c r="BD28" s="188" t="str">
        <f ca="1">IFERROR(INDEX(Program_01!BG:BG,MATCH($B28,Program_01!$A:$A,0)),"")</f>
        <v>N/A</v>
      </c>
      <c r="BE28" s="181">
        <f>IFERROR(INDEX(Program_01!BH:BH,MATCH($B28,Program_01!$A:$A,0)),"")</f>
        <v>0</v>
      </c>
      <c r="BF28" s="189" t="str">
        <f ca="1">IFERROR(INDEX(Program_01!BI:BI,MATCH($B28,Program_01!$A:$A,0)),"")</f>
        <v>N/A</v>
      </c>
      <c r="BG28" s="181">
        <f>IFERROR(INDEX(Program_01!BJ:BJ,MATCH($B28,Program_01!$A:$A,0)),"")</f>
        <v>0</v>
      </c>
      <c r="BH28" s="189">
        <f ca="1">IFERROR(INDEX(Program_01!BK:BK,MATCH($B28,Program_01!$A:$A,0)),"")</f>
        <v>0</v>
      </c>
      <c r="BI28" s="181">
        <f>IFERROR(INDEX(Program_01!BL:BL,MATCH($B28,Program_01!$A:$A,0)),"")</f>
        <v>0</v>
      </c>
      <c r="BK28" s="190">
        <f>IFERROR(IF(INDEX(Program_01!$BX:$BX,MATCH($B28,Program_01!$A:$A,0))=DATE(1900,1,0),"",INDEX(Program_01!$BX:$BX,MATCH($B28,Program_01!$A:$A,0))),"")</f>
        <v>45992</v>
      </c>
      <c r="BL28" s="190" t="str">
        <f>IFERROR(IF(INDEX(Program_01!$BY:$BY,MATCH($B28,Program_01!$A:$A,0))=DATE(1900,1,0),"",INDEX(Program_01!$BY:$BY,MATCH($B28,Program_01!$A:$A,0))),"")</f>
        <v/>
      </c>
      <c r="BM28" s="188" t="str">
        <f t="shared" ca="1" si="15"/>
        <v/>
      </c>
      <c r="BN28" s="191">
        <f t="shared" ca="1" si="16"/>
        <v>0</v>
      </c>
      <c r="BO28" s="188" t="str">
        <f t="shared" si="5"/>
        <v/>
      </c>
      <c r="BP28" s="188" t="str">
        <f t="shared" si="6"/>
        <v>1</v>
      </c>
      <c r="BQ28" s="188" t="str">
        <f t="shared" ca="1" si="17"/>
        <v/>
      </c>
      <c r="BR28" s="181" t="str">
        <f t="shared" ca="1" si="18"/>
        <v/>
      </c>
      <c r="BT28" s="190" t="str">
        <f>IFERROR(IF(INDEX(Program_01!$BZ:$BZ,MATCH($B28,Program_01!$A:$A,0))=DATE(1900,1,0),"",INDEX(Program_01!$BZ:$BZ,MATCH($B28,Program_01!$A:$A,0))),"")</f>
        <v/>
      </c>
      <c r="BU28" s="182" t="str">
        <f t="shared" ca="1" si="22"/>
        <v/>
      </c>
      <c r="BV28" s="188" t="str">
        <f t="shared" si="7"/>
        <v/>
      </c>
      <c r="BW28" s="188" t="str">
        <f t="shared" si="8"/>
        <v>1</v>
      </c>
      <c r="BX28" s="188" t="str">
        <f t="shared" ca="1" si="9"/>
        <v/>
      </c>
      <c r="BY28" s="181" t="str">
        <f t="shared" ca="1" si="19"/>
        <v/>
      </c>
      <c r="CA28" s="192" t="str">
        <f t="shared" si="20"/>
        <v>N</v>
      </c>
      <c r="CB28" s="192" t="str">
        <f t="shared" si="21"/>
        <v>N</v>
      </c>
      <c r="CC28" s="193">
        <f>IFERROR(INDEX(Program_01!$CE:$CE,MATCH($B28,Program_01!$A:$A,0)),"")</f>
        <v>45313</v>
      </c>
      <c r="CD28" s="193">
        <f t="shared" si="10"/>
        <v>45313</v>
      </c>
      <c r="CG28" s="194" t="str">
        <f>IFERROR(INDEX(Program_01!$AT:$AT,MATCH($B28,Program_01!$A:$A,0)),"")</f>
        <v>N/A</v>
      </c>
      <c r="CH28" s="194">
        <f>IFERROR(INDEX(Program_01!$AX:$AX,MATCH($B28,Program_01!$A:$A,0)),"")</f>
        <v>0</v>
      </c>
    </row>
    <row r="29" spans="1:87" s="187" customFormat="1" ht="204">
      <c r="A29" s="174" t="s">
        <v>1</v>
      </c>
      <c r="B29" s="175">
        <v>11</v>
      </c>
      <c r="C29" s="176" t="str">
        <f>IFERROR(INDEX(Program_01!$B:$B,MATCH($B29,Program_01!$A:$A,0)),"")</f>
        <v>COST EAR</v>
      </c>
      <c r="D29" s="176" t="str">
        <f>IFERROR(INDEX(Program_01!$D:$D,MATCH($B29,Program_01!$A:$A,0)),"")</f>
        <v>1TB01005C02</v>
      </c>
      <c r="E29" s="176" t="str">
        <f>IFERROR(INDEX(Program_01!$E:$E,MATCH($B29,Program_01!$A:$A,0)),"")</f>
        <v>1.TB.01.005.01</v>
      </c>
      <c r="F29" s="176" t="str">
        <f>IFERROR(INDEX(Program_01!$F:$F,MATCH($B29,Program_01!$A:$A,0)),"")</f>
        <v>Red Sea Marine Life Institute</v>
      </c>
      <c r="G29" s="176" t="str">
        <f>IFERROR(INDEX(Program_01!$G:$G,MATCH($B29,Program_01!$A:$A,0)),"")</f>
        <v>Construction Contract - Structural Concrete, Wet Trades, Dewatering, Earthworks &amp; BOH Finishes</v>
      </c>
      <c r="H29" s="176" t="str">
        <f>IFERROR(INDEX(Program_01!$H:$H,MATCH($B29,Program_01!$A:$A,0)),"")</f>
        <v>Saudi Arabian Baytur Construction Company</v>
      </c>
      <c r="I29" s="176" t="str">
        <f t="shared" si="11"/>
        <v>Other Claims</v>
      </c>
      <c r="J29" s="176">
        <f>IFERROR(INDEX(Program_01!$I:$I,MATCH($B29,Program_01!$A:$A,0)),"")</f>
        <v>0</v>
      </c>
      <c r="K29" s="176">
        <f>IFERROR(INDEX(Program_01!$J:$J,MATCH($B29,Program_01!$A:$A,0)),"")</f>
        <v>0</v>
      </c>
      <c r="L29" s="176">
        <f>IFERROR(INDEX(Program_01!$K:$K,MATCH($B29,Program_01!$A:$A,0)),"")</f>
        <v>0</v>
      </c>
      <c r="M29" s="176">
        <f>IFERROR(INDEX(Program_01!$L:$L,MATCH($B29,Program_01!$A:$A,0)),"")</f>
        <v>0</v>
      </c>
      <c r="N29" s="176">
        <f>IFERROR(INDEX(Program_01!$L:$L,MATCH($B29,Program_01!$A:$A,0)),"")</f>
        <v>0</v>
      </c>
      <c r="O29" s="176">
        <f>IFERROR(INDEX(Program_01!$N:$N,MATCH($B29,Program_01!$A:$A,0)),"")</f>
        <v>1</v>
      </c>
      <c r="P29" s="178"/>
      <c r="Q29" s="179" t="str">
        <f>IFERROR(INDEX(Program_01!$C:$C,MATCH($B29,Program_01!$A:$A,0)),"")</f>
        <v>Application of Interim Extension of Time Claim No.01 - Temporary Opening in the Retaining Walls &amp; Slab</v>
      </c>
      <c r="R29" s="176" t="str">
        <f>IFERROR(INDEX(Program_01!$V:$V,MATCH($B29,Program_01!$A:$A,0)),"")</f>
        <v>1TB01005-005C02-SAB-LTR-0069</v>
      </c>
      <c r="S29" s="180">
        <f>IFERROR(INDEX(Program_01!$W:$W,MATCH($B29,Program_01!$A:$A,0)),"")</f>
        <v>45316</v>
      </c>
      <c r="T29" s="178"/>
      <c r="U29" s="176" t="str">
        <f>IFERROR(INDEX(Program_01!$Z:$Z,MATCH($B29,Program_01!$A:$A,0)),"")</f>
        <v>1TB01005-005C02-AMA-LTR-0112</v>
      </c>
      <c r="V29" s="181">
        <f>IFERROR(INDEX(Program_01!$AA:$AA,MATCH($B29,Program_01!$A:$A,0)),"")</f>
        <v>45434</v>
      </c>
      <c r="W29" s="182">
        <f t="shared" ca="1" si="0"/>
        <v>118</v>
      </c>
      <c r="X29" s="169"/>
      <c r="Y29" s="179">
        <f>IFERROR(INDEX(Program_01!$BD:$BD,MATCH($B29,Program_01!$A:$A,0)),"")</f>
        <v>0</v>
      </c>
      <c r="Z29" s="169"/>
      <c r="AA29" s="183" t="str">
        <f>IFERROR(IF((INDEX(Program_01!$AD:$AD,MATCH($B29,Program_01!$A:$A,0))=""),INDEX(Program_01!$V:$V,MATCH($B29,Program_01!$A:$A,0)),INDEX(Program_01!$AD:$AD,MATCH($B29,Program_01!$A:$A,0))),"")</f>
        <v>1TB01005-005C02-SAB-LTR-0069</v>
      </c>
      <c r="AB29" s="147">
        <f>IFERROR(IF((INDEX(Program_01!$AE:$AE,MATCH($B29,Program_01!$A:$A,0))=""),INDEX(Program_01!$W:$W,MATCH($B29,Program_01!$A:$A,0)),INDEX(Program_01!$AE:$AE,MATCH($B29,Program_01!$A:$A,0))),"")</f>
        <v>45316</v>
      </c>
      <c r="AC29" s="183" t="str">
        <f>IFERROR(IF($I29="EOT",INDEX(Program_01!$AN:$AN,MATCH($B29,Program_01!$A:$A,0)),INDEX(Program_01!$AY:$AY,MATCH($B29,Program_01!$A:$A,0))),"")</f>
        <v>N/A</v>
      </c>
      <c r="AD29" s="181">
        <f>IFERROR(IF($I29="EOT",INDEX(Program_01!$AO:$AO,MATCH($B29,Program_01!$A:$A,0)),INDEX(Program_01!$AZ:$AZ,MATCH($B29,Program_01!$A:$A,0))),"")</f>
        <v>0</v>
      </c>
      <c r="AE29" s="169"/>
      <c r="AF29" s="183"/>
      <c r="AG29" s="181"/>
      <c r="AH29" s="183">
        <f>IF(OR($D29="",$AS29="VO Issued",$AS29="Open"),"",IF(OR($AC29="Rejected",$AC29="Superseded",$AC29="Dealt Separately"),$AC29,IF($I29="EOT",INDEX(Program_01!$AR:$AR,MATCH($B29,Program_01!$A:$A,0)),INDEX(Program_01!$BB:$BB,MATCH($B29,Program_01!$A:$A,0)))))</f>
        <v>0</v>
      </c>
      <c r="AI29" s="181">
        <f>IF(OR($A29="",$B29="",$I29="",$AS29="VO Issued",$AS29="Open"),"",IF(OR($AD29="N/A"),$AD29,IF($I29="EOT",INDEX(Program_01!$AS:$AS,MATCH($B29,Program_01!$A:$A,0)),INDEX(Program_01!$BC:$BC,MATCH($B29,Program_01!$A:$A,0)))))</f>
        <v>0</v>
      </c>
      <c r="AJ29" s="183">
        <f>IF(OR($D29="",$I29="",$AS29="Determination Issued",$AS29="Rejected",$AS29="Open"),"",IF(OR($AH29="Rejected",$AH29="Dealt Separately",$AH29="Superseded",$AH29="Withdrawn"),"N/A",IF($I29="EOT",INDEX(Program_01!AR:AR,MATCH($B29,Program_01!A:A,0)),INDEX(Program_01!BB:BB,MATCH($B29,Program_01!A:A,0)))))</f>
        <v>0</v>
      </c>
      <c r="AK29" s="181">
        <f>IF(OR($A29="",$B29="",$I29="",$AS29="Determination Issued",$AS29="Rejected",$AS29="Open"),"",IF($AJ29="N/A","N/A",IF($I29="EOT",INDEX(Program_01!AS:AS,MATCH($B29,Program_01!A:A,0)),INDEX(Program_01!BC:BC,MATCH($B29,Program_01!A:A,0)))))</f>
        <v>0</v>
      </c>
      <c r="AL29" s="169"/>
      <c r="AM29" s="184">
        <f>IFERROR(INDEX(Program_01!$BT:$BT,MATCH($B29,Program_01!$A:$A,0)),"")</f>
        <v>0</v>
      </c>
      <c r="AN29" s="184">
        <f>IFERROR(INDEX(Program_01!$BU:$BU,MATCH($B29,Program_01!$A:$A,0)),"")</f>
        <v>0</v>
      </c>
      <c r="AO29" s="184">
        <f>IFERROR(INDEX(Program_01!$BV:$BV,MATCH($B29,Program_01!$A:$A,0)),"")</f>
        <v>0</v>
      </c>
      <c r="AP29" s="169" t="str">
        <f t="shared" si="12"/>
        <v/>
      </c>
      <c r="AQ29" s="184">
        <f>IFERROR(INDEX(Program_01!$BN:$BN,MATCH($B29,Program_01!$A:$A,0)),"")</f>
        <v>0</v>
      </c>
      <c r="AR29" s="184" t="str">
        <f>IFERROR(INDEX(Program_01!$BO:$BO,MATCH($B29,Program_01!$A:$A,0)),"")</f>
        <v>Not Applicable</v>
      </c>
      <c r="AS29" s="184" t="str">
        <f>IFERROR(INDEX(Program_01!$BP:$BP,MATCH($B29,Program_01!$A:$A,0)),"")</f>
        <v>Canceled</v>
      </c>
      <c r="AT29" s="185" t="str">
        <f>IFERROR(INDEX(Program_01!$BQ:$BQ,MATCH($B29,Program_01!$A:$A,0)),"")</f>
        <v>Closed</v>
      </c>
      <c r="AU29" s="179" t="str">
        <f>IFERROR(INDEX(Program_01!$BR:$BR,MATCH($B29,Program_01!$A:$A,0)),"")</f>
        <v>Note: this submission cannot be considered as a format EoT submission and hence considered cancelled / rejected
Commercial records this is not a EOT, although the contractor mentioned it is a EOT item
RFC was raised and approved
PVO for wall opening rejected by Delivery - Temporary Works should be included
Commercial currently gathering information, as we understand that these works were instructed over and above Temporary Works
10 Mar 24 - PVO to be uploaded again. Contractor has entitlement
25 Mar 24:  PVO rejected by Senior Project Director on 23-Mar-24 (Revise and Resubmit status).
27-Mar-24: Commercial team to formally inform the contractor regardrding the rejection.
05-May-24: As per the Senior Project Director (RSMLI), the variation claim for temporary openings has been rejected. Hence, the associated EOT claim should be rejected, and an official response will be issued.
22 May 24: 1TB01005-005C02-AMA-LTR-0112 a response rejecting the claim was issued to the contractor</v>
      </c>
      <c r="AV29" s="186" t="str">
        <f t="shared" si="1"/>
        <v/>
      </c>
      <c r="AW29" s="186" t="str">
        <f t="shared" si="13"/>
        <v>CLOSED</v>
      </c>
      <c r="AX29" s="186" t="str">
        <f t="shared" si="2"/>
        <v>CLOSED</v>
      </c>
      <c r="AY29" s="181">
        <f t="shared" si="14"/>
        <v>45316</v>
      </c>
      <c r="AZ29" s="181" t="str">
        <f>IF($AD29=0,"",AD29)</f>
        <v/>
      </c>
      <c r="BA29" s="181">
        <f t="shared" si="4"/>
        <v>0</v>
      </c>
      <c r="BC29" s="181">
        <f>IFERROR(INDEX(Program_01!BF:BF,MATCH($B29,Program_01!$A:$A,0)),"")</f>
        <v>45316</v>
      </c>
      <c r="BD29" s="188" t="str">
        <f ca="1">IFERROR(INDEX(Program_01!BG:BG,MATCH($B29,Program_01!$A:$A,0)),"")</f>
        <v>N/A</v>
      </c>
      <c r="BE29" s="181">
        <f>IFERROR(INDEX(Program_01!BH:BH,MATCH($B29,Program_01!$A:$A,0)),"")</f>
        <v>0</v>
      </c>
      <c r="BF29" s="189" t="str">
        <f ca="1">IFERROR(INDEX(Program_01!BI:BI,MATCH($B29,Program_01!$A:$A,0)),"")</f>
        <v>N/A</v>
      </c>
      <c r="BG29" s="181">
        <f>IFERROR(INDEX(Program_01!BJ:BJ,MATCH($B29,Program_01!$A:$A,0)),"")</f>
        <v>0</v>
      </c>
      <c r="BH29" s="189">
        <f ca="1">IFERROR(INDEX(Program_01!BK:BK,MATCH($B29,Program_01!$A:$A,0)),"")</f>
        <v>0</v>
      </c>
      <c r="BI29" s="181">
        <f>IFERROR(INDEX(Program_01!BL:BL,MATCH($B29,Program_01!$A:$A,0)),"")</f>
        <v>0</v>
      </c>
      <c r="BK29" s="190">
        <f>IFERROR(IF(INDEX(Program_01!$BX:$BX,MATCH($B29,Program_01!$A:$A,0))=DATE(1900,1,0),"",INDEX(Program_01!$BX:$BX,MATCH($B29,Program_01!$A:$A,0))),"")</f>
        <v>45404</v>
      </c>
      <c r="BL29" s="190" t="str">
        <f>IFERROR(IF(INDEX(Program_01!$BY:$BY,MATCH($B29,Program_01!$A:$A,0))=DATE(1900,1,0),"",INDEX(Program_01!$BY:$BY,MATCH($B29,Program_01!$A:$A,0))),"")</f>
        <v/>
      </c>
      <c r="BM29" s="188" t="str">
        <f t="shared" ca="1" si="15"/>
        <v/>
      </c>
      <c r="BN29" s="191">
        <f t="shared" ca="1" si="16"/>
        <v>0</v>
      </c>
      <c r="BO29" s="188" t="str">
        <f t="shared" si="5"/>
        <v/>
      </c>
      <c r="BP29" s="188" t="str">
        <f t="shared" si="6"/>
        <v>1</v>
      </c>
      <c r="BQ29" s="188" t="str">
        <f t="shared" ca="1" si="17"/>
        <v/>
      </c>
      <c r="BR29" s="181" t="str">
        <f ca="1">IF(BQ29="","","1")</f>
        <v/>
      </c>
      <c r="BT29" s="190" t="str">
        <f>IFERROR(IF(INDEX(Program_01!$BZ:$BZ,MATCH($B29,Program_01!$A:$A,0))=DATE(1900,1,0),"",INDEX(Program_01!$BZ:$BZ,MATCH($B29,Program_01!$A:$A,0))),"")</f>
        <v/>
      </c>
      <c r="BU29" s="182" t="str">
        <f t="shared" ca="1" si="22"/>
        <v/>
      </c>
      <c r="BV29" s="188" t="str">
        <f t="shared" si="7"/>
        <v/>
      </c>
      <c r="BW29" s="188" t="str">
        <f t="shared" si="8"/>
        <v>1</v>
      </c>
      <c r="BX29" s="188" t="str">
        <f t="shared" ca="1" si="9"/>
        <v/>
      </c>
      <c r="BY29" s="181" t="str">
        <f ca="1">IF(BX29="","","1")</f>
        <v/>
      </c>
      <c r="CA29" s="192" t="str">
        <f t="shared" si="20"/>
        <v>N</v>
      </c>
      <c r="CB29" s="192" t="str">
        <f t="shared" si="21"/>
        <v>N</v>
      </c>
      <c r="CC29" s="193">
        <f>IFERROR(INDEX(Program_01!$CE:$CE,MATCH($B29,Program_01!$A:$A,0)),"")</f>
        <v>0</v>
      </c>
      <c r="CD29" s="193">
        <f t="shared" si="10"/>
        <v>45316</v>
      </c>
      <c r="CG29" s="194" t="str">
        <f>IFERROR(INDEX(Program_01!$AT:$AT,MATCH($B29,Program_01!$A:$A,0)),"")</f>
        <v>N/A</v>
      </c>
      <c r="CH29" s="194">
        <f>IFERROR(INDEX(Program_01!$AX:$AX,MATCH($B29,Program_01!$A:$A,0)),"")</f>
        <v>0</v>
      </c>
    </row>
    <row r="30" spans="1:87" s="187" customFormat="1" ht="327" customHeight="1">
      <c r="A30" s="174" t="s">
        <v>1</v>
      </c>
      <c r="B30" s="175">
        <v>12</v>
      </c>
      <c r="C30" s="176" t="str">
        <f>IFERROR(INDEX(Program_01!$B:$B,MATCH($B30,Program_01!$A:$A,0)),"")</f>
        <v>COST EAR</v>
      </c>
      <c r="D30" s="176" t="str">
        <f>IFERROR(INDEX(Program_01!$D:$D,MATCH($B30,Program_01!$A:$A,0)),"")</f>
        <v>1TB01003C03</v>
      </c>
      <c r="E30" s="176" t="str">
        <f>IFERROR(INDEX(Program_01!$E:$E,MATCH($B30,Program_01!$A:$A,0)),"")</f>
        <v>1.TB.01.003.01</v>
      </c>
      <c r="F30" s="176" t="str">
        <f>IFERROR(INDEX(Program_01!$F:$F,MATCH($B30,Program_01!$A:$A,0)),"")</f>
        <v xml:space="preserve">AMAALA Yacht Club </v>
      </c>
      <c r="G30" s="176" t="str">
        <f>IFERROR(INDEX(Program_01!$G:$G,MATCH($B30,Program_01!$A:$A,0)),"")</f>
        <v>Construction Contract - Site Enabling, Civil Works, Structural Concrete, Structural Steel, BOH Finishes, Building Envelope, MEP Including Tertiary Infrastructure &amp; ICT/ELV</v>
      </c>
      <c r="H30" s="176" t="str">
        <f>IFERROR(INDEX(Program_01!$H:$H,MATCH($B30,Program_01!$A:$A,0)),"")</f>
        <v>Saudi Arabian Baytur Construction Company</v>
      </c>
      <c r="I30" s="176" t="str">
        <f t="shared" si="11"/>
        <v>Other Claims</v>
      </c>
      <c r="J30" s="176">
        <f>IFERROR(INDEX(Program_01!$I:$I,MATCH($B30,Program_01!$A:$A,0)),"")</f>
        <v>0</v>
      </c>
      <c r="K30" s="176">
        <f>IFERROR(INDEX(Program_01!$J:$J,MATCH($B30,Program_01!$A:$A,0)),"")</f>
        <v>0</v>
      </c>
      <c r="L30" s="176">
        <f>IFERROR(INDEX(Program_01!$K:$K,MATCH($B30,Program_01!$A:$A,0)),"")</f>
        <v>0</v>
      </c>
      <c r="M30" s="176">
        <f>IFERROR(INDEX(Program_01!$L:$L,MATCH($B30,Program_01!$A:$A,0)),"")</f>
        <v>0</v>
      </c>
      <c r="N30" s="176">
        <f>IFERROR(INDEX(Program_01!$L:$L,MATCH($B30,Program_01!$A:$A,0)),"")</f>
        <v>0</v>
      </c>
      <c r="O30" s="176">
        <f>IFERROR(INDEX(Program_01!$N:$N,MATCH($B30,Program_01!$A:$A,0)),"")</f>
        <v>1</v>
      </c>
      <c r="P30" s="178"/>
      <c r="Q30" s="179" t="str">
        <f>IFERROR(INDEX(Program_01!$C:$C,MATCH($B30,Program_01!$A:$A,0)),"")</f>
        <v>Employer's Instructions - Rate of Progress, Notice of Dispute Sub-Clause 20.2.1</v>
      </c>
      <c r="R30" s="176" t="str">
        <f>IFERROR(INDEX(Program_01!$V:$V,MATCH($B30,Program_01!$A:$A,0)),"")</f>
        <v>1TB01003-003C03-SAB-LTR-0068 (Notice of Dispute Letter)</v>
      </c>
      <c r="S30" s="180">
        <f>IFERROR(INDEX(Program_01!$W:$W,MATCH($B30,Program_01!$A:$A,0)),"")</f>
        <v>45330</v>
      </c>
      <c r="T30" s="178"/>
      <c r="U30" s="176" t="str">
        <f>IFERROR(INDEX(Program_01!$Z:$Z,MATCH($B30,Program_01!$A:$A,0)),"")</f>
        <v>1TB01003-003C03-AMA-LTR-0134</v>
      </c>
      <c r="V30" s="181">
        <f>IFERROR(INDEX(Program_01!$AA:$AA,MATCH($B30,Program_01!$A:$A,0)),"")</f>
        <v>45350</v>
      </c>
      <c r="W30" s="182">
        <f t="shared" ca="1" si="0"/>
        <v>20</v>
      </c>
      <c r="X30" s="51"/>
      <c r="Y30" s="179" t="str">
        <f>IFERROR(INDEX(Program_01!$BD:$BD,MATCH($B30,Program_01!$A:$A,0)),"")</f>
        <v>Dispute meeting had on 29 Feb 24
1TB01003-003C03-SAB-LTR-0076 dated 29 Feb 24
1TB01003-003C03-SAB-LTR-0079 dated 02 Mar 24
1TB01003-003C03-AMA-LTR-0144 dated 24 Mar 24
25 Mar 24: Amaala responded under 1TB01003-003C03-AMA-LTR-0145.
27 Mar 24: Conrtactor responded under 1TB01003-003C03-SAB-LTR-0084.
01 May 24: Amaala responded under 1TB01003-003C03-AMA-LTR-0154.
04 May 24: Conrtactor responded under 1TB01003-003C03-SAB-LTR-0088.
1TB01003-003C03-AMA-LTR-0168 Issued on 20 May 24 clarifying the Contractor the dispute mechanisms and that the Employer does not consider this matter to be a dispute at this stage</v>
      </c>
      <c r="Z30" s="51"/>
      <c r="AA30" s="183" t="str">
        <f>IFERROR(IF((INDEX(Program_01!$AD:$AD,MATCH($B30,Program_01!$A:$A,0))=""),INDEX(Program_01!$V:$V,MATCH($B30,Program_01!$A:$A,0)),INDEX(Program_01!$AD:$AD,MATCH($B30,Program_01!$A:$A,0))),"")</f>
        <v>1TB01003-003C03-SAB-LTR-0076</v>
      </c>
      <c r="AB30" s="147">
        <f>IFERROR(IF((INDEX(Program_01!$AE:$AE,MATCH($B30,Program_01!$A:$A,0))=""),INDEX(Program_01!$W:$W,MATCH($B30,Program_01!$A:$A,0)),INDEX(Program_01!$AE:$AE,MATCH($B30,Program_01!$A:$A,0))),"")</f>
        <v>45351</v>
      </c>
      <c r="AC30" s="183">
        <f>IFERROR(IF($I30="EOT",INDEX(Program_01!$AN:$AN,MATCH($B30,Program_01!$A:$A,0)),INDEX(Program_01!$AY:$AY,MATCH($B30,Program_01!$A:$A,0))),"")</f>
        <v>0</v>
      </c>
      <c r="AD30" s="181">
        <f>IFERROR(IF($I30="EOT",INDEX(Program_01!$AO:$AO,MATCH($B30,Program_01!$A:$A,0)),INDEX(Program_01!$AZ:$AZ,MATCH($B30,Program_01!$A:$A,0))),"")</f>
        <v>0</v>
      </c>
      <c r="AE30" s="51"/>
      <c r="AF30" s="183"/>
      <c r="AG30" s="181"/>
      <c r="AH30" s="183">
        <f>IF(OR($D30="",$AS30="VO Issued",$AS30="Open"),"",IF(OR($AC30="Rejected",$AC30="Superseded",$AC30="Dealt Separately"),$AC30,IF($I30="EOT",INDEX(Program_01!$AR:$AR,MATCH($B30,Program_01!$A:$A,0)),INDEX(Program_01!$BB:$BB,MATCH($B30,Program_01!$A:$A,0)))))</f>
        <v>0</v>
      </c>
      <c r="AI30" s="181">
        <f>IF(OR($A30="",$B30="",$I30="",$AS30="VO Issued",$AS30="Open"),"",IF(OR($AD30="N/A"),$AD30,IF($I30="EOT",INDEX(Program_01!$AS:$AS,MATCH($B30,Program_01!$A:$A,0)),INDEX(Program_01!$BC:$BC,MATCH($B30,Program_01!$A:$A,0)))))</f>
        <v>0</v>
      </c>
      <c r="AJ30" s="183">
        <f>IF(OR($D30="",$I30="",$AS30="Determination Issued",$AS30="Rejected",$AS30="Open"),"",IF(OR($AH30="Rejected",$AH30="Dealt Separately",$AH30="Superseded",$AH30="Withdrawn"),"N/A",IF($I30="EOT",INDEX(Program_01!AR:AR,MATCH($B30,Program_01!A:A,0)),INDEX(Program_01!BB:BB,MATCH($B30,Program_01!A:A,0)))))</f>
        <v>0</v>
      </c>
      <c r="AK30" s="181">
        <f>IF(OR($A30="",$B30="",$I30="",$AS30="Determination Issued",$AS30="Rejected",$AS30="Open"),"",IF($AJ30="N/A","N/A",IF($I30="EOT",INDEX(Program_01!AS:AS,MATCH($B30,Program_01!A:A,0)),INDEX(Program_01!BC:BC,MATCH($B30,Program_01!A:A,0)))))</f>
        <v>0</v>
      </c>
      <c r="AL30" s="51"/>
      <c r="AM30" s="184">
        <f>IFERROR(INDEX(Program_01!$BT:$BT,MATCH($B30,Program_01!$A:$A,0)),"")</f>
        <v>0</v>
      </c>
      <c r="AN30" s="184">
        <f>IFERROR(INDEX(Program_01!$BU:$BU,MATCH($B30,Program_01!$A:$A,0)),"")</f>
        <v>0</v>
      </c>
      <c r="AO30" s="184" t="str">
        <f>IFERROR(INDEX(Program_01!$BV:$BV,MATCH($B30,Program_01!$A:$A,0)),"")</f>
        <v>Yes</v>
      </c>
      <c r="AP30" s="51" t="str">
        <f t="shared" si="12"/>
        <v>1</v>
      </c>
      <c r="AQ30" s="184">
        <f>IFERROR(INDEX(Program_01!$BN:$BN,MATCH($B30,Program_01!$A:$A,0)),"")</f>
        <v>0</v>
      </c>
      <c r="AR30" s="184" t="str">
        <f>IFERROR(INDEX(Program_01!$BO:$BO,MATCH($B30,Program_01!$A:$A,0)),"")</f>
        <v>Not Applicable</v>
      </c>
      <c r="AS30" s="184" t="str">
        <f>IFERROR(INDEX(Program_01!$BP:$BP,MATCH($B30,Program_01!$A:$A,0)),"")</f>
        <v>Dealt Separately</v>
      </c>
      <c r="AT30" s="185" t="str">
        <f>IFERROR(INDEX(Program_01!$BQ:$BQ,MATCH($B30,Program_01!$A:$A,0)),"")</f>
        <v>Closed</v>
      </c>
      <c r="AU30" s="179" t="str">
        <f>IFERROR(INDEX(Program_01!$BR:$BR,MATCH($B30,Program_01!$A:$A,0)),"")</f>
        <v>The Contractor submitted several Notice of Claim and the Notice of Dispute via Aconex ref. 1TB01003-003C03-SAB-LTR-0068 dated 08 February 2024. Amaala is in the process of responding to the dispute letter. 
26 Feb 24: Response letter in WF. Commercial to chase once issued, follow up email to be sent to the contractor to arrange a meeting.
28 Feb 24: Amaala issued a letter for a meeting to discuss and resolve the disputes and the contractor responded on 29 Feb 24 showing their dissagreement to our letter.
10 Mar 24: Amaala is in the process of responding to the contactor's comments. by 12 Mar 24
25 Mar 24: Amaala responded to the Contractor's comments on the meeting under 1TB01003-003C03-AMA-LTR-0144 on 24 March 24.
22 Apr 24: commercial to continue issuing delay notices to the contractor
06 May 24: response letter under preperation on the contractor's recent response
20 May 24: AMAALA responsed to the contractor's letter clarifying the Contractor, the dispute mechanisms and that the Employer does not consider this matter to be a dispute at this stage
03 Jun 24: this matter is considered closed under the letter 1TB01003-003C03-AMA-LTR-0168.</v>
      </c>
      <c r="AV30" s="186" t="str">
        <f t="shared" si="1"/>
        <v/>
      </c>
      <c r="AW30" s="186" t="str">
        <f t="shared" si="13"/>
        <v>CLOSED</v>
      </c>
      <c r="AX30" s="186" t="str">
        <f t="shared" si="2"/>
        <v>CLOSED</v>
      </c>
      <c r="AY30" s="181">
        <f t="shared" si="14"/>
        <v>45351</v>
      </c>
      <c r="AZ30" s="181" t="str">
        <f>IF($AD30=0,"",AD30)</f>
        <v/>
      </c>
      <c r="BA30" s="181">
        <f t="shared" si="4"/>
        <v>0</v>
      </c>
      <c r="BC30" s="181">
        <f>IFERROR(INDEX(Program_01!BF:BF,MATCH($B30,Program_01!$A:$A,0)),"")</f>
        <v>45351</v>
      </c>
      <c r="BD30" s="188" t="str">
        <f ca="1">IFERROR(INDEX(Program_01!BG:BG,MATCH($B30,Program_01!$A:$A,0)),"")</f>
        <v>N/A</v>
      </c>
      <c r="BE30" s="181">
        <f>IFERROR(INDEX(Program_01!BH:BH,MATCH($B30,Program_01!$A:$A,0)),"")</f>
        <v>0</v>
      </c>
      <c r="BF30" s="189" t="str">
        <f ca="1">IFERROR(INDEX(Program_01!BI:BI,MATCH($B30,Program_01!$A:$A,0)),"")</f>
        <v>N/A</v>
      </c>
      <c r="BG30" s="181">
        <f>IFERROR(INDEX(Program_01!BJ:BJ,MATCH($B30,Program_01!$A:$A,0)),"")</f>
        <v>0</v>
      </c>
      <c r="BH30" s="189">
        <f ca="1">IFERROR(INDEX(Program_01!BK:BK,MATCH($B30,Program_01!$A:$A,0)),"")</f>
        <v>0</v>
      </c>
      <c r="BI30" s="181">
        <f>IFERROR(INDEX(Program_01!BL:BL,MATCH($B30,Program_01!$A:$A,0)),"")</f>
        <v>0</v>
      </c>
      <c r="BK30" s="190">
        <f>IFERROR(IF(INDEX(Program_01!$BX:$BX,MATCH($B30,Program_01!$A:$A,0))=DATE(1900,1,0),"",INDEX(Program_01!$BX:$BX,MATCH($B30,Program_01!$A:$A,0))),"")</f>
        <v>45446</v>
      </c>
      <c r="BL30" s="190" t="str">
        <f>IFERROR(IF(INDEX(Program_01!$BY:$BY,MATCH($B30,Program_01!$A:$A,0))=DATE(1900,1,0),"",INDEX(Program_01!$BY:$BY,MATCH($B30,Program_01!$A:$A,0))),"")</f>
        <v/>
      </c>
      <c r="BM30" s="188" t="str">
        <f t="shared" ca="1" si="15"/>
        <v/>
      </c>
      <c r="BN30" s="191">
        <f t="shared" ca="1" si="16"/>
        <v>0</v>
      </c>
      <c r="BO30" s="188" t="str">
        <f t="shared" si="5"/>
        <v/>
      </c>
      <c r="BP30" s="188" t="str">
        <f t="shared" si="6"/>
        <v>1</v>
      </c>
      <c r="BQ30" s="188" t="str">
        <f t="shared" ca="1" si="17"/>
        <v/>
      </c>
      <c r="BR30" s="181" t="str">
        <f ca="1">IF(BQ30="","","1")</f>
        <v/>
      </c>
      <c r="BT30" s="190" t="str">
        <f>IFERROR(IF(INDEX(Program_01!$BZ:$BZ,MATCH($B30,Program_01!$A:$A,0))=DATE(1900,1,0),"",INDEX(Program_01!$BZ:$BZ,MATCH($B30,Program_01!$A:$A,0))),"")</f>
        <v/>
      </c>
      <c r="BU30" s="182" t="str">
        <f t="shared" ca="1" si="22"/>
        <v/>
      </c>
      <c r="BV30" s="188" t="str">
        <f t="shared" si="7"/>
        <v/>
      </c>
      <c r="BW30" s="188" t="str">
        <f t="shared" si="8"/>
        <v>1</v>
      </c>
      <c r="BX30" s="188" t="str">
        <f t="shared" ca="1" si="9"/>
        <v/>
      </c>
      <c r="BY30" s="181" t="str">
        <f ca="1">IF(BX30="","","1")</f>
        <v/>
      </c>
      <c r="CA30" s="192" t="str">
        <f t="shared" si="20"/>
        <v>N</v>
      </c>
      <c r="CB30" s="192" t="str">
        <f t="shared" si="21"/>
        <v>N</v>
      </c>
      <c r="CC30" s="193">
        <f>IFERROR(INDEX(Program_01!$CE:$CE,MATCH($B30,Program_01!$A:$A,0)),"")</f>
        <v>45348</v>
      </c>
      <c r="CD30" s="193">
        <f t="shared" si="10"/>
        <v>45348</v>
      </c>
      <c r="CG30" s="194" t="str">
        <f>IFERROR(INDEX(Program_01!$AT:$AT,MATCH($B30,Program_01!$A:$A,0)),"")</f>
        <v>N/A</v>
      </c>
      <c r="CH30" s="194">
        <f>IFERROR(INDEX(Program_01!$AX:$AX,MATCH($B30,Program_01!$A:$A,0)),"")</f>
        <v>0</v>
      </c>
    </row>
    <row r="31" spans="1:87" s="187" customFormat="1" ht="409.6">
      <c r="A31" s="174" t="s">
        <v>1</v>
      </c>
      <c r="B31" s="175">
        <v>13</v>
      </c>
      <c r="C31" s="176" t="str">
        <f>IFERROR(INDEX(Program_01!$B:$B,MATCH($B31,Program_01!$A:$A,0)),"")</f>
        <v>FULL TIA EAR</v>
      </c>
      <c r="D31" s="176" t="str">
        <f>IFERROR(INDEX(Program_01!$D:$D,MATCH($B31,Program_01!$A:$A,0)),"")</f>
        <v>1TB01005C17</v>
      </c>
      <c r="E31" s="176" t="str">
        <f>IFERROR(INDEX(Program_01!$E:$E,MATCH($B31,Program_01!$A:$A,0)),"")</f>
        <v>1.TB.01.005.01</v>
      </c>
      <c r="F31" s="176" t="str">
        <f>IFERROR(INDEX(Program_01!$F:$F,MATCH($B31,Program_01!$A:$A,0)),"")</f>
        <v>Red Sea Marine Life Institute</v>
      </c>
      <c r="G31" s="176" t="str">
        <f>IFERROR(INDEX(Program_01!$G:$G,MATCH($B31,Program_01!$A:$A,0)),"")</f>
        <v>Marine Life Operation Facility for Marina Village</v>
      </c>
      <c r="H31" s="176" t="str">
        <f>IFERROR(INDEX(Program_01!$H:$H,MATCH($B31,Program_01!$A:$A,0)),"")</f>
        <v>Hassan Hamdi Al Harbi Contracting Est. (HASCO)</v>
      </c>
      <c r="I31" s="176" t="str">
        <f t="shared" si="11"/>
        <v>EOT</v>
      </c>
      <c r="J31" s="176">
        <f>IFERROR(INDEX(Program_01!$I:$I,MATCH($B31,Program_01!$A:$A,0)),"")</f>
        <v>1</v>
      </c>
      <c r="K31" s="176">
        <f>IFERROR(INDEX(Program_01!$J:$J,MATCH($B31,Program_01!$A:$A,0)),"")</f>
        <v>0</v>
      </c>
      <c r="L31" s="176">
        <f>IFERROR(INDEX(Program_01!$K:$K,MATCH($B31,Program_01!$A:$A,0)),"")</f>
        <v>0</v>
      </c>
      <c r="M31" s="176">
        <f>IFERROR(INDEX(Program_01!$L:$L,MATCH($B31,Program_01!$A:$A,0)),"")</f>
        <v>0</v>
      </c>
      <c r="N31" s="176">
        <f>IFERROR(INDEX(Program_01!$L:$L,MATCH($B31,Program_01!$A:$A,0)),"")</f>
        <v>0</v>
      </c>
      <c r="O31" s="176">
        <f>IFERROR(INDEX(Program_01!$N:$N,MATCH($B31,Program_01!$A:$A,0)),"")</f>
        <v>0</v>
      </c>
      <c r="P31" s="178"/>
      <c r="Q31" s="179" t="str">
        <f>IFERROR(INDEX(Program_01!$C:$C,MATCH($B31,Program_01!$A:$A,0)),"")</f>
        <v>Settlement of Payment for Additional Cost and Time for Relocation of Jetty
EOT 1</v>
      </c>
      <c r="R31" s="176" t="str">
        <f>IFERROR(INDEX(Program_01!$V:$V,MATCH($B31,Program_01!$A:$A,0)),"")</f>
        <v>1TB01005-005C17-HAH-LTR-0040</v>
      </c>
      <c r="S31" s="180">
        <f>IFERROR(INDEX(Program_01!$W:$W,MATCH($B31,Program_01!$A:$A,0)),"")</f>
        <v>45326</v>
      </c>
      <c r="T31" s="178"/>
      <c r="U31" s="176" t="str">
        <f>IFERROR(INDEX(Program_01!$Z:$Z,MATCH($B31,Program_01!$A:$A,0)),"")</f>
        <v>1TB01005-005C17-AMA-LTR-0041</v>
      </c>
      <c r="V31" s="181">
        <f>IFERROR(INDEX(Program_01!$AA:$AA,MATCH($B31,Program_01!$A:$A,0)),"")</f>
        <v>45364</v>
      </c>
      <c r="W31" s="182">
        <f t="shared" ca="1" si="0"/>
        <v>38</v>
      </c>
      <c r="X31" s="51"/>
      <c r="Y31" s="179" t="str">
        <f>IFERROR(INDEX(Program_01!$BD:$BD,MATCH($B31,Program_01!$A:$A,0)),"")</f>
        <v>1TB01005-005C17-HAH-LTR-0040 dated 04 Feb 2024
1TB01005-005C17-AMA-LTR-0041 dated 13 Mar 2024
1TB01005-005C17-HAH-LTR-0044 dated 16 March 2024 (requesting for 4 days time)
HAH01005-GENCORR-000059 dated 20 March 2024 (requesting more time)
1TB01005-005C17-HAH-LTR-0046 dated 01 May 2024 (revised detailed submission)
1TB01005-005C17-AMA-LTR-0042 dated 24 Jun 24
AMA01005-GENCORR-001996 dated 04 Oct 24</v>
      </c>
      <c r="Z31" s="51"/>
      <c r="AA31" s="183" t="str">
        <f>IFERROR(IF((INDEX(Program_01!$AD:$AD,MATCH($B31,Program_01!$A:$A,0))=""),INDEX(Program_01!$V:$V,MATCH($B31,Program_01!$A:$A,0)),INDEX(Program_01!$AD:$AD,MATCH($B31,Program_01!$A:$A,0))),"")</f>
        <v>1TB01005-005C17-HAH-LTR-0046 dated 1 May 24
HAH01005-GENCORR-000067 on 18 Sep 24
Letter issued  to contractor about employer's decision to proceed with the assessment in the absence of a revised claim
(1TB01005-005C17-AMA-LTR-0044) (issued on 28 Jul 25)
HAH01005-GENCORR-000067</v>
      </c>
      <c r="AB31" s="147">
        <f>IFERROR(IF((INDEX(Program_01!$AE:$AE,MATCH($B31,Program_01!$A:$A,0))=""),INDEX(Program_01!$W:$W,MATCH($B31,Program_01!$A:$A,0)),INDEX(Program_01!$AE:$AE,MATCH($B31,Program_01!$A:$A,0))),"")</f>
        <v>45918</v>
      </c>
      <c r="AC31" s="183" t="str">
        <f>IFERROR(IF($I31="EOT",INDEX(Program_01!$AN:$AN,MATCH($B31,Program_01!$A:$A,0)),INDEX(Program_01!$AY:$AY,MATCH($B31,Program_01!$A:$A,0))),"")</f>
        <v>1TB01005-005C17-AMA-LTR-0046</v>
      </c>
      <c r="AD31" s="181">
        <f>IFERROR(IF($I31="EOT",INDEX(Program_01!$AO:$AO,MATCH($B31,Program_01!$A:$A,0)),INDEX(Program_01!$AZ:$AZ,MATCH($B31,Program_01!$A:$A,0))),"")</f>
        <v>45959</v>
      </c>
      <c r="AE31" s="51"/>
      <c r="AF31" s="183"/>
      <c r="AG31" s="181"/>
      <c r="AH31" s="183">
        <f>IF(OR($D31="",$AS31="VO Issued",$AS31="Open"),"",IF(OR($AC31="Rejected",$AC31="Superseded",$AC31="Dealt Separately"),$AC31,IF($I31="EOT",INDEX(Program_01!$AR:$AR,MATCH($B31,Program_01!$A:$A,0)),INDEX(Program_01!$BB:$BB,MATCH($B31,Program_01!$A:$A,0)))))</f>
        <v>0</v>
      </c>
      <c r="AI31" s="181">
        <f>IF(OR($A31="",$B31="",$I31="",$AS31="VO Issued",$AS31="Open"),"",IF(OR($AD31="N/A"),$AD31,IF($I31="EOT",INDEX(Program_01!$AS:$AS,MATCH($B31,Program_01!$A:$A,0)),INDEX(Program_01!$BC:$BC,MATCH($B31,Program_01!$A:$A,0)))))</f>
        <v>0</v>
      </c>
      <c r="AJ31" s="183">
        <f>IF(OR($D31="",$I31="",$AS31="Determination Issued",$AS31="Rejected",$AS31="Open"),"",IF(OR($AH31="Rejected",$AH31="Dealt Separately",$AH31="Superseded",$AH31="Withdrawn"),"N/A",IF($I31="EOT",INDEX(Program_01!AR:AR,MATCH($B31,Program_01!A:A,0)),INDEX(Program_01!BB:BB,MATCH($B31,Program_01!A:A,0)))))</f>
        <v>0</v>
      </c>
      <c r="AK31" s="181">
        <f>IF(OR($A31="",$B31="",$I31="",$AS31="Determination Issued",$AS31="Rejected",$AS31="Open"),"",IF($AJ31="N/A","N/A",IF($I31="EOT",INDEX(Program_01!AS:AS,MATCH($B31,Program_01!A:A,0)),INDEX(Program_01!BC:BC,MATCH($B31,Program_01!A:A,0)))))</f>
        <v>0</v>
      </c>
      <c r="AL31" s="51"/>
      <c r="AM31" s="184">
        <f>IFERROR(INDEX(Program_01!$BT:$BT,MATCH($B31,Program_01!$A:$A,0)),"")</f>
        <v>0</v>
      </c>
      <c r="AN31" s="184">
        <f>IFERROR(INDEX(Program_01!$BU:$BU,MATCH($B31,Program_01!$A:$A,0)),"")</f>
        <v>0</v>
      </c>
      <c r="AO31" s="184">
        <f>IFERROR(INDEX(Program_01!$BV:$BV,MATCH($B31,Program_01!$A:$A,0)),"")</f>
        <v>0</v>
      </c>
      <c r="AP31" s="51" t="str">
        <f t="shared" si="12"/>
        <v/>
      </c>
      <c r="AQ31" s="184">
        <f>IFERROR(INDEX(Program_01!$BN:$BN,MATCH($B31,Program_01!$A:$A,0)),"")</f>
        <v>0</v>
      </c>
      <c r="AR31" s="184" t="str">
        <f>IFERROR(INDEX(Program_01!$BO:$BO,MATCH($B31,Program_01!$A:$A,0)),"")</f>
        <v>Assessment Report Issued</v>
      </c>
      <c r="AS31" s="184" t="str">
        <f>IFERROR(INDEX(Program_01!$BP:$BP,MATCH($B31,Program_01!$A:$A,0)),"")</f>
        <v>DVO Issued</v>
      </c>
      <c r="AT31" s="185" t="str">
        <f>IFERROR(INDEX(Program_01!$BQ:$BQ,MATCH($B31,Program_01!$A:$A,0)),"")</f>
        <v>Closed</v>
      </c>
      <c r="AU31" s="179" t="str">
        <f>IFERROR(INDEX(Program_01!$BR:$BR,MATCH($B31,Program_01!$A:$A,0)),"")</f>
        <v xml:space="preserve">30 June 25: Commercial to issue report to planning by 3rd July.
14 Jul 25: Report delayed but will be issued by the Site team on 17 Jul at the very latest.
21 Jul 25: Draft report sent to claims team for review, commercial has been advised that we write to them that we are proceeding with the assessment with the available data in the absence of a revised claim from the contrator
27 July 2025 Ditto. Targeted to revert by 5 Aug 2025
12 Aug 25: targeted to revert by 14 Aug 25
18 Aug 25: Draft report sent back to commercial with comments, after finalisation, commercial to submit the draft with planning to commence TIA || Draft report sent to Planing to conduct TIA
23 Aug 25: Sent for planning assessment 20 Aug 25, targetd to finalise by 26 Aug 25
26 Aug 25: TIA incorporated - TOC in Aconex rejected rejected and therefore should be amended to reflect the recommended 70-day EOT, as no VO has been referenced to support the extension to 13 Oct 2023
27 Aug 25: Planning provided the xer file to support the concurrency
06 Sept 25: TIA incorporated, Draft EAR sent to claims for approval
08 Sep 25: under reviewwith claims
27 Sep 25: Draft EAR sent back to commercial with comments &amp; amendments for commercial to address.
28 Sep 25: Final Draft sent to claims for review &amp; approval // Draft sent to KM on 30 Sep 25
06 Oct 25: Ditto - Nb FA number has now been agreed with Contractor and paperwork for this is progressing
06 Oct 25: Final Draft EAR approved and sent back to commercial to initiate WF
07 Oct 25: EAR put in WF-035199
17 Oct 25: EAR approval with planning for approval since 08 October
20 Oct 25: EAR approved, commercial to prepare the cover letter and initiate the WF for issuance
29 Oct 25: EAR issued to contractor via 1TB01005-005C17-AMA-LTR-0046
03 Nov 25: awaiting response from contractor
14 Nov 25: Contractor has accepted EAR (1TB01005-005C17-HAH-LTR-0048) 
17 Nov 25: Commercial to issue EI, targeted to issue by 20 Nov 25
28 Nov 25: VO/DVO confirms the EoT award - HAH01005-GENCORR-000069 </v>
      </c>
      <c r="AV31" s="186" t="str">
        <f t="shared" si="1"/>
        <v/>
      </c>
      <c r="AW31" s="186" t="str">
        <f t="shared" si="13"/>
        <v>CLOSED</v>
      </c>
      <c r="AX31" s="186" t="str">
        <f t="shared" si="2"/>
        <v>CLOSED</v>
      </c>
      <c r="AY31" s="181">
        <f t="shared" si="14"/>
        <v>45918</v>
      </c>
      <c r="AZ31" s="181">
        <f>IF($AD31=0,"",AD31)</f>
        <v>45959</v>
      </c>
      <c r="BA31" s="181">
        <f t="shared" si="4"/>
        <v>0</v>
      </c>
      <c r="BC31" s="181">
        <f>IFERROR(INDEX(Program_01!BF:BF,MATCH($B31,Program_01!$A:$A,0)),"")</f>
        <v>45918</v>
      </c>
      <c r="BD31" s="188" t="str">
        <f ca="1">IFERROR(INDEX(Program_01!BG:BG,MATCH($B31,Program_01!$A:$A,0)),"")</f>
        <v>N/A</v>
      </c>
      <c r="BE31" s="181">
        <f>IFERROR(INDEX(Program_01!BH:BH,MATCH($B31,Program_01!$A:$A,0)),"")</f>
        <v>0</v>
      </c>
      <c r="BF31" s="189">
        <f ca="1">IFERROR(INDEX(Program_01!BI:BI,MATCH($B31,Program_01!$A:$A,0)),"")</f>
        <v>0</v>
      </c>
      <c r="BG31" s="181">
        <f>IFERROR(INDEX(Program_01!BJ:BJ,MATCH($B31,Program_01!$A:$A,0)),"")</f>
        <v>0</v>
      </c>
      <c r="BH31" s="189">
        <f ca="1">IFERROR(INDEX(Program_01!BK:BK,MATCH($B31,Program_01!$A:$A,0)),"")</f>
        <v>0</v>
      </c>
      <c r="BI31" s="181">
        <f>IFERROR(INDEX(Program_01!BL:BL,MATCH($B31,Program_01!$A:$A,0)),"")</f>
        <v>0</v>
      </c>
      <c r="BK31" s="190">
        <f>IFERROR(IF(INDEX(Program_01!$BX:$BX,MATCH($B31,Program_01!$A:$A,0))=DATE(1900,1,0),"",INDEX(Program_01!$BX:$BX,MATCH($B31,Program_01!$A:$A,0))),"")</f>
        <v>45959</v>
      </c>
      <c r="BL31" s="190" t="str">
        <f>IFERROR(IF(INDEX(Program_01!$BY:$BY,MATCH($B31,Program_01!$A:$A,0))=DATE(1900,1,0),"",INDEX(Program_01!$BY:$BY,MATCH($B31,Program_01!$A:$A,0))),"")</f>
        <v/>
      </c>
      <c r="BM31" s="188">
        <f t="shared" ca="1" si="15"/>
        <v>41</v>
      </c>
      <c r="BN31" s="191">
        <f t="shared" ca="1" si="16"/>
        <v>41</v>
      </c>
      <c r="BO31" s="188">
        <f t="shared" ca="1" si="5"/>
        <v>41</v>
      </c>
      <c r="BP31" s="188" t="str">
        <f t="shared" si="6"/>
        <v>1</v>
      </c>
      <c r="BQ31" s="188" t="str">
        <f t="shared" ca="1" si="17"/>
        <v/>
      </c>
      <c r="BR31" s="181" t="str">
        <f ca="1">IF(BQ31="","","1")</f>
        <v/>
      </c>
      <c r="BT31" s="190" t="str">
        <f>IFERROR(IF(INDEX(Program_01!$BZ:$BZ,MATCH($B31,Program_01!$A:$A,0))=DATE(1900,1,0),"",INDEX(Program_01!$BZ:$BZ,MATCH($B31,Program_01!$A:$A,0))),"")</f>
        <v/>
      </c>
      <c r="BU31" s="182" t="str">
        <f t="shared" ca="1" si="22"/>
        <v/>
      </c>
      <c r="BV31" s="188" t="str">
        <f t="shared" si="7"/>
        <v/>
      </c>
      <c r="BW31" s="188" t="str">
        <f t="shared" si="8"/>
        <v>1</v>
      </c>
      <c r="BX31" s="188" t="str">
        <f t="shared" ca="1" si="9"/>
        <v/>
      </c>
      <c r="BY31" s="181" t="str">
        <f ca="1">IF(BX31="","","1")</f>
        <v/>
      </c>
      <c r="CA31" s="192" t="str">
        <f t="shared" si="20"/>
        <v>Y</v>
      </c>
      <c r="CB31" s="192" t="str">
        <f t="shared" si="21"/>
        <v>N</v>
      </c>
      <c r="CC31" s="193">
        <f>IFERROR(INDEX(Program_01!$CE:$CE,MATCH($B31,Program_01!$A:$A,0)),"")</f>
        <v>45362</v>
      </c>
      <c r="CD31" s="193">
        <f t="shared" si="10"/>
        <v>45362</v>
      </c>
      <c r="CG31" s="194">
        <f>IFERROR(INDEX(Program_01!$AT:$AT,MATCH($B31,Program_01!$A:$A,0)),"")</f>
        <v>0</v>
      </c>
      <c r="CH31" s="194">
        <f>IFERROR(INDEX(Program_01!$AX:$AX,MATCH($B31,Program_01!$A:$A,0)),"")</f>
        <v>0</v>
      </c>
    </row>
    <row r="32" spans="1:87" s="187" customFormat="1" ht="306">
      <c r="A32" s="174" t="s">
        <v>1</v>
      </c>
      <c r="B32" s="175">
        <v>14</v>
      </c>
      <c r="C32" s="176" t="str">
        <f>IFERROR(INDEX(Program_01!$B:$B,MATCH($B32,Program_01!$A:$A,0)),"")</f>
        <v>COST EAR</v>
      </c>
      <c r="D32" s="176" t="str">
        <f>IFERROR(INDEX(Program_01!$D:$D,MATCH($B32,Program_01!$A:$A,0)),"")</f>
        <v>1TB01005C17</v>
      </c>
      <c r="E32" s="176" t="str">
        <f>IFERROR(INDEX(Program_01!$E:$E,MATCH($B32,Program_01!$A:$A,0)),"")</f>
        <v>1.TB.01.005.01</v>
      </c>
      <c r="F32" s="176" t="str">
        <f>IFERROR(INDEX(Program_01!$F:$F,MATCH($B32,Program_01!$A:$A,0)),"")</f>
        <v>Red Sea Marine Life Institute</v>
      </c>
      <c r="G32" s="176" t="str">
        <f>IFERROR(INDEX(Program_01!$G:$G,MATCH($B32,Program_01!$A:$A,0)),"")</f>
        <v>Marine Life Operation Facility for Marina Village</v>
      </c>
      <c r="H32" s="176" t="str">
        <f>IFERROR(INDEX(Program_01!$H:$H,MATCH($B32,Program_01!$A:$A,0)),"")</f>
        <v>Hassan Hamdi Al Harbi Contracting Est. (HASCO)</v>
      </c>
      <c r="I32" s="176" t="str">
        <f t="shared" si="11"/>
        <v>Prolongation</v>
      </c>
      <c r="J32" s="176">
        <f>IFERROR(INDEX(Program_01!$I:$I,MATCH($B32,Program_01!$A:$A,0)),"")</f>
        <v>0</v>
      </c>
      <c r="K32" s="176">
        <f>IFERROR(INDEX(Program_01!$J:$J,MATCH($B32,Program_01!$A:$A,0)),"")</f>
        <v>1</v>
      </c>
      <c r="L32" s="176">
        <f>IFERROR(INDEX(Program_01!$K:$K,MATCH($B32,Program_01!$A:$A,0)),"")</f>
        <v>0</v>
      </c>
      <c r="M32" s="176">
        <f>IFERROR(INDEX(Program_01!$L:$L,MATCH($B32,Program_01!$A:$A,0)),"")</f>
        <v>0</v>
      </c>
      <c r="N32" s="176">
        <f>IFERROR(INDEX(Program_01!$L:$L,MATCH($B32,Program_01!$A:$A,0)),"")</f>
        <v>0</v>
      </c>
      <c r="O32" s="176">
        <f>IFERROR(INDEX(Program_01!$N:$N,MATCH($B32,Program_01!$A:$A,0)),"")</f>
        <v>0</v>
      </c>
      <c r="P32" s="178"/>
      <c r="Q32" s="179" t="str">
        <f>IFERROR(INDEX(Program_01!$C:$C,MATCH($B32,Program_01!$A:$A,0)),"")</f>
        <v>Settlement of Payment for Additional Cost and Time for Relocation of Jetty
Prolongation</v>
      </c>
      <c r="R32" s="176" t="str">
        <f>IFERROR(INDEX(Program_01!$V:$V,MATCH($B32,Program_01!$A:$A,0)),"")</f>
        <v>1TB01005-005C17-HAH-LTR-0040</v>
      </c>
      <c r="S32" s="180">
        <f>IFERROR(INDEX(Program_01!$W:$W,MATCH($B32,Program_01!$A:$A,0)),"")</f>
        <v>45326</v>
      </c>
      <c r="T32" s="178"/>
      <c r="U32" s="176" t="str">
        <f>IFERROR(INDEX(Program_01!$Z:$Z,MATCH($B32,Program_01!$A:$A,0)),"")</f>
        <v>1TB01005-005C17-AMA-LTR-0041</v>
      </c>
      <c r="V32" s="181">
        <f>IFERROR(INDEX(Program_01!$AA:$AA,MATCH($B32,Program_01!$A:$A,0)),"")</f>
        <v>45364</v>
      </c>
      <c r="W32" s="182">
        <f t="shared" ca="1" si="0"/>
        <v>38</v>
      </c>
      <c r="X32" s="51"/>
      <c r="Y32" s="179">
        <f>IFERROR(INDEX(Program_01!$BD:$BD,MATCH($B32,Program_01!$A:$A,0)),"")</f>
        <v>0</v>
      </c>
      <c r="Z32" s="51"/>
      <c r="AA32" s="183" t="str">
        <f>IFERROR(IF((INDEX(Program_01!$AD:$AD,MATCH($B32,Program_01!$A:$A,0))=""),INDEX(Program_01!$V:$V,MATCH($B32,Program_01!$A:$A,0)),INDEX(Program_01!$AD:$AD,MATCH($B32,Program_01!$A:$A,0))),"")</f>
        <v>1TB01005-005C17-HAH-LTR-0046 dated 1 May 24
HAH01005-GENCORR-000067</v>
      </c>
      <c r="AB32" s="147">
        <f>IFERROR(IF((INDEX(Program_01!$AE:$AE,MATCH($B32,Program_01!$A:$A,0))=""),INDEX(Program_01!$W:$W,MATCH($B32,Program_01!$A:$A,0)),INDEX(Program_01!$AE:$AE,MATCH($B32,Program_01!$A:$A,0))),"")</f>
        <v>45553</v>
      </c>
      <c r="AC32" s="183" t="str">
        <f>IFERROR(IF($I32="EOT",INDEX(Program_01!$AN:$AN,MATCH($B32,Program_01!$A:$A,0)),INDEX(Program_01!$AY:$AY,MATCH($B32,Program_01!$A:$A,0))),"")</f>
        <v>1TB01005-005C17-AMA-DVO-CM-0002</v>
      </c>
      <c r="AD32" s="181">
        <f>IFERROR(IF($I32="EOT",INDEX(Program_01!$AO:$AO,MATCH($B32,Program_01!$A:$A,0)),INDEX(Program_01!$AZ:$AZ,MATCH($B32,Program_01!$A:$A,0))),"")</f>
        <v>45945</v>
      </c>
      <c r="AE32" s="51"/>
      <c r="AF32" s="183"/>
      <c r="AG32" s="181"/>
      <c r="AH32" s="183">
        <f>IF(OR($D32="",$AS32="VO Issued",$AS32="Open"),"",IF(OR($AC32="Rejected",$AC32="Superseded",$AC32="Dealt Separately"),$AC32,IF($I32="EOT",INDEX(Program_01!$AR:$AR,MATCH($B32,Program_01!$A:$A,0)),INDEX(Program_01!$BB:$BB,MATCH($B32,Program_01!$A:$A,0)))))</f>
        <v>0</v>
      </c>
      <c r="AI32" s="181">
        <f>IF(OR($A32="",$B32="",$I32="",$AS32="VO Issued",$AS32="Open"),"",IF(OR($AD32="N/A"),$AD32,IF($I32="EOT",INDEX(Program_01!$AS:$AS,MATCH($B32,Program_01!$A:$A,0)),INDEX(Program_01!$BC:$BC,MATCH($B32,Program_01!$A:$A,0)))))</f>
        <v>0</v>
      </c>
      <c r="AJ32" s="183">
        <f>IF(OR($D32="",$I32="",$AS32="Determination Issued",$AS32="Rejected",$AS32="Open"),"",IF(OR($AH32="Rejected",$AH32="Dealt Separately",$AH32="Superseded",$AH32="Withdrawn"),"N/A",IF($I32="EOT",INDEX(Program_01!AR:AR,MATCH($B32,Program_01!A:A,0)),INDEX(Program_01!BB:BB,MATCH($B32,Program_01!A:A,0)))))</f>
        <v>0</v>
      </c>
      <c r="AK32" s="181">
        <f>IF(OR($A32="",$B32="",$I32="",$AS32="Determination Issued",$AS32="Rejected",$AS32="Open"),"",IF($AJ32="N/A","N/A",IF($I32="EOT",INDEX(Program_01!AS:AS,MATCH($B32,Program_01!A:A,0)),INDEX(Program_01!BC:BC,MATCH($B32,Program_01!A:A,0)))))</f>
        <v>0</v>
      </c>
      <c r="AL32" s="51"/>
      <c r="AM32" s="184">
        <f>IFERROR(INDEX(Program_01!$BT:$BT,MATCH($B32,Program_01!$A:$A,0)),"")</f>
        <v>0</v>
      </c>
      <c r="AN32" s="184">
        <f>IFERROR(INDEX(Program_01!$BU:$BU,MATCH($B32,Program_01!$A:$A,0)),"")</f>
        <v>0</v>
      </c>
      <c r="AO32" s="184">
        <f>IFERROR(INDEX(Program_01!$BV:$BV,MATCH($B32,Program_01!$A:$A,0)),"")</f>
        <v>0</v>
      </c>
      <c r="AP32" s="51" t="str">
        <f t="shared" si="12"/>
        <v/>
      </c>
      <c r="AQ32" s="184">
        <f>IFERROR(INDEX(Program_01!$BN:$BN,MATCH($B32,Program_01!$A:$A,0)),"")</f>
        <v>0</v>
      </c>
      <c r="AR32" s="184" t="str">
        <f>IFERROR(INDEX(Program_01!$BO:$BO,MATCH($B32,Program_01!$A:$A,0)),"")</f>
        <v>Not Applicable</v>
      </c>
      <c r="AS32" s="184" t="str">
        <f>IFERROR(INDEX(Program_01!$BP:$BP,MATCH($B32,Program_01!$A:$A,0)),"")</f>
        <v>DVO Issued</v>
      </c>
      <c r="AT32" s="185" t="str">
        <f>IFERROR(INDEX(Program_01!$BQ:$BQ,MATCH($B32,Program_01!$A:$A,0)),"")</f>
        <v>Closed</v>
      </c>
      <c r="AU32" s="179" t="str">
        <f>IFERROR(INDEX(Program_01!$BR:$BR,MATCH($B32,Program_01!$A:$A,0)),"")</f>
        <v xml:space="preserve">08 Sep 24: Cost claim awaiting conclusion of EoT
24 Sep 24: Contractor resubmitted the claim on 18 Sep 24. commercial to review. Meeting held with HASCO on 17 Sept 24 and RSG to review costs submitted and provide comments by 28 Sept 24. Further meeting to be arranged to try and conclude.
04 Oct 24: a meeting was arranged with HASCO for October 9, and the outcome will be shared with the Claims team.
17 Nov 24: The meeting with HASCO on 12 November 2024, involving RSMLI Senior Directors, was cancelled by HASCO last minute and remains unscheduled. A revised close-out strategy is required, and the Senior Project Director will only be available for a meeting mid-December. 
04 Dec 24 - Meeting arranged for 17th December to agree  a final account.
11 Jan 25 - same comment as above line item
26 Jan 25: Ditto as above
28 Jan 25: Assessment to be completed; target date 6th Feb
23 Feb 25: Same comment as Item 13
Ditto
19 Apr 25: No further submission from HASCO. Internal assessment and report on-going.
04 May 25: Targeted to finalise the report by end of June 2025.
18 May 25: Ditto
03 Nov 25: comm to update status 
17 Nov 25: DVO in relation to this prolongation cost was issued to DVO (1TB01005-005C17-AMA-DVO-CM-0002 ). hence this line item has been closed </v>
      </c>
      <c r="AV32" s="186" t="str">
        <f t="shared" si="1"/>
        <v/>
      </c>
      <c r="AW32" s="186" t="str">
        <f t="shared" si="13"/>
        <v>CLOSED</v>
      </c>
      <c r="AX32" s="186" t="str">
        <f t="shared" si="2"/>
        <v>CLOSED</v>
      </c>
      <c r="AY32" s="181">
        <f t="shared" si="14"/>
        <v>45553</v>
      </c>
      <c r="AZ32" s="181">
        <f>IF($AD32=0,"",AD32)</f>
        <v>45945</v>
      </c>
      <c r="BA32" s="181">
        <f t="shared" si="4"/>
        <v>0</v>
      </c>
      <c r="BC32" s="181">
        <f>IFERROR(INDEX(Program_01!BF:BF,MATCH($B32,Program_01!$A:$A,0)),"")</f>
        <v>45553</v>
      </c>
      <c r="BD32" s="188" t="str">
        <f ca="1">IFERROR(INDEX(Program_01!BG:BG,MATCH($B32,Program_01!$A:$A,0)),"")</f>
        <v>N/A</v>
      </c>
      <c r="BE32" s="181">
        <f>IFERROR(INDEX(Program_01!BH:BH,MATCH($B32,Program_01!$A:$A,0)),"")</f>
        <v>0</v>
      </c>
      <c r="BF32" s="189" t="str">
        <f ca="1">IFERROR(INDEX(Program_01!BI:BI,MATCH($B32,Program_01!$A:$A,0)),"")</f>
        <v>N/A</v>
      </c>
      <c r="BG32" s="181">
        <f>IFERROR(INDEX(Program_01!BJ:BJ,MATCH($B32,Program_01!$A:$A,0)),"")</f>
        <v>0</v>
      </c>
      <c r="BH32" s="189">
        <f ca="1">IFERROR(INDEX(Program_01!BK:BK,MATCH($B32,Program_01!$A:$A,0)),"")</f>
        <v>0</v>
      </c>
      <c r="BI32" s="181">
        <f>IFERROR(INDEX(Program_01!BL:BL,MATCH($B32,Program_01!$A:$A,0)),"")</f>
        <v>0</v>
      </c>
      <c r="BK32" s="190">
        <f>IFERROR(IF(INDEX(Program_01!$BX:$BX,MATCH($B32,Program_01!$A:$A,0))=DATE(1900,1,0),"",INDEX(Program_01!$BX:$BX,MATCH($B32,Program_01!$A:$A,0))),"")</f>
        <v>45978</v>
      </c>
      <c r="BL32" s="190" t="str">
        <f>IFERROR(IF(INDEX(Program_01!$BY:$BY,MATCH($B32,Program_01!$A:$A,0))=DATE(1900,1,0),"",INDEX(Program_01!$BY:$BY,MATCH($B32,Program_01!$A:$A,0))),"")</f>
        <v/>
      </c>
      <c r="BM32" s="188">
        <f t="shared" ca="1" si="15"/>
        <v>392</v>
      </c>
      <c r="BN32" s="191">
        <f t="shared" ca="1" si="16"/>
        <v>0</v>
      </c>
      <c r="BO32" s="188" t="str">
        <f t="shared" si="5"/>
        <v/>
      </c>
      <c r="BP32" s="188" t="str">
        <f t="shared" si="6"/>
        <v>1</v>
      </c>
      <c r="BQ32" s="188" t="str">
        <f t="shared" ca="1" si="17"/>
        <v/>
      </c>
      <c r="BR32" s="181" t="str">
        <f ca="1">IF(BQ32="","","1")</f>
        <v/>
      </c>
      <c r="BT32" s="190" t="str">
        <f>IFERROR(IF(INDEX(Program_01!$BZ:$BZ,MATCH($B32,Program_01!$A:$A,0))=DATE(1900,1,0),"",INDEX(Program_01!$BZ:$BZ,MATCH($B32,Program_01!$A:$A,0))),"")</f>
        <v/>
      </c>
      <c r="BU32" s="182" t="str">
        <f t="shared" ca="1" si="22"/>
        <v/>
      </c>
      <c r="BV32" s="188" t="str">
        <f t="shared" si="7"/>
        <v/>
      </c>
      <c r="BW32" s="188" t="str">
        <f t="shared" si="8"/>
        <v>1</v>
      </c>
      <c r="BX32" s="188" t="str">
        <f t="shared" ca="1" si="9"/>
        <v/>
      </c>
      <c r="BY32" s="181" t="str">
        <f ca="1">IF(BX32="","","1")</f>
        <v/>
      </c>
      <c r="CA32" s="192" t="str">
        <f t="shared" si="20"/>
        <v>N</v>
      </c>
      <c r="CB32" s="192" t="str">
        <f t="shared" si="21"/>
        <v>N</v>
      </c>
      <c r="CC32" s="193">
        <f>IFERROR(INDEX(Program_01!$CE:$CE,MATCH($B32,Program_01!$A:$A,0)),"")</f>
        <v>45362</v>
      </c>
      <c r="CD32" s="193">
        <f t="shared" si="10"/>
        <v>45362</v>
      </c>
      <c r="CG32" s="194">
        <f>IFERROR(INDEX(Program_01!$AT:$AT,MATCH($B32,Program_01!$A:$A,0)),"")</f>
        <v>1160000</v>
      </c>
      <c r="CH32" s="194">
        <f>IFERROR(INDEX(Program_01!$AX:$AX,MATCH($B32,Program_01!$A:$A,0)),"")</f>
        <v>100000</v>
      </c>
      <c r="CI32" s="187" t="s">
        <v>221</v>
      </c>
    </row>
    <row r="33" spans="1:87" s="187" customFormat="1" ht="409.6">
      <c r="A33" s="174" t="s">
        <v>1</v>
      </c>
      <c r="B33" s="175">
        <v>15</v>
      </c>
      <c r="C33" s="176" t="str">
        <f>IFERROR(INDEX(Program_01!$B:$B,MATCH($B33,Program_01!$A:$A,0)),"")</f>
        <v>COST EAR</v>
      </c>
      <c r="D33" s="176" t="str">
        <f>IFERROR(INDEX(Program_01!$D:$D,MATCH($B33,Program_01!$A:$A,0)),"")</f>
        <v>1TB01005C17</v>
      </c>
      <c r="E33" s="176" t="str">
        <f>IFERROR(INDEX(Program_01!$E:$E,MATCH($B33,Program_01!$A:$A,0)),"")</f>
        <v>1.TB.01.005.01</v>
      </c>
      <c r="F33" s="176" t="str">
        <f>IFERROR(INDEX(Program_01!$F:$F,MATCH($B33,Program_01!$A:$A,0)),"")</f>
        <v>Red Sea Marine Life Institute</v>
      </c>
      <c r="G33" s="176" t="str">
        <f>IFERROR(INDEX(Program_01!$G:$G,MATCH($B33,Program_01!$A:$A,0)),"")</f>
        <v>Marine Life Operation Facility for Marina Village</v>
      </c>
      <c r="H33" s="176" t="str">
        <f>IFERROR(INDEX(Program_01!$H:$H,MATCH($B33,Program_01!$A:$A,0)),"")</f>
        <v>Hassan Hamdi Al Harbi Contracting Est. (HASCO)</v>
      </c>
      <c r="I33" s="176" t="str">
        <f t="shared" si="11"/>
        <v>Other Claims</v>
      </c>
      <c r="J33" s="176">
        <f>IFERROR(INDEX(Program_01!$I:$I,MATCH($B33,Program_01!$A:$A,0)),"")</f>
        <v>0</v>
      </c>
      <c r="K33" s="176">
        <f>IFERROR(INDEX(Program_01!$J:$J,MATCH($B33,Program_01!$A:$A,0)),"")</f>
        <v>0</v>
      </c>
      <c r="L33" s="176">
        <f>IFERROR(INDEX(Program_01!$K:$K,MATCH($B33,Program_01!$A:$A,0)),"")</f>
        <v>0</v>
      </c>
      <c r="M33" s="176">
        <f>IFERROR(INDEX(Program_01!$L:$L,MATCH($B33,Program_01!$A:$A,0)),"")</f>
        <v>0</v>
      </c>
      <c r="N33" s="176">
        <f>IFERROR(INDEX(Program_01!$L:$L,MATCH($B33,Program_01!$A:$A,0)),"")</f>
        <v>0</v>
      </c>
      <c r="O33" s="176">
        <f>IFERROR(INDEX(Program_01!$N:$N,MATCH($B33,Program_01!$A:$A,0)),"")</f>
        <v>1</v>
      </c>
      <c r="P33" s="178"/>
      <c r="Q33" s="179" t="str">
        <f>IFERROR(INDEX(Program_01!$C:$C,MATCH($B33,Program_01!$A:$A,0)),"")</f>
        <v>Settlement of Payment for Additional Cost and Time for Relocation of Jetty
Other Claims</v>
      </c>
      <c r="R33" s="176" t="str">
        <f>IFERROR(INDEX(Program_01!$V:$V,MATCH($B33,Program_01!$A:$A,0)),"")</f>
        <v>1TB01005-005C17-HAH-LTR-0040</v>
      </c>
      <c r="S33" s="180">
        <f>IFERROR(INDEX(Program_01!$W:$W,MATCH($B33,Program_01!$A:$A,0)),"")</f>
        <v>45326</v>
      </c>
      <c r="T33" s="178"/>
      <c r="U33" s="176" t="str">
        <f>IFERROR(INDEX(Program_01!$Z:$Z,MATCH($B33,Program_01!$A:$A,0)),"")</f>
        <v>1TB01005-005C17-AMA-LTR-0041</v>
      </c>
      <c r="V33" s="181">
        <f>IFERROR(INDEX(Program_01!$AA:$AA,MATCH($B33,Program_01!$A:$A,0)),"")</f>
        <v>45364</v>
      </c>
      <c r="W33" s="182">
        <f t="shared" ca="1" si="0"/>
        <v>38</v>
      </c>
      <c r="X33" s="51"/>
      <c r="Y33" s="179">
        <f>IFERROR(INDEX(Program_01!$BD:$BD,MATCH($B33,Program_01!$A:$A,0)),"")</f>
        <v>0</v>
      </c>
      <c r="Z33" s="51"/>
      <c r="AA33" s="183" t="str">
        <f>IFERROR(IF((INDEX(Program_01!$AD:$AD,MATCH($B33,Program_01!$A:$A,0))=""),INDEX(Program_01!$V:$V,MATCH($B33,Program_01!$A:$A,0)),INDEX(Program_01!$AD:$AD,MATCH($B33,Program_01!$A:$A,0))),"")</f>
        <v>1TB01005-005C17-HAH-LTR-0046 dated 1 May 24
HAH01005-GENCORR-000067</v>
      </c>
      <c r="AB33" s="147">
        <f>IFERROR(IF((INDEX(Program_01!$AE:$AE,MATCH($B33,Program_01!$A:$A,0))=""),INDEX(Program_01!$W:$W,MATCH($B33,Program_01!$A:$A,0)),INDEX(Program_01!$AE:$AE,MATCH($B33,Program_01!$A:$A,0))),"")</f>
        <v>45553</v>
      </c>
      <c r="AC33" s="183">
        <f>IFERROR(IF($I33="EOT",INDEX(Program_01!$AN:$AN,MATCH($B33,Program_01!$A:$A,0)),INDEX(Program_01!$AY:$AY,MATCH($B33,Program_01!$A:$A,0))),"")</f>
        <v>0</v>
      </c>
      <c r="AD33" s="181">
        <f>IFERROR(IF($I33="EOT",INDEX(Program_01!$AO:$AO,MATCH($B33,Program_01!$A:$A,0)),INDEX(Program_01!$AZ:$AZ,MATCH($B33,Program_01!$A:$A,0))),"")</f>
        <v>0</v>
      </c>
      <c r="AE33" s="51"/>
      <c r="AF33" s="183"/>
      <c r="AG33" s="181"/>
      <c r="AH33" s="183">
        <f>IF(OR($D33="",$AS33="VO Issued",$AS33="Open"),"",IF(OR($AC33="Rejected",$AC33="Superseded",$AC33="Dealt Separately"),$AC33,IF($I33="EOT",INDEX(Program_01!$AR:$AR,MATCH($B33,Program_01!$A:$A,0)),INDEX(Program_01!$BB:$BB,MATCH($B33,Program_01!$A:$A,0)))))</f>
        <v>0</v>
      </c>
      <c r="AI33" s="181">
        <f>IF(OR($A33="",$B33="",$I33="",$AS33="VO Issued",$AS33="Open"),"",IF(OR($AD33="N/A"),$AD33,IF($I33="EOT",INDEX(Program_01!$AS:$AS,MATCH($B33,Program_01!$A:$A,0)),INDEX(Program_01!$BC:$BC,MATCH($B33,Program_01!$A:$A,0)))))</f>
        <v>0</v>
      </c>
      <c r="AJ33" s="183">
        <f>IF(OR($D33="",$I33="",$AS33="Determination Issued",$AS33="Rejected",$AS33="Open"),"",IF(OR($AH33="Rejected",$AH33="Dealt Separately",$AH33="Superseded",$AH33="Withdrawn"),"N/A",IF($I33="EOT",INDEX(Program_01!AR:AR,MATCH($B33,Program_01!A:A,0)),INDEX(Program_01!BB:BB,MATCH($B33,Program_01!A:A,0)))))</f>
        <v>0</v>
      </c>
      <c r="AK33" s="181">
        <f>IF(OR($A33="",$B33="",$I33="",$AS33="Determination Issued",$AS33="Rejected",$AS33="Open"),"",IF($AJ33="N/A","N/A",IF($I33="EOT",INDEX(Program_01!AS:AS,MATCH($B33,Program_01!A:A,0)),INDEX(Program_01!BC:BC,MATCH($B33,Program_01!A:A,0)))))</f>
        <v>0</v>
      </c>
      <c r="AL33" s="51"/>
      <c r="AM33" s="184">
        <f>IFERROR(INDEX(Program_01!$BT:$BT,MATCH($B33,Program_01!$A:$A,0)),"")</f>
        <v>0</v>
      </c>
      <c r="AN33" s="184">
        <f>IFERROR(INDEX(Program_01!$BU:$BU,MATCH($B33,Program_01!$A:$A,0)),"")</f>
        <v>0</v>
      </c>
      <c r="AO33" s="184">
        <f>IFERROR(INDEX(Program_01!$BV:$BV,MATCH($B33,Program_01!$A:$A,0)),"")</f>
        <v>0</v>
      </c>
      <c r="AP33" s="51" t="str">
        <f t="shared" si="12"/>
        <v/>
      </c>
      <c r="AQ33" s="184">
        <f>IFERROR(INDEX(Program_01!$BN:$BN,MATCH($B33,Program_01!$A:$A,0)),"")</f>
        <v>0</v>
      </c>
      <c r="AR33" s="184" t="str">
        <f>IFERROR(INDEX(Program_01!$BO:$BO,MATCH($B33,Program_01!$A:$A,0)),"")</f>
        <v>Not Applicable</v>
      </c>
      <c r="AS33" s="184" t="str">
        <f>IFERROR(INDEX(Program_01!$BP:$BP,MATCH($B33,Program_01!$A:$A,0)),"")</f>
        <v>DVO Issued</v>
      </c>
      <c r="AT33" s="185" t="str">
        <f>IFERROR(INDEX(Program_01!$BQ:$BQ,MATCH($B33,Program_01!$A:$A,0)),"")</f>
        <v>Closed</v>
      </c>
      <c r="AU33" s="179" t="str">
        <f>IFERROR(INDEX(Program_01!$BR:$BR,MATCH($B33,Program_01!$A:$A,0)),"")</f>
        <v xml:space="preserve">24 Sep 24: Contractor resubmitted the claim on 18 Sep 24. commercial to review. Meeting held with HASCO on 17 Sept 24 and RSG to review costs submitted and provide comments by 28 Sept 24. Further meeting to be arranged to try and conclude.
04 Oct 24. Meeting arranaged with HASCO for 09 Oct and outcome to be shared with Claims team.
20 Oct 24. Meeting and discussions ongoing with HASCO. Proposal to be put forward to claims team by the end October.
01 Nov 24. Meeting took place on 29 Oct and HASCO are reviewing with their CEO. We explained that any EoT entitlement costs are set-off by the damages given the significant delay. They have a new team who dont know the history and seemed keen to resolve the item. We await their feedback.
04 Dec 24 - Meeting arranged for 17th December to agree  a final account.
15 Dec 24: Ditto
11 Jan 25 - same comment as above line item
26 Jan 25: Ditto as above
28 Jan 25: Assessment to be completed; target date 6th Feb
23 Feb 25: Same comment as Item 13
Ditto
19 Apr 25: No further submission from HASCO. Internal assessment and report on-going.
04 May 25: Targeted to finalise the report by end of June 2025.
18 May 25: Ditto
14 June 25: Ditto
28 June 25: Commercial to issue report to planning by 3rd July.
13 Jul 25: Report delayed but will be issued by the Site team on 17 Jul at the very latest.
28 Jul 25: Ditto
12 August 2025: Meeting arranged for 16:00, 12 Aug 2025, chat with PMcH to understand this matter. 
23 Aug 25: Assessment report ongoing, related to item 13
07 Oct 25: Awaiting conclusion of EoT/DVO
03 Nov 25: comm to update status 
17 Nov 25: DVO in relation to this cost was issued to DVO (1TB01005-005C17-AMA-DVO-CM-0002 issued on 15 Oct 25). hence this line item has been closed </v>
      </c>
      <c r="AV33" s="186" t="str">
        <f t="shared" si="1"/>
        <v/>
      </c>
      <c r="AW33" s="186" t="str">
        <f t="shared" si="13"/>
        <v>CLOSED</v>
      </c>
      <c r="AX33" s="186" t="str">
        <f t="shared" si="2"/>
        <v>CLOSED</v>
      </c>
      <c r="AY33" s="181">
        <f t="shared" si="14"/>
        <v>45553</v>
      </c>
      <c r="AZ33" s="181" t="str">
        <f>IF($AD33=0,"",AD33)</f>
        <v/>
      </c>
      <c r="BA33" s="181">
        <f t="shared" si="4"/>
        <v>0</v>
      </c>
      <c r="BC33" s="181">
        <f>IFERROR(INDEX(Program_01!BF:BF,MATCH($B33,Program_01!$A:$A,0)),"")</f>
        <v>45553</v>
      </c>
      <c r="BD33" s="188" t="str">
        <f ca="1">IFERROR(INDEX(Program_01!BG:BG,MATCH($B33,Program_01!$A:$A,0)),"")</f>
        <v>N/A</v>
      </c>
      <c r="BE33" s="181">
        <f>IFERROR(INDEX(Program_01!BH:BH,MATCH($B33,Program_01!$A:$A,0)),"")</f>
        <v>0</v>
      </c>
      <c r="BF33" s="189" t="str">
        <f ca="1">IFERROR(INDEX(Program_01!BI:BI,MATCH($B33,Program_01!$A:$A,0)),"")</f>
        <v>N/A</v>
      </c>
      <c r="BG33" s="181">
        <f>IFERROR(INDEX(Program_01!BJ:BJ,MATCH($B33,Program_01!$A:$A,0)),"")</f>
        <v>0</v>
      </c>
      <c r="BH33" s="189">
        <f ca="1">IFERROR(INDEX(Program_01!BK:BK,MATCH($B33,Program_01!$A:$A,0)),"")</f>
        <v>0</v>
      </c>
      <c r="BI33" s="181">
        <f>IFERROR(INDEX(Program_01!BL:BL,MATCH($B33,Program_01!$A:$A,0)),"")</f>
        <v>0</v>
      </c>
      <c r="BK33" s="190">
        <f>IFERROR(IF(INDEX(Program_01!$BX:$BX,MATCH($B33,Program_01!$A:$A,0))=DATE(1900,1,0),"",INDEX(Program_01!$BX:$BX,MATCH($B33,Program_01!$A:$A,0))),"")</f>
        <v>45978</v>
      </c>
      <c r="BL33" s="190" t="str">
        <f>IFERROR(IF(INDEX(Program_01!$BY:$BY,MATCH($B33,Program_01!$A:$A,0))=DATE(1900,1,0),"",INDEX(Program_01!$BY:$BY,MATCH($B33,Program_01!$A:$A,0))),"")</f>
        <v/>
      </c>
      <c r="BM33" s="188" t="str">
        <f t="shared" ca="1" si="15"/>
        <v/>
      </c>
      <c r="BN33" s="191">
        <f t="shared" ca="1" si="16"/>
        <v>0</v>
      </c>
      <c r="BO33" s="188" t="str">
        <f t="shared" si="5"/>
        <v/>
      </c>
      <c r="BP33" s="188" t="str">
        <f t="shared" si="6"/>
        <v>1</v>
      </c>
      <c r="BQ33" s="188" t="str">
        <f t="shared" ca="1" si="17"/>
        <v/>
      </c>
      <c r="BR33" s="181" t="str">
        <f ca="1">IF(BQ33="","","1")</f>
        <v/>
      </c>
      <c r="BT33" s="190" t="str">
        <f>IFERROR(IF(INDEX(Program_01!$BZ:$BZ,MATCH($B33,Program_01!$A:$A,0))=DATE(1900,1,0),"",INDEX(Program_01!$BZ:$BZ,MATCH($B33,Program_01!$A:$A,0))),"")</f>
        <v/>
      </c>
      <c r="BU33" s="182" t="str">
        <f t="shared" ca="1" si="22"/>
        <v/>
      </c>
      <c r="BV33" s="188" t="str">
        <f t="shared" si="7"/>
        <v/>
      </c>
      <c r="BW33" s="188" t="str">
        <f t="shared" si="8"/>
        <v>1</v>
      </c>
      <c r="BX33" s="188" t="str">
        <f t="shared" ca="1" si="9"/>
        <v/>
      </c>
      <c r="BY33" s="181" t="str">
        <f ca="1">IF(BX33="","","1")</f>
        <v/>
      </c>
      <c r="CA33" s="192" t="str">
        <f t="shared" si="20"/>
        <v>N</v>
      </c>
      <c r="CB33" s="192" t="str">
        <f t="shared" si="21"/>
        <v>N</v>
      </c>
      <c r="CC33" s="193">
        <f>IFERROR(INDEX(Program_01!$CE:$CE,MATCH($B33,Program_01!$A:$A,0)),"")</f>
        <v>45362</v>
      </c>
      <c r="CD33" s="193">
        <f t="shared" si="10"/>
        <v>45362</v>
      </c>
      <c r="CG33" s="194">
        <f>IFERROR(INDEX(Program_01!$AT:$AT,MATCH($B33,Program_01!$A:$A,0)),"")</f>
        <v>973534.92</v>
      </c>
      <c r="CH33" s="194">
        <f>IFERROR(INDEX(Program_01!$AX:$AX,MATCH($B33,Program_01!$A:$A,0)),"")</f>
        <v>0</v>
      </c>
      <c r="CI33" s="187" t="s">
        <v>221</v>
      </c>
    </row>
    <row r="34" spans="1:87" s="187" customFormat="1" ht="221">
      <c r="A34" s="174" t="s">
        <v>1</v>
      </c>
      <c r="B34" s="175">
        <v>16</v>
      </c>
      <c r="C34" s="176" t="str">
        <f>IFERROR(INDEX(Program_01!$B:$B,MATCH($B34,Program_01!$A:$A,0)),"")</f>
        <v>FULL TIA EAR</v>
      </c>
      <c r="D34" s="176" t="str">
        <f>IFERROR(INDEX(Program_01!$D:$D,MATCH($B34,Program_01!$A:$A,0)),"")</f>
        <v>1TB01009C03</v>
      </c>
      <c r="E34" s="176" t="str">
        <f>IFERROR(INDEX(Program_01!$E:$E,MATCH($B34,Program_01!$A:$A,0)),"")</f>
        <v>1.TB.01.009.01</v>
      </c>
      <c r="F34" s="176" t="str">
        <f>IFERROR(INDEX(Program_01!$F:$F,MATCH($B34,Program_01!$A:$A,0)),"")</f>
        <v>Marina Hotel 3</v>
      </c>
      <c r="G34" s="176" t="str">
        <f>IFERROR(INDEX(Program_01!$G:$G,MATCH($B34,Program_01!$A:$A,0)),"")</f>
        <v>Concrete, Civil, Structural Steel and Builders Works - Phase 2</v>
      </c>
      <c r="H34" s="176" t="str">
        <f>IFERROR(INDEX(Program_01!$H:$H,MATCH($B34,Program_01!$A:$A,0)),"")</f>
        <v>Hassan Allam Construction Saudi Limited</v>
      </c>
      <c r="I34" s="176" t="str">
        <f t="shared" si="11"/>
        <v>EOT</v>
      </c>
      <c r="J34" s="176">
        <f>IFERROR(INDEX(Program_01!$I:$I,MATCH($B34,Program_01!$A:$A,0)),"")</f>
        <v>1</v>
      </c>
      <c r="K34" s="176">
        <f>IFERROR(INDEX(Program_01!$J:$J,MATCH($B34,Program_01!$A:$A,0)),"")</f>
        <v>0</v>
      </c>
      <c r="L34" s="176">
        <f>IFERROR(INDEX(Program_01!$K:$K,MATCH($B34,Program_01!$A:$A,0)),"")</f>
        <v>0</v>
      </c>
      <c r="M34" s="176">
        <f>IFERROR(INDEX(Program_01!$L:$L,MATCH($B34,Program_01!$A:$A,0)),"")</f>
        <v>0</v>
      </c>
      <c r="N34" s="176">
        <f>IFERROR(INDEX(Program_01!$L:$L,MATCH($B34,Program_01!$A:$A,0)),"")</f>
        <v>0</v>
      </c>
      <c r="O34" s="176">
        <f>IFERROR(INDEX(Program_01!$N:$N,MATCH($B34,Program_01!$A:$A,0)),"")</f>
        <v>0</v>
      </c>
      <c r="P34" s="178"/>
      <c r="Q34" s="179" t="str">
        <f>IFERROR(INDEX(Program_01!$C:$C,MATCH($B34,Program_01!$A:$A,0)),"")</f>
        <v>Extension of Time Claim No.01 – Interim Report 01, Interim Report 02,  Interim Report 03 *  Interim Report 04, Interim Report 5</v>
      </c>
      <c r="R34" s="176" t="str">
        <f>IFERROR(INDEX(Program_01!$V:$V,MATCH($B34,Program_01!$A:$A,0)),"")</f>
        <v>1TB01009-009C03-HAM-LTR-0031 dated 7 Mar 24
1TB01009-009C03-HAM-LTR-0047 dated 03 Apr 24
1TB01009-009C03-HAM-LTR-0059</v>
      </c>
      <c r="S34" s="180">
        <f>IFERROR(INDEX(Program_01!$W:$W,MATCH($B34,Program_01!$A:$A,0)),"")</f>
        <v>45416</v>
      </c>
      <c r="T34" s="178"/>
      <c r="U34" s="176" t="str">
        <f>IFERROR(INDEX(Program_01!$Z:$Z,MATCH($B34,Program_01!$A:$A,0)),"")</f>
        <v>1TB01009-009C03-HAM-LTR-0059</v>
      </c>
      <c r="V34" s="181">
        <f>IFERROR(INDEX(Program_01!$AA:$AA,MATCH($B34,Program_01!$A:$A,0)),"")</f>
        <v>45423</v>
      </c>
      <c r="W34" s="182">
        <f t="shared" ca="1" si="0"/>
        <v>7</v>
      </c>
      <c r="X34" s="51"/>
      <c r="Y34" s="179" t="str">
        <f>IFERROR(INDEX(Program_01!$BD:$BD,MATCH($B34,Program_01!$A:$A,0)),"")</f>
        <v>1TB01009-009C03-HAM-LTR-0031 dated 7 Mar 24 has been superseded with the contractor's second submission made on 3 Apr 24
1TB01009-009C03-HAM-LTR-0059 dated 04 May 24 Interim Report #3
23 May 24: Contractor issued a reminder letter for the employers  response on their 3 EOT interim reports via letter ref: 1TB01009-009C03-HAM-LTR-0065
1. Contractor’s Letter Ref: 1TB01009-009C03-HAM-LTR-0031
2. Contractor’s Letter Ref: 1TB01009-009C03-HAM-LTR-0047
3. Contractor’s Letter Ref: 1TB01009-009C03-HAM-LTR-0059
4. Contractor’s Letter Ref: 1TB01009-009C03-HAM-LTR-0065
5. Contractor’s Letter Ref: 1TB01009-009C03-HAM-LTR-0077
6. Contractor’s Letter Ref: 1TB01009-009C03-HAM-LTR-0097
7. Contractor’s Letter Ref: 1TB01009-009C03-HAM-LTR-0100
1TB01009-009C03-AMA-LTR-0142 dated 14 Nov 24</v>
      </c>
      <c r="Z34" s="51"/>
      <c r="AA34" s="183" t="str">
        <f>IFERROR(IF((INDEX(Program_01!$AD:$AD,MATCH($B34,Program_01!$A:$A,0))=""),INDEX(Program_01!$V:$V,MATCH($B34,Program_01!$A:$A,0)),INDEX(Program_01!$AD:$AD,MATCH($B34,Program_01!$A:$A,0))),"")</f>
        <v>1TB01009-009C03-HAM-LTR-0077 05 Jun 24
1TB01009-009C03-HAM-LTR-0097 10 Jul 24
1TB01009-009C03-HAM-LTR-0100 1 Aug 24
1TB01009-009C03-HAM-LTR-0117</v>
      </c>
      <c r="AB34" s="147">
        <f>IFERROR(IF((INDEX(Program_01!$AE:$AE,MATCH($B34,Program_01!$A:$A,0))=""),INDEX(Program_01!$W:$W,MATCH($B34,Program_01!$A:$A,0)),INDEX(Program_01!$AE:$AE,MATCH($B34,Program_01!$A:$A,0))),"")</f>
        <v>45544</v>
      </c>
      <c r="AC34" s="183" t="str">
        <f>IFERROR(IF($I34="EOT",INDEX(Program_01!$AN:$AN,MATCH($B34,Program_01!$A:$A,0)),INDEX(Program_01!$AY:$AY,MATCH($B34,Program_01!$A:$A,0))),"")</f>
        <v>N/A</v>
      </c>
      <c r="AD34" s="181" t="str">
        <f>IFERROR(IF($I34="EOT",INDEX(Program_01!$AO:$AO,MATCH($B34,Program_01!$A:$A,0)),INDEX(Program_01!$AZ:$AZ,MATCH($B34,Program_01!$A:$A,0))),"")</f>
        <v>N/A</v>
      </c>
      <c r="AE34" s="51"/>
      <c r="AF34" s="183"/>
      <c r="AG34" s="181"/>
      <c r="AH34" s="183">
        <f>IF(OR($D34="",$AS34="VO Issued",$AS34="Open"),"",IF(OR($AC34="Rejected",$AC34="Superseded",$AC34="Dealt Separately"),$AC34,IF($I34="EOT",INDEX(Program_01!$AR:$AR,MATCH($B34,Program_01!$A:$A,0)),INDEX(Program_01!$BB:$BB,MATCH($B34,Program_01!$A:$A,0)))))</f>
        <v>0</v>
      </c>
      <c r="AI34" s="181" t="str">
        <f>IF(OR($A34="",$B34="",$I34="",$AS34="VO Issued",$AS34="Open"),"",IF(OR($AD34="N/A"),$AD34,IF($I34="EOT",INDEX(Program_01!$AS:$AS,MATCH($B34,Program_01!$A:$A,0)),INDEX(Program_01!$BC:$BC,MATCH($B34,Program_01!$A:$A,0)))))</f>
        <v>N/A</v>
      </c>
      <c r="AJ34" s="183">
        <f>IF(OR($D34="",$I34="",$AS34="Determination Issued",$AS34="Rejected",$AS34="Open"),"",IF(OR($AH34="Rejected",$AH34="Dealt Separately",$AH34="Superseded",$AH34="Withdrawn"),"N/A",IF($I34="EOT",INDEX(Program_01!AR:AR,MATCH($B34,Program_01!A:A,0)),INDEX(Program_01!BB:BB,MATCH($B34,Program_01!A:A,0)))))</f>
        <v>0</v>
      </c>
      <c r="AK34" s="181">
        <f>IF(OR($A34="",$B34="",$I34="",$AS34="Determination Issued",$AS34="Rejected",$AS34="Open"),"",IF($AJ34="N/A","N/A",IF($I34="EOT",INDEX(Program_01!AS:AS,MATCH($B34,Program_01!A:A,0)),INDEX(Program_01!BC:BC,MATCH($B34,Program_01!A:A,0)))))</f>
        <v>0</v>
      </c>
      <c r="AL34" s="51"/>
      <c r="AM34" s="184">
        <f>IFERROR(INDEX(Program_01!$BT:$BT,MATCH($B34,Program_01!$A:$A,0)),"")</f>
        <v>0</v>
      </c>
      <c r="AN34" s="184">
        <f>IFERROR(INDEX(Program_01!$BU:$BU,MATCH($B34,Program_01!$A:$A,0)),"")</f>
        <v>0</v>
      </c>
      <c r="AO34" s="184">
        <f>IFERROR(INDEX(Program_01!$BV:$BV,MATCH($B34,Program_01!$A:$A,0)),"")</f>
        <v>0</v>
      </c>
      <c r="AP34" s="51" t="str">
        <f t="shared" si="12"/>
        <v/>
      </c>
      <c r="AQ34" s="184">
        <f>IFERROR(INDEX(Program_01!$BN:$BN,MATCH($B34,Program_01!$A:$A,0)),"")</f>
        <v>0</v>
      </c>
      <c r="AR34" s="184" t="str">
        <f>IFERROR(INDEX(Program_01!$BO:$BO,MATCH($B34,Program_01!$A:$A,0)),"")</f>
        <v>Not Applicable</v>
      </c>
      <c r="AS34" s="184" t="str">
        <f>IFERROR(INDEX(Program_01!$BP:$BP,MATCH($B34,Program_01!$A:$A,0)),"")</f>
        <v>Dealt Separately</v>
      </c>
      <c r="AT34" s="185" t="str">
        <f>IFERROR(INDEX(Program_01!$BQ:$BQ,MATCH($B34,Program_01!$A:$A,0)),"")</f>
        <v>Closed</v>
      </c>
      <c r="AU34" s="179" t="str">
        <f>IFERROR(INDEX(Program_01!$BR:$BR,MATCH($B34,Program_01!$A:$A,0)),"")</f>
        <v xml:space="preserve">03 Nov 24: Based on HAM comments, the CA and Legal's letter agreement is being amended by Legal. Once amended, the same shall be issued to HAM and subsequently the current EOT's shall be withdrawn.  
17 Nov 24: letter issued requesting the Contractor to review, sign, and submit the amended "Settlement of Contractor's Claims" letter, withdraw all existing EoT claims, and provide a detailed program with planned resources to complete the Works as agreed.
28 Nov 24: Contractor submitted the signed &amp; stamped "Settlement of Contractor’s Claims" letter. Commercial to revert the signed copy of the same and finalise the CA accordingly. upon which all claims will be superseded and closed
01 Dec 24: Contractor submitted the signed CA. WF to be initiated for GCEO's signature on both Legal's settlement letter and CA. WF will be initiated by COB 01 Dec 24.
04 Dec 24: Mike to provide letter ref 
12 Dec 24: WF initiated for GCEO's signature on the Contract Amendment &amp; Legal's Letter Agreement, which will close the existing EOT's. WF Ref. - Workflow No.: WF-022881
22 Dec 24: CA issued &amp; therefore.the matter is therefore considered closed
</v>
      </c>
      <c r="AV34" s="186" t="str">
        <f t="shared" si="1"/>
        <v/>
      </c>
      <c r="AW34" s="186" t="str">
        <f t="shared" si="13"/>
        <v>CLOSED</v>
      </c>
      <c r="AX34" s="186" t="str">
        <f t="shared" si="2"/>
        <v>CLOSED</v>
      </c>
      <c r="AY34" s="181">
        <f t="shared" si="14"/>
        <v>45544</v>
      </c>
      <c r="AZ34" s="181" t="str">
        <f t="shared" ref="AZ34:AZ46" si="23">IF($AD34=0,"",AD34)</f>
        <v>N/A</v>
      </c>
      <c r="BA34" s="181" t="str">
        <f t="shared" si="4"/>
        <v>N/A</v>
      </c>
      <c r="BC34" s="181">
        <f>IFERROR(INDEX(Program_01!BF:BF,MATCH($B34,Program_01!$A:$A,0)),"")</f>
        <v>45544</v>
      </c>
      <c r="BD34" s="188" t="str">
        <f ca="1">IFERROR(INDEX(Program_01!BG:BG,MATCH($B34,Program_01!$A:$A,0)),"")</f>
        <v>N/A</v>
      </c>
      <c r="BE34" s="181">
        <f>IFERROR(INDEX(Program_01!BH:BH,MATCH($B34,Program_01!$A:$A,0)),"")</f>
        <v>0</v>
      </c>
      <c r="BF34" s="189">
        <f ca="1">IFERROR(INDEX(Program_01!BI:BI,MATCH($B34,Program_01!$A:$A,0)),"")</f>
        <v>0</v>
      </c>
      <c r="BG34" s="181">
        <f>IFERROR(INDEX(Program_01!BJ:BJ,MATCH($B34,Program_01!$A:$A,0)),"")</f>
        <v>0</v>
      </c>
      <c r="BH34" s="189">
        <f ca="1">IFERROR(INDEX(Program_01!BK:BK,MATCH($B34,Program_01!$A:$A,0)),"")</f>
        <v>0</v>
      </c>
      <c r="BI34" s="181">
        <f>IFERROR(INDEX(Program_01!BL:BL,MATCH($B34,Program_01!$A:$A,0)),"")</f>
        <v>0</v>
      </c>
      <c r="BK34" s="190">
        <f>IFERROR(IF(INDEX(Program_01!$BX:$BX,MATCH($B34,Program_01!$A:$A,0))=DATE(1900,1,0),"",INDEX(Program_01!$BX:$BX,MATCH($B34,Program_01!$A:$A,0))),"")</f>
        <v>45648</v>
      </c>
      <c r="BL34" s="190" t="str">
        <f>IFERROR(IF(INDEX(Program_01!$BY:$BY,MATCH($B34,Program_01!$A:$A,0))=DATE(1900,1,0),"",INDEX(Program_01!$BY:$BY,MATCH($B34,Program_01!$A:$A,0))),"")</f>
        <v/>
      </c>
      <c r="BM34" s="188" t="str">
        <f t="shared" ca="1" si="15"/>
        <v/>
      </c>
      <c r="BN34" s="191">
        <f t="shared" ca="1" si="16"/>
        <v>0</v>
      </c>
      <c r="BO34" s="188" t="str">
        <f t="shared" si="5"/>
        <v/>
      </c>
      <c r="BP34" s="188" t="str">
        <f t="shared" si="6"/>
        <v>1</v>
      </c>
      <c r="BQ34" s="188" t="str">
        <f t="shared" ca="1" si="17"/>
        <v/>
      </c>
      <c r="BR34" s="181" t="str">
        <f t="shared" ref="BR34:BR46" ca="1" si="24">IF(BQ34="","","1")</f>
        <v/>
      </c>
      <c r="BT34" s="190" t="str">
        <f>IFERROR(IF(INDEX(Program_01!$BZ:$BZ,MATCH($B34,Program_01!$A:$A,0))=DATE(1900,1,0),"",INDEX(Program_01!$BZ:$BZ,MATCH($B34,Program_01!$A:$A,0))),"")</f>
        <v/>
      </c>
      <c r="BU34" s="182" t="str">
        <f t="shared" ca="1" si="22"/>
        <v/>
      </c>
      <c r="BV34" s="188" t="str">
        <f t="shared" si="7"/>
        <v/>
      </c>
      <c r="BW34" s="188" t="str">
        <f t="shared" si="8"/>
        <v>1</v>
      </c>
      <c r="BX34" s="188" t="str">
        <f t="shared" ca="1" si="9"/>
        <v/>
      </c>
      <c r="BY34" s="181" t="str">
        <f t="shared" ref="BY34:BY46" ca="1" si="25">IF(BX34="","","1")</f>
        <v/>
      </c>
      <c r="CA34" s="192" t="str">
        <f t="shared" si="20"/>
        <v>N</v>
      </c>
      <c r="CB34" s="192" t="str">
        <f t="shared" si="21"/>
        <v>N</v>
      </c>
      <c r="CC34" s="193">
        <f>IFERROR(INDEX(Program_01!$CE:$CE,MATCH($B34,Program_01!$A:$A,0)),"")</f>
        <v>45362</v>
      </c>
      <c r="CD34" s="198">
        <v>45362</v>
      </c>
      <c r="CG34" s="194">
        <f>IFERROR(INDEX(Program_01!$AT:$AT,MATCH($B34,Program_01!$A:$A,0)),"")</f>
        <v>0</v>
      </c>
      <c r="CH34" s="194">
        <f>IFERROR(INDEX(Program_01!$AX:$AX,MATCH($B34,Program_01!$A:$A,0)),"")</f>
        <v>0</v>
      </c>
    </row>
    <row r="35" spans="1:87" s="187" customFormat="1" ht="408.75" customHeight="1">
      <c r="A35" s="174" t="s">
        <v>1</v>
      </c>
      <c r="B35" s="175">
        <v>17</v>
      </c>
      <c r="C35" s="176" t="str">
        <f>IFERROR(INDEX(Program_01!$B:$B,MATCH($B35,Program_01!$A:$A,0)),"")</f>
        <v>COST EAR</v>
      </c>
      <c r="D35" s="176" t="str">
        <f>IFERROR(INDEX(Program_01!$D:$D,MATCH($B35,Program_01!$A:$A,0)),"")</f>
        <v>1TB01003C03</v>
      </c>
      <c r="E35" s="176" t="str">
        <f>IFERROR(INDEX(Program_01!$E:$E,MATCH($B35,Program_01!$A:$A,0)),"")</f>
        <v>1.TB.01.003.01</v>
      </c>
      <c r="F35" s="176" t="str">
        <f>IFERROR(INDEX(Program_01!$F:$F,MATCH($B35,Program_01!$A:$A,0)),"")</f>
        <v xml:space="preserve">AMAALA Yacht Club </v>
      </c>
      <c r="G35" s="176" t="str">
        <f>IFERROR(INDEX(Program_01!$G:$G,MATCH($B35,Program_01!$A:$A,0)),"")</f>
        <v>Construction Contract - Site Enabling, Civil Works, Structural Concrete, Structural Steel, BOH Finishes, Building Envelope, MEP Including Tertiary Infrastructure &amp; ICT/ELV</v>
      </c>
      <c r="H35" s="176" t="str">
        <f>IFERROR(INDEX(Program_01!$H:$H,MATCH($B35,Program_01!$A:$A,0)),"")</f>
        <v>Saudi Arabian Baytur Construction Company</v>
      </c>
      <c r="I35" s="176" t="str">
        <f t="shared" si="11"/>
        <v>Other Claims</v>
      </c>
      <c r="J35" s="176">
        <f>IFERROR(INDEX(Program_01!$I:$I,MATCH($B35,Program_01!$A:$A,0)),"")</f>
        <v>0</v>
      </c>
      <c r="K35" s="176">
        <f>IFERROR(INDEX(Program_01!$J:$J,MATCH($B35,Program_01!$A:$A,0)),"")</f>
        <v>0</v>
      </c>
      <c r="L35" s="176">
        <f>IFERROR(INDEX(Program_01!$K:$K,MATCH($B35,Program_01!$A:$A,0)),"")</f>
        <v>0</v>
      </c>
      <c r="M35" s="176">
        <f>IFERROR(INDEX(Program_01!$L:$L,MATCH($B35,Program_01!$A:$A,0)),"")</f>
        <v>0</v>
      </c>
      <c r="N35" s="176">
        <f>IFERROR(INDEX(Program_01!$L:$L,MATCH($B35,Program_01!$A:$A,0)),"")</f>
        <v>0</v>
      </c>
      <c r="O35" s="176">
        <f>IFERROR(INDEX(Program_01!$N:$N,MATCH($B35,Program_01!$A:$A,0)),"")</f>
        <v>1</v>
      </c>
      <c r="P35" s="178"/>
      <c r="Q35" s="179" t="str">
        <f>IFERROR(INDEX(Program_01!$C:$C,MATCH($B35,Program_01!$A:$A,0)),"")</f>
        <v>Delay of Materials Delivery – Employer’s Country Risk - Dispute Notice</v>
      </c>
      <c r="R35" s="176" t="str">
        <f>IFERROR(INDEX(Program_01!$V:$V,MATCH($B35,Program_01!$A:$A,0)),"")</f>
        <v>1TB01003-003C03-SAB-LTR-0060</v>
      </c>
      <c r="S35" s="180">
        <f>IFERROR(INDEX(Program_01!$W:$W,MATCH($B35,Program_01!$A:$A,0)),"")</f>
        <v>45314</v>
      </c>
      <c r="T35" s="178"/>
      <c r="U35" s="176" t="str">
        <f>IFERROR(INDEX(Program_01!$Z:$Z,MATCH($B35,Program_01!$A:$A,0)),"")</f>
        <v>1TB01003-003C03-AMA-LTR-0123</v>
      </c>
      <c r="V35" s="181">
        <f>IFERROR(INDEX(Program_01!$AA:$AA,MATCH($B35,Program_01!$A:$A,0)),"")</f>
        <v>45320</v>
      </c>
      <c r="W35" s="182">
        <f t="shared" ca="1" si="0"/>
        <v>6</v>
      </c>
      <c r="X35" s="51"/>
      <c r="Y35" s="179" t="str">
        <f>IFERROR(INDEX(Program_01!$BD:$BD,MATCH($B35,Program_01!$A:$A,0)),"")</f>
        <v>1) 1TB1003-003C03-SAB-LTR-0060, dated January 23, 2024
2) 1TB01003-003C03-AMA-LTR-0123, dated January 29, 2024
3) 1TB1003-003C03-SAB-LTR-0062 dated 29 January 2024
4) 1TB01003-003C03-SAB-LTR-0063, dated January 30, 2024
5) 1TB01003-003C03-AMA-LTR-0125 dated February 08, 2024
6) 1TB01003-003C03-SAB-LTR-0069 dated February 08, 2024
7) 1TB01003-003C03-AMA-LTR-0131, dated February 14, 2024
8)1TB01003-003C03-SAB-LTR-0071, dated February 14, 2024
9) 1TB01003-003C03-AMA-LTR-0138 dated Fevruary 26, 2024
10) 1TB01003-003C03-SAB-LTR-0075 dated February 28, 2024
11) 1TB01003-003C03-AMA-LTR-0142 dated March 16, 2024
12) 1TB01003-003C03-SAB-LTR-0082 dated March 18, 2024
13) 1TB01003-003C03-AMA-LTR-0155 dated 25 Apr 2024
14) 1TB01003-003C03-SAB-LTR-0086 dated 25 Apr 2024</v>
      </c>
      <c r="Z35" s="51"/>
      <c r="AA35" s="183" t="str">
        <f>IFERROR(IF((INDEX(Program_01!$AD:$AD,MATCH($B35,Program_01!$A:$A,0))=""),INDEX(Program_01!$V:$V,MATCH($B35,Program_01!$A:$A,0)),INDEX(Program_01!$AD:$AD,MATCH($B35,Program_01!$A:$A,0))),"")</f>
        <v>1TB01003-003C03-SAB-LTR-0060</v>
      </c>
      <c r="AB35" s="147">
        <f>IFERROR(IF((INDEX(Program_01!$AE:$AE,MATCH($B35,Program_01!$A:$A,0))=""),INDEX(Program_01!$W:$W,MATCH($B35,Program_01!$A:$A,0)),INDEX(Program_01!$AE:$AE,MATCH($B35,Program_01!$A:$A,0))),"")</f>
        <v>45314</v>
      </c>
      <c r="AC35" s="183" t="str">
        <f>IFERROR(IF($I35="EOT",INDEX(Program_01!$AN:$AN,MATCH($B35,Program_01!$A:$A,0)),INDEX(Program_01!$AY:$AY,MATCH($B35,Program_01!$A:$A,0))),"")</f>
        <v>N/A</v>
      </c>
      <c r="AD35" s="181" t="str">
        <f>IFERROR(IF($I35="EOT",INDEX(Program_01!$AO:$AO,MATCH($B35,Program_01!$A:$A,0)),INDEX(Program_01!$AZ:$AZ,MATCH($B35,Program_01!$A:$A,0))),"")</f>
        <v>N/A</v>
      </c>
      <c r="AE35" s="51"/>
      <c r="AF35" s="183"/>
      <c r="AG35" s="181"/>
      <c r="AH35" s="183" t="str">
        <f>IF(OR($D35="",$AS35="VO Issued",$AS35="Open"),"",IF(OR($AC35="Rejected",$AC35="Superseded",$AC35="Dealt Separately"),$AC35,IF($I35="EOT",INDEX(Program_01!$AR:$AR,MATCH($B35,Program_01!$A:$A,0)),INDEX(Program_01!$BB:$BB,MATCH($B35,Program_01!$A:$A,0)))))</f>
        <v/>
      </c>
      <c r="AI35" s="181" t="str">
        <f>IF(OR($A35="",$B35="",$I35="",$AS35="VO Issued",$AS35="Open"),"",IF(OR($AD35="N/A"),$AD35,IF($I35="EOT",INDEX(Program_01!$AS:$AS,MATCH($B35,Program_01!$A:$A,0)),INDEX(Program_01!$BC:$BC,MATCH($B35,Program_01!$A:$A,0)))))</f>
        <v/>
      </c>
      <c r="AJ35" s="183" t="str">
        <f>IF(OR($D35="",$I35="",$AS35="Determination Issued",$AS35="Rejected",$AS35="Open"),"",IF(OR($AH35="Rejected",$AH35="Dealt Separately",$AH35="Superseded",$AH35="Withdrawn"),"N/A",IF($I35="EOT",INDEX(Program_01!AR:AR,MATCH($B35,Program_01!A:A,0)),INDEX(Program_01!BB:BB,MATCH($B35,Program_01!A:A,0)))))</f>
        <v/>
      </c>
      <c r="AK35" s="181" t="str">
        <f>IF(OR($A35="",$B35="",$I35="",$AS35="Determination Issued",$AS35="Rejected",$AS35="Open"),"",IF($AJ35="N/A","N/A",IF($I35="EOT",INDEX(Program_01!AS:AS,MATCH($B35,Program_01!A:A,0)),INDEX(Program_01!BC:BC,MATCH($B35,Program_01!A:A,0)))))</f>
        <v/>
      </c>
      <c r="AL35" s="51"/>
      <c r="AM35" s="184">
        <f>IFERROR(INDEX(Program_01!$BT:$BT,MATCH($B35,Program_01!$A:$A,0)),"")</f>
        <v>0</v>
      </c>
      <c r="AN35" s="184">
        <f>IFERROR(INDEX(Program_01!$BU:$BU,MATCH($B35,Program_01!$A:$A,0)),"")</f>
        <v>0</v>
      </c>
      <c r="AO35" s="184" t="str">
        <f>IFERROR(INDEX(Program_01!$BV:$BV,MATCH($B35,Program_01!$A:$A,0)),"")</f>
        <v>Yes</v>
      </c>
      <c r="AP35" s="51" t="str">
        <f t="shared" si="12"/>
        <v>1</v>
      </c>
      <c r="AQ35" s="184">
        <f>IFERROR(INDEX(Program_01!$BN:$BN,MATCH($B35,Program_01!$A:$A,0)),"")</f>
        <v>0</v>
      </c>
      <c r="AR35" s="184" t="str">
        <f>IFERROR(INDEX(Program_01!$BO:$BO,MATCH($B35,Program_01!$A:$A,0)),"")</f>
        <v>Not Applicable</v>
      </c>
      <c r="AS35" s="184" t="str">
        <f>IFERROR(INDEX(Program_01!$BP:$BP,MATCH($B35,Program_01!$A:$A,0)),"")</f>
        <v>Open</v>
      </c>
      <c r="AT35" s="185" t="str">
        <f>IFERROR(INDEX(Program_01!$BQ:$BQ,MATCH($B35,Program_01!$A:$A,0)),"")</f>
        <v>Contractor</v>
      </c>
      <c r="AU35" s="179" t="str">
        <f>IFERROR(INDEX(Program_01!$BR:$BR,MATCH($B35,Program_01!$A:$A,0)),"")</f>
        <v>15 July 24: Commercial to issue letter to claims, claim suggested to be reviewed by Legal due to termination of SAB. Todate no response form Legal. 
29 Jul 24: Contract terminated 
12 Aug 24: No action required
08 Sep 24: commercial has drafted a CA to increase the contract value. currently under discussion with the Commercial team to explore most suitable mechanism to increase
4 Nov 24: P1 to update
04 Dec 24: Mike to confirm internal way forward in relation to Termination / claims
13 Jan 25: Ditto
27 Jan 25: a presentation was provided to the CEO on 14 Jan 2025.  
24 Feb 25 - 07 Sep 26: Ditto</v>
      </c>
      <c r="AV35" s="186" t="str">
        <f t="shared" si="1"/>
        <v/>
      </c>
      <c r="AW35" s="186" t="str">
        <f t="shared" si="13"/>
        <v>OPEN</v>
      </c>
      <c r="AX35" s="186" t="str">
        <f t="shared" si="2"/>
        <v>OPEN</v>
      </c>
      <c r="AY35" s="181">
        <f t="shared" si="14"/>
        <v>45314</v>
      </c>
      <c r="AZ35" s="181" t="str">
        <f t="shared" si="23"/>
        <v>N/A</v>
      </c>
      <c r="BA35" s="181" t="str">
        <f t="shared" si="4"/>
        <v/>
      </c>
      <c r="BC35" s="181">
        <f>IFERROR(INDEX(Program_01!BF:BF,MATCH($B35,Program_01!$A:$A,0)),"")</f>
        <v>45314</v>
      </c>
      <c r="BD35" s="188" t="str">
        <f ca="1">IFERROR(INDEX(Program_01!BG:BG,MATCH($B35,Program_01!$A:$A,0)),"")</f>
        <v>N/A</v>
      </c>
      <c r="BE35" s="181">
        <f>IFERROR(INDEX(Program_01!BH:BH,MATCH($B35,Program_01!$A:$A,0)),"")</f>
        <v>0</v>
      </c>
      <c r="BF35" s="189" t="str">
        <f ca="1">IFERROR(INDEX(Program_01!BI:BI,MATCH($B35,Program_01!$A:$A,0)),"")</f>
        <v>N/A</v>
      </c>
      <c r="BG35" s="181">
        <f>IFERROR(INDEX(Program_01!BJ:BJ,MATCH($B35,Program_01!$A:$A,0)),"")</f>
        <v>0</v>
      </c>
      <c r="BH35" s="189">
        <f ca="1">IFERROR(INDEX(Program_01!BK:BK,MATCH($B35,Program_01!$A:$A,0)),"")</f>
        <v>0</v>
      </c>
      <c r="BI35" s="181">
        <f>IFERROR(INDEX(Program_01!BL:BL,MATCH($B35,Program_01!$A:$A,0)),"")</f>
        <v>0</v>
      </c>
      <c r="BK35" s="190" t="str">
        <f>IFERROR(IF(INDEX(Program_01!$BX:$BX,MATCH($B35,Program_01!$A:$A,0))=DATE(1900,1,0),"",INDEX(Program_01!$BX:$BX,MATCH($B35,Program_01!$A:$A,0))),"")</f>
        <v/>
      </c>
      <c r="BL35" s="190" t="str">
        <f>IFERROR(IF(INDEX(Program_01!$BY:$BY,MATCH($B35,Program_01!$A:$A,0))=DATE(1900,1,0),"",INDEX(Program_01!$BY:$BY,MATCH($B35,Program_01!$A:$A,0))),"")</f>
        <v/>
      </c>
      <c r="BM35" s="188" t="str">
        <f t="shared" ca="1" si="15"/>
        <v/>
      </c>
      <c r="BN35" s="191">
        <f t="shared" ca="1" si="16"/>
        <v>0</v>
      </c>
      <c r="BO35" s="188" t="str">
        <f t="shared" si="5"/>
        <v/>
      </c>
      <c r="BP35" s="188" t="str">
        <f t="shared" si="6"/>
        <v/>
      </c>
      <c r="BQ35" s="188" t="str">
        <f t="shared" ca="1" si="17"/>
        <v/>
      </c>
      <c r="BR35" s="181" t="str">
        <f t="shared" ca="1" si="24"/>
        <v/>
      </c>
      <c r="BT35" s="190" t="str">
        <f>IFERROR(IF(INDEX(Program_01!$BZ:$BZ,MATCH($B35,Program_01!$A:$A,0))=DATE(1900,1,0),"",INDEX(Program_01!$BZ:$BZ,MATCH($B35,Program_01!$A:$A,0))),"")</f>
        <v/>
      </c>
      <c r="BU35" s="182" t="str">
        <f t="shared" ca="1" si="22"/>
        <v/>
      </c>
      <c r="BV35" s="188" t="str">
        <f t="shared" si="7"/>
        <v/>
      </c>
      <c r="BW35" s="188" t="str">
        <f t="shared" si="8"/>
        <v/>
      </c>
      <c r="BX35" s="188" t="str">
        <f t="shared" ca="1" si="9"/>
        <v/>
      </c>
      <c r="BY35" s="181" t="str">
        <f t="shared" ca="1" si="25"/>
        <v/>
      </c>
      <c r="CA35" s="192" t="str">
        <f t="shared" si="20"/>
        <v>N</v>
      </c>
      <c r="CB35" s="192" t="str">
        <f t="shared" si="21"/>
        <v>N</v>
      </c>
      <c r="CC35" s="193">
        <f>IFERROR(INDEX(Program_01!$CE:$CE,MATCH($B35,Program_01!$A:$A,0)),"")</f>
        <v>45376</v>
      </c>
      <c r="CD35" s="193">
        <f t="shared" ref="CD35:CD64" si="26">MAX(S35,CC35)</f>
        <v>45376</v>
      </c>
      <c r="CG35" s="194" t="str">
        <f>IFERROR(INDEX(Program_01!$AT:$AT,MATCH($B35,Program_01!$A:$A,0)),"")</f>
        <v>N/A</v>
      </c>
      <c r="CH35" s="194">
        <f>IFERROR(INDEX(Program_01!$AX:$AX,MATCH($B35,Program_01!$A:$A,0)),"")</f>
        <v>0</v>
      </c>
    </row>
    <row r="36" spans="1:87" s="187" customFormat="1" ht="404">
      <c r="A36" s="174" t="s">
        <v>1</v>
      </c>
      <c r="B36" s="175">
        <v>18</v>
      </c>
      <c r="C36" s="176" t="str">
        <f>IFERROR(INDEX(Program_01!$B:$B,MATCH($B36,Program_01!$A:$A,0)),"")</f>
        <v>FULL TIA EAR</v>
      </c>
      <c r="D36" s="176" t="str">
        <f>IFERROR(INDEX(Program_01!$D:$D,MATCH($B36,Program_01!$A:$A,0)),"")</f>
        <v>1TB01100F02</v>
      </c>
      <c r="E36" s="176" t="str">
        <f>IFERROR(INDEX(Program_01!$E:$E,MATCH($B36,Program_01!$A:$A,0)),"")</f>
        <v>1.TB.01.100.00</v>
      </c>
      <c r="F36" s="176" t="str">
        <f>IFERROR(INDEX(Program_01!$F:$F,MATCH($B36,Program_01!$A:$A,0)),"")</f>
        <v>Marina Village - Wide</v>
      </c>
      <c r="G36" s="176" t="str">
        <f>IFERROR(INDEX(Program_01!$G:$G,MATCH($B36,Program_01!$A:$A,0)),"")</f>
        <v>Site Offices and Welfare Facilities Design, Supply and Installation Package for AMAALA Triple Bay (Call off Order No: 010)</v>
      </c>
      <c r="H36" s="176" t="str">
        <f>IFERROR(INDEX(Program_01!$H:$H,MATCH($B36,Program_01!$A:$A,0)),"")</f>
        <v>Al Masaood Bergum L.L.C - Dubai Branch</v>
      </c>
      <c r="I36" s="176" t="str">
        <f t="shared" si="11"/>
        <v>EOT</v>
      </c>
      <c r="J36" s="176">
        <f>IFERROR(INDEX(Program_01!$I:$I,MATCH($B36,Program_01!$A:$A,0)),"")</f>
        <v>1</v>
      </c>
      <c r="K36" s="176">
        <f>IFERROR(INDEX(Program_01!$J:$J,MATCH($B36,Program_01!$A:$A,0)),"")</f>
        <v>0</v>
      </c>
      <c r="L36" s="176">
        <f>IFERROR(INDEX(Program_01!$K:$K,MATCH($B36,Program_01!$A:$A,0)),"")</f>
        <v>0</v>
      </c>
      <c r="M36" s="176">
        <f>IFERROR(INDEX(Program_01!$L:$L,MATCH($B36,Program_01!$A:$A,0)),"")</f>
        <v>0</v>
      </c>
      <c r="N36" s="176">
        <f>IFERROR(INDEX(Program_01!$L:$L,MATCH($B36,Program_01!$A:$A,0)),"")</f>
        <v>0</v>
      </c>
      <c r="O36" s="176">
        <f>IFERROR(INDEX(Program_01!$N:$N,MATCH($B36,Program_01!$A:$A,0)),"")</f>
        <v>0</v>
      </c>
      <c r="P36" s="178"/>
      <c r="Q36" s="179" t="str">
        <f>IFERROR(INDEX(Program_01!$C:$C,MATCH($B36,Program_01!$A:$A,0)),"")</f>
        <v xml:space="preserve"> Request for an Extension of Time Claim-COO#10</v>
      </c>
      <c r="R36" s="176" t="str">
        <f>IFERROR(INDEX(Program_01!$V:$V,MATCH($B36,Program_01!$A:$A,0)),"")</f>
        <v>1TB01100-100F02-AMB-LTR-0020</v>
      </c>
      <c r="S36" s="180">
        <f>IFERROR(INDEX(Program_01!$W:$W,MATCH($B36,Program_01!$A:$A,0)),"")</f>
        <v>45374</v>
      </c>
      <c r="T36" s="178"/>
      <c r="U36" s="176" t="str">
        <f>IFERROR(INDEX(Program_01!$Z:$Z,MATCH($B36,Program_01!$A:$A,0)),"")</f>
        <v>1TB01100-100F02-AMA-LTR-0019</v>
      </c>
      <c r="V36" s="181">
        <f>IFERROR(INDEX(Program_01!$AA:$AA,MATCH($B36,Program_01!$A:$A,0)),"")</f>
        <v>45398</v>
      </c>
      <c r="W36" s="182">
        <f t="shared" ca="1" si="0"/>
        <v>24</v>
      </c>
      <c r="X36" s="51"/>
      <c r="Y36" s="179" t="str">
        <f>IFERROR(INDEX(Program_01!$BD:$BD,MATCH($B36,Program_01!$A:$A,0)),"")</f>
        <v>1TB01100-100F02-AMB-LTR-0020 dated 23 Mar 24
1TB01100-100F02-AMA-LTR-0019 dated 18 Apr 24
1TB01100-100F02-AMB-LTR-0022 dated 28 Apr 24
1TB01100-100F02-AMA-LTR-0025 dated 14 Aug 24
1TB01100-100F02-AMB-LTR-0025 dated 22 Aug 24
1TB01100-100F02-AMB-LTR-0028 dated 08 Oct 24
1TB01100-100F02-AMA-LTR-0028 dated 17 Oct 24
1TB01100-100F02-AMB-LTR-0030 dated 05 Nov 24
1TB01100-100F02-AMA-LTR-0029 dated 25 Nov 24
1TB01100-100F02-AMB-LTR-0035 dated 16 Dec 24</v>
      </c>
      <c r="Z36" s="51"/>
      <c r="AA36" s="183" t="str">
        <f>IFERROR(IF((INDEX(Program_01!$AD:$AD,MATCH($B36,Program_01!$A:$A,0))=""),INDEX(Program_01!$V:$V,MATCH($B36,Program_01!$A:$A,0)),INDEX(Program_01!$AD:$AD,MATCH($B36,Program_01!$A:$A,0))),"")</f>
        <v>1TB01100-100F02-AMB-LTR-0022 dated 28 Apr 24
1TB01100-100F02-AMB-LTR-0024 dated 18 Jul 24
1TB01100-100F02-AMB-LTR-0025 dated 22 Aug 24
1TB01100-100F10-AMB-LTR-0039 dated  28 April 2025</v>
      </c>
      <c r="AB36" s="147">
        <f>IFERROR(IF((INDEX(Program_01!$AE:$AE,MATCH($B36,Program_01!$A:$A,0))=""),INDEX(Program_01!$W:$W,MATCH($B36,Program_01!$A:$A,0)),INDEX(Program_01!$AE:$AE,MATCH($B36,Program_01!$A:$A,0))),"")</f>
        <v>45775</v>
      </c>
      <c r="AC36" s="183">
        <f>IFERROR(IF($I36="EOT",INDEX(Program_01!$AN:$AN,MATCH($B36,Program_01!$A:$A,0)),INDEX(Program_01!$AY:$AY,MATCH($B36,Program_01!$A:$A,0))),"")</f>
        <v>0</v>
      </c>
      <c r="AD36" s="181" t="str">
        <f>IFERROR(IF($I36="EOT",INDEX(Program_01!$AO:$AO,MATCH($B36,Program_01!$A:$A,0)),INDEX(Program_01!$AZ:$AZ,MATCH($B36,Program_01!$A:$A,0))),"")</f>
        <v>N/A</v>
      </c>
      <c r="AE36" s="51"/>
      <c r="AF36" s="183"/>
      <c r="AG36" s="181"/>
      <c r="AH36" s="183">
        <f>IF(OR($D36="",$AS36="VO Issued",$AS36="Open"),"",IF(OR($AC36="Rejected",$AC36="Superseded",$AC36="Dealt Separately"),$AC36,IF($I36="EOT",INDEX(Program_01!$AR:$AR,MATCH($B36,Program_01!$A:$A,0)),INDEX(Program_01!$BB:$BB,MATCH($B36,Program_01!$A:$A,0)))))</f>
        <v>0</v>
      </c>
      <c r="AI36" s="181" t="str">
        <f>IF(OR($A36="",$B36="",$I36="",$AS36="VO Issued",$AS36="Open"),"",IF(OR($AD36="N/A"),$AD36,IF($I36="EOT",INDEX(Program_01!$AS:$AS,MATCH($B36,Program_01!$A:$A,0)),INDEX(Program_01!$BC:$BC,MATCH($B36,Program_01!$A:$A,0)))))</f>
        <v>N/A</v>
      </c>
      <c r="AJ36" s="183">
        <f>IF(OR($D36="",$I36="",$AS36="Determination Issued",$AS36="Rejected",$AS36="Open"),"",IF(OR($AH36="Rejected",$AH36="Dealt Separately",$AH36="Superseded",$AH36="Withdrawn"),"N/A",IF($I36="EOT",INDEX(Program_01!AR:AR,MATCH($B36,Program_01!A:A,0)),INDEX(Program_01!BB:BB,MATCH($B36,Program_01!A:A,0)))))</f>
        <v>0</v>
      </c>
      <c r="AK36" s="181">
        <f>IF(OR($A36="",$B36="",$I36="",$AS36="Determination Issued",$AS36="Rejected",$AS36="Open"),"",IF($AJ36="N/A","N/A",IF($I36="EOT",INDEX(Program_01!AS:AS,MATCH($B36,Program_01!A:A,0)),INDEX(Program_01!BC:BC,MATCH($B36,Program_01!A:A,0)))))</f>
        <v>0</v>
      </c>
      <c r="AL36" s="51"/>
      <c r="AM36" s="184">
        <f>IFERROR(INDEX(Program_01!$BT:$BT,MATCH($B36,Program_01!$A:$A,0)),"")</f>
        <v>0</v>
      </c>
      <c r="AN36" s="184">
        <f>IFERROR(INDEX(Program_01!$BU:$BU,MATCH($B36,Program_01!$A:$A,0)),"")</f>
        <v>0</v>
      </c>
      <c r="AO36" s="184">
        <f>IFERROR(INDEX(Program_01!$BV:$BV,MATCH($B36,Program_01!$A:$A,0)),"")</f>
        <v>0</v>
      </c>
      <c r="AP36" s="51" t="str">
        <f t="shared" si="12"/>
        <v/>
      </c>
      <c r="AQ36" s="184">
        <f>IFERROR(INDEX(Program_01!$BN:$BN,MATCH($B36,Program_01!$A:$A,0)),"")</f>
        <v>0</v>
      </c>
      <c r="AR36" s="184" t="str">
        <f>IFERROR(INDEX(Program_01!$BO:$BO,MATCH($B36,Program_01!$A:$A,0)),"")</f>
        <v>Not Applicable</v>
      </c>
      <c r="AS36" s="184" t="str">
        <f>IFERROR(INDEX(Program_01!$BP:$BP,MATCH($B36,Program_01!$A:$A,0)),"")</f>
        <v>Dealt Separately</v>
      </c>
      <c r="AT36" s="185" t="str">
        <f>IFERROR(INDEX(Program_01!$BQ:$BQ,MATCH($B36,Program_01!$A:$A,0)),"")</f>
        <v>Closed</v>
      </c>
      <c r="AU36" s="179" t="str">
        <f>IFERROR(INDEX(Program_01!$BR:$BR,MATCH($B36,Program_01!$A:$A,0)),"")</f>
        <v>02 Jun 25: Received AMB EoT Claim  ref.1TB01100-100F10-AMB-LTR-0039 dated 28 April 2025. AMB seeking Time and cost of SAR 8.4 million.  Commercial Team preparing a draft EoT Report and in parallel finalising AMB Final Account, in view of negotiating for the Contractor to drop the Prolomngation Cost claim.
15 Jun 25: Ditto. Targeted to complete the draft report is 30 June 2025.
30 Jun 25: Ditto. Targeted to complete the draft report is 30 July 2025.
14 Jul 25: Ditto. Targeted to complete the draft report is 30 July 2025.
28 Jul 25: Ditto
12 August 25: New direction from Renton (Infractructure CM)  - a wrap-up of all AMB call-offs as part of their final account with possibly no need to do EARs. Approval to be disccused with PG. Report issues:  no backup documents on Contractor's Concurrent delays, other then vague statements in some letters, scattered across COOs. We know that Al Masaood was late due to underesources, but nothing to prove that.
25 August 25: Ditto - chase update from Renton/PG
08 Sep 25: action with Renton to prepare the RFA for the close out 
06 Oct 25: ditto
03 Nov 25: ditto
17 Nov 25: Ditto
21 Nov 25: Renton advised Commercial to initiate the required RFA – for a waiver on LDs only in exchange that AMB cease all EOT pursuit
01 Dec 25: RFA to waive LDs approved. RSG  letter 1TB01100-100F02-AMA-LTR-0032 dated 25 Nov 2025 issued to AMB confirming waiver of LDs and withdrawal of Claims. Awaiting AMB reply // commercial to clarify whether its a LD related RFA or a final account RFA
14 Dec 25:  // commercial to clarify whether its a LD related RFA or a final account RFA (Commercial Comment : The RFA is for both FA and LD waiver)
12 Jan 26: Ditto
27 Jan 26: Ditto. MVW commercial consider this closed. FA including LDs waiver signed and agreed by both parties. (Comm to provide ref )
07 Feb 26: Ditto. MVW commercial consider this closed. FA ( AMA01100-GENCORR-002209) including LDs waiver signed and agreed by both parties. (Comm to provide ref )</v>
      </c>
      <c r="AV36" s="186" t="str">
        <f t="shared" si="1"/>
        <v/>
      </c>
      <c r="AW36" s="186" t="str">
        <f t="shared" si="13"/>
        <v>CLOSED</v>
      </c>
      <c r="AX36" s="186" t="str">
        <f t="shared" si="2"/>
        <v>CLOSED</v>
      </c>
      <c r="AY36" s="181">
        <f t="shared" si="14"/>
        <v>45775</v>
      </c>
      <c r="AZ36" s="181" t="str">
        <f t="shared" si="23"/>
        <v>N/A</v>
      </c>
      <c r="BA36" s="181" t="str">
        <f t="shared" si="4"/>
        <v>N/A</v>
      </c>
      <c r="BC36" s="181">
        <f>IFERROR(INDEX(Program_01!BF:BF,MATCH($B36,Program_01!$A:$A,0)),"")</f>
        <v>45775</v>
      </c>
      <c r="BD36" s="188" t="str">
        <f ca="1">IFERROR(INDEX(Program_01!BG:BG,MATCH($B36,Program_01!$A:$A,0)),"")</f>
        <v>N/A</v>
      </c>
      <c r="BE36" s="181">
        <f>IFERROR(INDEX(Program_01!BH:BH,MATCH($B36,Program_01!$A:$A,0)),"")</f>
        <v>0</v>
      </c>
      <c r="BF36" s="189">
        <f ca="1">IFERROR(INDEX(Program_01!BI:BI,MATCH($B36,Program_01!$A:$A,0)),"")</f>
        <v>0</v>
      </c>
      <c r="BG36" s="181">
        <f>IFERROR(INDEX(Program_01!BJ:BJ,MATCH($B36,Program_01!$A:$A,0)),"")</f>
        <v>0</v>
      </c>
      <c r="BH36" s="189">
        <f ca="1">IFERROR(INDEX(Program_01!BK:BK,MATCH($B36,Program_01!$A:$A,0)),"")</f>
        <v>0</v>
      </c>
      <c r="BI36" s="181">
        <f>IFERROR(INDEX(Program_01!BL:BL,MATCH($B36,Program_01!$A:$A,0)),"")</f>
        <v>0</v>
      </c>
      <c r="BK36" s="190">
        <f>IFERROR(IF(INDEX(Program_01!$BX:$BX,MATCH($B36,Program_01!$A:$A,0))=DATE(1900,1,0),"",INDEX(Program_01!$BX:$BX,MATCH($B36,Program_01!$A:$A,0))),"")</f>
        <v>46054</v>
      </c>
      <c r="BL36" s="190" t="str">
        <f>IFERROR(IF(INDEX(Program_01!$BY:$BY,MATCH($B36,Program_01!$A:$A,0))=DATE(1900,1,0),"",INDEX(Program_01!$BY:$BY,MATCH($B36,Program_01!$A:$A,0))),"")</f>
        <v/>
      </c>
      <c r="BM36" s="188" t="str">
        <f t="shared" ca="1" si="15"/>
        <v/>
      </c>
      <c r="BN36" s="191">
        <f t="shared" ca="1" si="16"/>
        <v>0</v>
      </c>
      <c r="BO36" s="188" t="str">
        <f t="shared" si="5"/>
        <v/>
      </c>
      <c r="BP36" s="188" t="str">
        <f t="shared" si="6"/>
        <v>1</v>
      </c>
      <c r="BQ36" s="188" t="str">
        <f t="shared" ca="1" si="17"/>
        <v/>
      </c>
      <c r="BR36" s="181" t="str">
        <f t="shared" ca="1" si="24"/>
        <v/>
      </c>
      <c r="BT36" s="190" t="str">
        <f>IFERROR(IF(INDEX(Program_01!$BZ:$BZ,MATCH($B36,Program_01!$A:$A,0))=DATE(1900,1,0),"",INDEX(Program_01!$BZ:$BZ,MATCH($B36,Program_01!$A:$A,0))),"")</f>
        <v/>
      </c>
      <c r="BU36" s="182" t="str">
        <f t="shared" ca="1" si="22"/>
        <v/>
      </c>
      <c r="BV36" s="188" t="str">
        <f t="shared" si="7"/>
        <v/>
      </c>
      <c r="BW36" s="188" t="str">
        <f t="shared" si="8"/>
        <v>1</v>
      </c>
      <c r="BX36" s="188" t="str">
        <f t="shared" ca="1" si="9"/>
        <v/>
      </c>
      <c r="BY36" s="181" t="str">
        <f t="shared" ca="1" si="25"/>
        <v/>
      </c>
      <c r="CA36" s="192" t="str">
        <f t="shared" si="20"/>
        <v>N</v>
      </c>
      <c r="CB36" s="192" t="str">
        <f t="shared" si="21"/>
        <v>N</v>
      </c>
      <c r="CC36" s="193">
        <f>IFERROR(INDEX(Program_01!$CE:$CE,MATCH($B36,Program_01!$A:$A,0)),"")</f>
        <v>45376</v>
      </c>
      <c r="CD36" s="193">
        <f t="shared" si="26"/>
        <v>45376</v>
      </c>
      <c r="CG36" s="194">
        <f>IFERROR(INDEX(Program_01!$AT:$AT,MATCH($B36,Program_01!$A:$A,0)),"")</f>
        <v>0</v>
      </c>
      <c r="CH36" s="194">
        <f>IFERROR(INDEX(Program_01!$AX:$AX,MATCH($B36,Program_01!$A:$A,0)),"")</f>
        <v>0</v>
      </c>
    </row>
    <row r="37" spans="1:87" s="187" customFormat="1" ht="409" customHeight="1">
      <c r="A37" s="174" t="s">
        <v>1</v>
      </c>
      <c r="B37" s="175">
        <v>19</v>
      </c>
      <c r="C37" s="176" t="str">
        <f>IFERROR(INDEX(Program_01!$B:$B,MATCH($B37,Program_01!$A:$A,0)),"")</f>
        <v>FULL TIA EAR</v>
      </c>
      <c r="D37" s="176" t="str">
        <f>IFERROR(INDEX(Program_01!$D:$D,MATCH($B37,Program_01!$A:$A,0)),"")</f>
        <v>1TB01002C23</v>
      </c>
      <c r="E37" s="176" t="str">
        <f>IFERROR(INDEX(Program_01!$E:$E,MATCH($B37,Program_01!$A:$A,0)),"")</f>
        <v>1.TB.01.002.99</v>
      </c>
      <c r="F37" s="176" t="str">
        <f>IFERROR(INDEX(Program_01!$F:$F,MATCH($B37,Program_01!$A:$A,0)),"")</f>
        <v>Marina Lifestyle Hotel &amp; Village</v>
      </c>
      <c r="G37" s="176" t="str">
        <f>IFERROR(INDEX(Program_01!$G:$G,MATCH($B37,Program_01!$A:$A,0)),"")</f>
        <v>Builders Works Package for Marina Lifestyle Hotel</v>
      </c>
      <c r="H37" s="176" t="str">
        <f>IFERROR(INDEX(Program_01!$H:$H,MATCH($B37,Program_01!$A:$A,0)),"")</f>
        <v>Shandong Tiejun Electric Power Engineering Co. LTD. Branch</v>
      </c>
      <c r="I37" s="176" t="str">
        <f t="shared" si="11"/>
        <v>EOT</v>
      </c>
      <c r="J37" s="176">
        <f>IFERROR(INDEX(Program_01!$I:$I,MATCH($B37,Program_01!$A:$A,0)),"")</f>
        <v>1</v>
      </c>
      <c r="K37" s="176">
        <f>IFERROR(INDEX(Program_01!$J:$J,MATCH($B37,Program_01!$A:$A,0)),"")</f>
        <v>0</v>
      </c>
      <c r="L37" s="176">
        <f>IFERROR(INDEX(Program_01!$K:$K,MATCH($B37,Program_01!$A:$A,0)),"")</f>
        <v>0</v>
      </c>
      <c r="M37" s="176">
        <f>IFERROR(INDEX(Program_01!$L:$L,MATCH($B37,Program_01!$A:$A,0)),"")</f>
        <v>0</v>
      </c>
      <c r="N37" s="176">
        <f>IFERROR(INDEX(Program_01!$L:$L,MATCH($B37,Program_01!$A:$A,0)),"")</f>
        <v>0</v>
      </c>
      <c r="O37" s="176">
        <f>IFERROR(INDEX(Program_01!$N:$N,MATCH($B37,Program_01!$A:$A,0)),"")</f>
        <v>0</v>
      </c>
      <c r="P37" s="178"/>
      <c r="Q37" s="179" t="str">
        <f>IFERROR(INDEX(Program_01!$C:$C,MATCH($B37,Program_01!$A:$A,0)),"")</f>
        <v>Requesting for an Extension of Time Claim</v>
      </c>
      <c r="R37" s="176" t="str">
        <f>IFERROR(INDEX(Program_01!$V:$V,MATCH($B37,Program_01!$A:$A,0)),"")</f>
        <v xml:space="preserve">1TB01002-002C23-STE-LTR-0026 </v>
      </c>
      <c r="S37" s="180">
        <f>IFERROR(INDEX(Program_01!$W:$W,MATCH($B37,Program_01!$A:$A,0)),"")</f>
        <v>45389</v>
      </c>
      <c r="T37" s="178"/>
      <c r="U37" s="176" t="str">
        <f>IFERROR(INDEX(Program_01!$Z:$Z,MATCH($B37,Program_01!$A:$A,0)),"")</f>
        <v>1TB01002-002C23-AMA-LTR-0054</v>
      </c>
      <c r="V37" s="181">
        <f>IFERROR(INDEX(Program_01!$AA:$AA,MATCH($B37,Program_01!$A:$A,0)),"")</f>
        <v>45440</v>
      </c>
      <c r="W37" s="182">
        <f t="shared" ca="1" si="0"/>
        <v>51</v>
      </c>
      <c r="X37" s="51"/>
      <c r="Y37" s="179" t="str">
        <f>IFERROR(INDEX(Program_01!$BD:$BD,MATCH($B37,Program_01!$A:$A,0)),"")</f>
        <v>1TB01002-002C23-AMA-LTR-0084 dated 10 Sep 24
1TB01002-002C23-AMA-LTR-0090 dated 17 Oct 24
1TB01002-002C23-AMA-LTR-0107 dated 31 Dec 24
1TB01002-002C23-STE-LTR-0098 dated 18 Feb 25
1TB01002-002C23-AMA-LTR-0125 dated 18 Mar 25
1TB01002-002C23-AMA-LTR-0132 dated 18 May 25
1TB01002-002C23-AMA-LTR-0139 on 12 June 2025
 AMA01002-GENCORR-002857 dated 05 Oct 25</v>
      </c>
      <c r="Z37" s="51"/>
      <c r="AA37" s="183" t="str">
        <f>IFERROR(IF((INDEX(Program_01!$AD:$AD,MATCH($B37,Program_01!$A:$A,0))=""),INDEX(Program_01!$V:$V,MATCH($B37,Program_01!$A:$A,0)),INDEX(Program_01!$AD:$AD,MATCH($B37,Program_01!$A:$A,0))),"")</f>
        <v>1TB01002-002C23-STE-LTR-0053 10 Aug 24
1TB01002-002C23-STE-LTR-0055 dated 24 Sep 24
1TB01002-002C23-STE-LTR-0073 dated 06 Nov 24
1TB01002-002C23-STE-LTR-0098 dated 18 Feb 25
1TB01002-002C23-STE-LTR-0107  on 01 Jun 25
1TB01002-002C23-STE-LTR-0126 on 06 Aug 25
STE01002-GENCORR-000598 on 03 Sep 25
1TB01002-002C23-STE-LTR-0137 on 28 Oct 25
1TB01002-002C23-STE-LTR-0148 on 12 Apr 26
AMA01002-GENCORR-003334</v>
      </c>
      <c r="AB37" s="147">
        <f>IFERROR(IF((INDEX(Program_01!$AE:$AE,MATCH($B37,Program_01!$A:$A,0))=""),INDEX(Program_01!$W:$W,MATCH($B37,Program_01!$A:$A,0)),INDEX(Program_01!$AE:$AE,MATCH($B37,Program_01!$A:$A,0))),"")</f>
        <v>46237</v>
      </c>
      <c r="AC37" s="183">
        <f>IFERROR(IF($I37="EOT",INDEX(Program_01!$AN:$AN,MATCH($B37,Program_01!$A:$A,0)),INDEX(Program_01!$AY:$AY,MATCH($B37,Program_01!$A:$A,0))),"")</f>
        <v>0</v>
      </c>
      <c r="AD37" s="181">
        <f>IFERROR(IF($I37="EOT",INDEX(Program_01!$AO:$AO,MATCH($B37,Program_01!$A:$A,0)),INDEX(Program_01!$AZ:$AZ,MATCH($B37,Program_01!$A:$A,0))),"")</f>
        <v>0</v>
      </c>
      <c r="AE37" s="51"/>
      <c r="AF37" s="183"/>
      <c r="AG37" s="181"/>
      <c r="AH37" s="183" t="str">
        <f>IF(OR($D37="",$AS37="VO Issued",$AS37="Open"),"",IF(OR($AC37="Rejected",$AC37="Superseded",$AC37="Dealt Separately"),$AC37,IF($I37="EOT",INDEX(Program_01!$AR:$AR,MATCH($B37,Program_01!$A:$A,0)),INDEX(Program_01!$BB:$BB,MATCH($B37,Program_01!$A:$A,0)))))</f>
        <v/>
      </c>
      <c r="AI37" s="181" t="str">
        <f>IF(OR($A37="",$B37="",$I37="",$AS37="VO Issued",$AS37="Open"),"",IF(OR($AD37="N/A"),$AD37,IF($I37="EOT",INDEX(Program_01!$AS:$AS,MATCH($B37,Program_01!$A:$A,0)),INDEX(Program_01!$BC:$BC,MATCH($B37,Program_01!$A:$A,0)))))</f>
        <v/>
      </c>
      <c r="AJ37" s="183" t="str">
        <f>IF(OR($D37="",$I37="",$AS37="Determination Issued",$AS37="Rejected",$AS37="Open"),"",IF(OR($AH37="Rejected",$AH37="Dealt Separately",$AH37="Superseded",$AH37="Withdrawn"),"N/A",IF($I37="EOT",INDEX(Program_01!AR:AR,MATCH($B37,Program_01!A:A,0)),INDEX(Program_01!BB:BB,MATCH($B37,Program_01!A:A,0)))))</f>
        <v/>
      </c>
      <c r="AK37" s="181" t="str">
        <f>IF(OR($A37="",$B37="",$I37="",$AS37="Determination Issued",$AS37="Rejected",$AS37="Open"),"",IF($AJ37="N/A","N/A",IF($I37="EOT",INDEX(Program_01!AS:AS,MATCH($B37,Program_01!A:A,0)),INDEX(Program_01!BC:BC,MATCH($B37,Program_01!A:A,0)))))</f>
        <v/>
      </c>
      <c r="AL37" s="51"/>
      <c r="AM37" s="184">
        <f>IFERROR(INDEX(Program_01!$BT:$BT,MATCH($B37,Program_01!$A:$A,0)),"")</f>
        <v>0</v>
      </c>
      <c r="AN37" s="184">
        <f>IFERROR(INDEX(Program_01!$BU:$BU,MATCH($B37,Program_01!$A:$A,0)),"")</f>
        <v>0</v>
      </c>
      <c r="AO37" s="184">
        <f>IFERROR(INDEX(Program_01!$BV:$BV,MATCH($B37,Program_01!$A:$A,0)),"")</f>
        <v>0</v>
      </c>
      <c r="AP37" s="51" t="str">
        <f t="shared" si="12"/>
        <v/>
      </c>
      <c r="AQ37" s="184">
        <f>IFERROR(INDEX(Program_01!$BN:$BN,MATCH($B37,Program_01!$A:$A,0)),"")</f>
        <v>0</v>
      </c>
      <c r="AR37" s="184" t="str">
        <f>IFERROR(INDEX(Program_01!$BO:$BO,MATCH($B37,Program_01!$A:$A,0)),"")</f>
        <v>Pending</v>
      </c>
      <c r="AS37" s="184" t="str">
        <f>IFERROR(INDEX(Program_01!$BP:$BP,MATCH($B37,Program_01!$A:$A,0)),"")</f>
        <v>Open</v>
      </c>
      <c r="AT37" s="185" t="str">
        <f>IFERROR(INDEX(Program_01!$BQ:$BQ,MATCH($B37,Program_01!$A:$A,0)),"")</f>
        <v>Planning Team</v>
      </c>
      <c r="AU37" s="179" t="str">
        <f>IFERROR(INDEX(Program_01!$BR:$BR,MATCH($B37,Program_01!$A:$A,0)),"")</f>
        <v>18 May 26: Draft EAR in progress. Under internal review by Commercial team. Target update 07 June 26.
31 May 26 : Target date for EAR 15 June 26
04 Jun 26: Ditto
15 Jun 2026: Ditto, under process with commercial, targeted to subimt for claims review by TBC
29 June 26: Draft EAR Under review with commercial, EAR targeted to submit for claims review by 01 Jul 26 
11 July 26: Draft EAR (updated) issued to Rufino for review on 9th July 26.
13 Jul 26: under review with commercial, Targeted to submit teh claim to claims team by 16 Jul 26
22 Jul 26: Draft EAR sent to claims team for review
27 Jul 26: Ditto, EAR sent back with comments, commercial reverted on the same day addressing the comments
28 Jul 26: EAR sent back to commercial with comments to address // updated draft EAR sent to planning to proceed with TIA
03 Aug 26: EAR reverted with comments for commercial to address, Additional query was issued to Contractor via AMA01002-GENCORR-003334 dated 03 Aug 2026, and was subsequently replied on 04 Aug 2026 via STE01002-RESP-000041.
05 Aug 26: Updated draft EAR sent to claims team for further review
06 Aug 26: EAR sent to commercial to address comments from planning
08 Aug 26: Updated EAR sent to claims team for review prior to planning's TIA
10 Aug 26: Updated EAR sent to planning to proceed with TIA
18 Aug 26: TIA targeted to be concluded by 23 Aug 26
23 Aug 26: Planning reverted with comments as teh contractor hasnt considered teh events covered in DEOT, EAR sent to commercial to include and resubmit updated EAR to to proceed with TIA
23 Aug 26 : -ditto-, action currently with Planning team. 
24 Aug 26: Claims forwarded to commercial 23 Aug 26.  Commercial to update with all know access delay events.  Target 27 Aug 26
06-Sep-26 Under commercial team updates based on the DEOT. Updated EAR to be shared with the Claims team on or before 8 September 2026. TIA to be redone - 18 Sep 2026
16 Sep 26: Updated EAR sent to claims team for review - addressing the planning team's concerns related to DEOT and Right of Access delay event.
21 Sep 26: Claims team targeted to revert by 26 Sep 26
22 Sep 26: updated Draft EAR sent to planning team to commence TIA
05 Oct 26 : Action currently with Planning team</v>
      </c>
      <c r="AV37" s="186" t="str">
        <f t="shared" si="1"/>
        <v/>
      </c>
      <c r="AW37" s="186" t="str">
        <f t="shared" si="13"/>
        <v>OPEN</v>
      </c>
      <c r="AX37" s="186" t="str">
        <f t="shared" si="2"/>
        <v>OPEN</v>
      </c>
      <c r="AY37" s="181">
        <f t="shared" si="14"/>
        <v>46237</v>
      </c>
      <c r="AZ37" s="181" t="str">
        <f t="shared" si="23"/>
        <v/>
      </c>
      <c r="BA37" s="181" t="str">
        <f t="shared" si="4"/>
        <v/>
      </c>
      <c r="BC37" s="181">
        <f>IFERROR(INDEX(Program_01!BF:BF,MATCH($B37,Program_01!$A:$A,0)),"")</f>
        <v>46237</v>
      </c>
      <c r="BD37" s="188">
        <f ca="1">IFERROR(INDEX(Program_01!BG:BG,MATCH($B37,Program_01!$A:$A,0)),"")</f>
        <v>50</v>
      </c>
      <c r="BE37" s="181">
        <f>IFERROR(INDEX(Program_01!BH:BH,MATCH($B37,Program_01!$A:$A,0)),"")</f>
        <v>46287</v>
      </c>
      <c r="BF37" s="189">
        <f ca="1">IFERROR(INDEX(Program_01!BI:BI,MATCH($B37,Program_01!$A:$A,0)),"")</f>
        <v>13</v>
      </c>
      <c r="BG37" s="181">
        <f>IFERROR(INDEX(Program_01!BJ:BJ,MATCH($B37,Program_01!$A:$A,0)),"")</f>
        <v>0</v>
      </c>
      <c r="BH37" s="189">
        <f ca="1">IFERROR(INDEX(Program_01!BK:BK,MATCH($B37,Program_01!$A:$A,0)),"")</f>
        <v>0</v>
      </c>
      <c r="BI37" s="181">
        <f>IFERROR(INDEX(Program_01!BL:BL,MATCH($B37,Program_01!$A:$A,0)),"")</f>
        <v>0</v>
      </c>
      <c r="BK37" s="190" t="str">
        <f>IFERROR(IF(INDEX(Program_01!$BX:$BX,MATCH($B37,Program_01!$A:$A,0))=DATE(1900,1,0),"",INDEX(Program_01!$BX:$BX,MATCH($B37,Program_01!$A:$A,0))),"")</f>
        <v/>
      </c>
      <c r="BL37" s="190" t="str">
        <f>IFERROR(IF(INDEX(Program_01!$BY:$BY,MATCH($B37,Program_01!$A:$A,0))=DATE(1900,1,0),"",INDEX(Program_01!$BY:$BY,MATCH($B37,Program_01!$A:$A,0))),"")</f>
        <v/>
      </c>
      <c r="BM37" s="188" t="str">
        <f t="shared" ca="1" si="15"/>
        <v/>
      </c>
      <c r="BN37" s="191">
        <f t="shared" ca="1" si="16"/>
        <v>63</v>
      </c>
      <c r="BO37" s="188" t="str">
        <f t="shared" si="5"/>
        <v/>
      </c>
      <c r="BP37" s="188" t="str">
        <f t="shared" si="6"/>
        <v/>
      </c>
      <c r="BQ37" s="188" t="str">
        <f t="shared" ca="1" si="17"/>
        <v/>
      </c>
      <c r="BR37" s="181" t="str">
        <f t="shared" ca="1" si="24"/>
        <v/>
      </c>
      <c r="BT37" s="190" t="str">
        <f>IFERROR(IF(INDEX(Program_01!$BZ:$BZ,MATCH($B37,Program_01!$A:$A,0))=DATE(1900,1,0),"",INDEX(Program_01!$BZ:$BZ,MATCH($B37,Program_01!$A:$A,0))),"")</f>
        <v/>
      </c>
      <c r="BU37" s="182" t="str">
        <f t="shared" ca="1" si="22"/>
        <v/>
      </c>
      <c r="BV37" s="188" t="str">
        <f t="shared" si="7"/>
        <v/>
      </c>
      <c r="BW37" s="188" t="str">
        <f t="shared" si="8"/>
        <v/>
      </c>
      <c r="BX37" s="188" t="str">
        <f t="shared" ca="1" si="9"/>
        <v/>
      </c>
      <c r="BY37" s="181" t="str">
        <f t="shared" ca="1" si="25"/>
        <v/>
      </c>
      <c r="CA37" s="192" t="str">
        <f t="shared" si="20"/>
        <v>N</v>
      </c>
      <c r="CB37" s="192" t="str">
        <f t="shared" si="21"/>
        <v>N</v>
      </c>
      <c r="CC37" s="193">
        <f>IFERROR(INDEX(Program_01!$CE:$CE,MATCH($B37,Program_01!$A:$A,0)),"")</f>
        <v>45404</v>
      </c>
      <c r="CD37" s="193">
        <f t="shared" si="26"/>
        <v>45404</v>
      </c>
      <c r="CG37" s="194">
        <f>IFERROR(INDEX(Program_01!$AT:$AT,MATCH($B37,Program_01!$A:$A,0)),"")</f>
        <v>0</v>
      </c>
      <c r="CH37" s="194">
        <f>IFERROR(INDEX(Program_01!$AX:$AX,MATCH($B37,Program_01!$A:$A,0)),"")</f>
        <v>0</v>
      </c>
    </row>
    <row r="38" spans="1:87" s="187" customFormat="1" ht="409.5" customHeight="1">
      <c r="A38" s="174" t="s">
        <v>1</v>
      </c>
      <c r="B38" s="175">
        <v>20</v>
      </c>
      <c r="C38" s="176" t="str">
        <f>IFERROR(INDEX(Program_01!$B:$B,MATCH($B38,Program_01!$A:$A,0)),"")</f>
        <v>FULL TIA EAR</v>
      </c>
      <c r="D38" s="176" t="str">
        <f>IFERROR(INDEX(Program_01!$D:$D,MATCH($B38,Program_01!$A:$A,0)),"")</f>
        <v>1TB01002C03</v>
      </c>
      <c r="E38" s="176" t="str">
        <f>IFERROR(INDEX(Program_01!$E:$E,MATCH($B38,Program_01!$A:$A,0)),"")</f>
        <v>1.TB.01.002.03</v>
      </c>
      <c r="F38" s="176" t="str">
        <f>IFERROR(INDEX(Program_01!$F:$F,MATCH($B38,Program_01!$A:$A,0)),"")</f>
        <v>Marina Lifestyle Hotel &amp; Village</v>
      </c>
      <c r="G38" s="176" t="str">
        <f>IFERROR(INDEX(Program_01!$G:$G,MATCH($B38,Program_01!$A:$A,0)),"")</f>
        <v>Concrete Structure and Civil Works for Marina Lifestyle Hotel</v>
      </c>
      <c r="H38" s="176" t="str">
        <f>IFERROR(INDEX(Program_01!$H:$H,MATCH($B38,Program_01!$A:$A,0)),"")</f>
        <v>MAS Engineering &amp; Construction Company LTD</v>
      </c>
      <c r="I38" s="176" t="str">
        <f t="shared" si="11"/>
        <v>EOT</v>
      </c>
      <c r="J38" s="176">
        <f>IFERROR(INDEX(Program_01!$I:$I,MATCH($B38,Program_01!$A:$A,0)),"")</f>
        <v>1</v>
      </c>
      <c r="K38" s="176">
        <f>IFERROR(INDEX(Program_01!$J:$J,MATCH($B38,Program_01!$A:$A,0)),"")</f>
        <v>0</v>
      </c>
      <c r="L38" s="176">
        <f>IFERROR(INDEX(Program_01!$K:$K,MATCH($B38,Program_01!$A:$A,0)),"")</f>
        <v>0</v>
      </c>
      <c r="M38" s="176">
        <f>IFERROR(INDEX(Program_01!$L:$L,MATCH($B38,Program_01!$A:$A,0)),"")</f>
        <v>0</v>
      </c>
      <c r="N38" s="176">
        <f>IFERROR(INDEX(Program_01!$L:$L,MATCH($B38,Program_01!$A:$A,0)),"")</f>
        <v>0</v>
      </c>
      <c r="O38" s="176">
        <f>IFERROR(INDEX(Program_01!$N:$N,MATCH($B38,Program_01!$A:$A,0)),"")</f>
        <v>0</v>
      </c>
      <c r="P38" s="178"/>
      <c r="Q38" s="179" t="str">
        <f>IFERROR(INDEX(Program_01!$C:$C,MATCH($B38,Program_01!$A:$A,0)),"")</f>
        <v>Interim Extension of Time Claim (EOT #1)</v>
      </c>
      <c r="R38" s="176" t="str">
        <f>IFERROR(INDEX(Program_01!$V:$V,MATCH($B38,Program_01!$A:$A,0)),"")</f>
        <v>1TB01002-002C03-MEC-LTR-0043</v>
      </c>
      <c r="S38" s="180">
        <f>IFERROR(INDEX(Program_01!$W:$W,MATCH($B38,Program_01!$A:$A,0)),"")</f>
        <v>45385</v>
      </c>
      <c r="T38" s="178"/>
      <c r="U38" s="176" t="str">
        <f>IFERROR(INDEX(Program_01!$Z:$Z,MATCH($B38,Program_01!$A:$A,0)),"")</f>
        <v>1TB01002-002C03-AMA-LTR-0074</v>
      </c>
      <c r="V38" s="181">
        <f>IFERROR(INDEX(Program_01!$AA:$AA,MATCH($B38,Program_01!$A:$A,0)),"")</f>
        <v>45445</v>
      </c>
      <c r="W38" s="182">
        <f t="shared" ca="1" si="0"/>
        <v>60</v>
      </c>
      <c r="X38" s="51"/>
      <c r="Y38" s="179" t="str">
        <f>IFERROR(INDEX(Program_01!$BD:$BD,MATCH($B38,Program_01!$A:$A,0)),"")</f>
        <v>1TB01002-002C03-MEC-LTR-0045 dated 22 May 24 - Follow up letter for the EOT claim submission from contractor
1TB01002-002C03-AMA-LTR-0088 dated 15 Sep 24
1TB01002-002C03-MEC-LTR-0064 21 Jan 2025
1TB01002-002C03-MEC-LTR-0066 21 Jan 2025
AMA01002-GENCORR-002275 27 Jan 2025
MEC01002-GENCORR-000197 30 Jan 2025</v>
      </c>
      <c r="Z38" s="51"/>
      <c r="AA38" s="183" t="str">
        <f>IFERROR(IF((INDEX(Program_01!$AD:$AD,MATCH($B38,Program_01!$A:$A,0))=""),INDEX(Program_01!$V:$V,MATCH($B38,Program_01!$A:$A,0)),INDEX(Program_01!$AD:$AD,MATCH($B38,Program_01!$A:$A,0))),"")</f>
        <v>1TB01002-002C03-MEC-LTR-0056 15 Aug 24
1TB01002-002C03-MEC-LTR-0060 19 Dep 24
MEC01002-GENCORR-00019 on 30 Jan 25
MEC01002-GENCORR-000200</v>
      </c>
      <c r="AB38" s="147">
        <f>IFERROR(IF((INDEX(Program_01!$AE:$AE,MATCH($B38,Program_01!$A:$A,0))=""),INDEX(Program_01!$W:$W,MATCH($B38,Program_01!$A:$A,0)),INDEX(Program_01!$AE:$AE,MATCH($B38,Program_01!$A:$A,0))),"")</f>
        <v>45811</v>
      </c>
      <c r="AC38" s="183" t="str">
        <f>IFERROR(IF($I38="EOT",INDEX(Program_01!$AN:$AN,MATCH($B38,Program_01!$A:$A,0)),INDEX(Program_01!$AY:$AY,MATCH($B38,Program_01!$A:$A,0))),"")</f>
        <v>1TB01002-002C03-AMA-LTR-0112</v>
      </c>
      <c r="AD38" s="181">
        <f>IFERROR(IF($I38="EOT",INDEX(Program_01!$AO:$AO,MATCH($B38,Program_01!$A:$A,0)),INDEX(Program_01!$AZ:$AZ,MATCH($B38,Program_01!$A:$A,0))),"")</f>
        <v>45914</v>
      </c>
      <c r="AE38" s="51"/>
      <c r="AF38" s="183"/>
      <c r="AG38" s="181"/>
      <c r="AH38" s="183">
        <f>IF(OR($D38="",$AS38="VO Issued",$AS38="Open"),"",IF(OR($AC38="Rejected",$AC38="Superseded",$AC38="Dealt Separately"),$AC38,IF($I38="EOT",INDEX(Program_01!$AR:$AR,MATCH($B38,Program_01!$A:$A,0)),INDEX(Program_01!$BB:$BB,MATCH($B38,Program_01!$A:$A,0)))))</f>
        <v>0</v>
      </c>
      <c r="AI38" s="181">
        <f>IF(OR($A38="",$B38="",$I38="",$AS38="VO Issued",$AS38="Open"),"",IF(OR($AD38="N/A"),$AD38,IF($I38="EOT",INDEX(Program_01!$AS:$AS,MATCH($B38,Program_01!$A:$A,0)),INDEX(Program_01!$BC:$BC,MATCH($B38,Program_01!$A:$A,0)))))</f>
        <v>0</v>
      </c>
      <c r="AJ38" s="183">
        <f>IF(OR($D38="",$I38="",$AS38="Determination Issued",$AS38="Rejected",$AS38="Open"),"",IF(OR($AH38="Rejected",$AH38="Dealt Separately",$AH38="Superseded",$AH38="Withdrawn"),"N/A",IF($I38="EOT",INDEX(Program_01!AR:AR,MATCH($B38,Program_01!A:A,0)),INDEX(Program_01!BB:BB,MATCH($B38,Program_01!A:A,0)))))</f>
        <v>0</v>
      </c>
      <c r="AK38" s="181">
        <f>IF(OR($A38="",$B38="",$I38="",$AS38="Determination Issued",$AS38="Rejected",$AS38="Open"),"",IF($AJ38="N/A","N/A",IF($I38="EOT",INDEX(Program_01!AS:AS,MATCH($B38,Program_01!A:A,0)),INDEX(Program_01!BC:BC,MATCH($B38,Program_01!A:A,0)))))</f>
        <v>0</v>
      </c>
      <c r="AL38" s="51"/>
      <c r="AM38" s="184">
        <f>IFERROR(INDEX(Program_01!$BT:$BT,MATCH($B38,Program_01!$A:$A,0)),"")</f>
        <v>0</v>
      </c>
      <c r="AN38" s="184">
        <f>IFERROR(INDEX(Program_01!$BU:$BU,MATCH($B38,Program_01!$A:$A,0)),"")</f>
        <v>0</v>
      </c>
      <c r="AO38" s="184">
        <f>IFERROR(INDEX(Program_01!$BV:$BV,MATCH($B38,Program_01!$A:$A,0)),"")</f>
        <v>0</v>
      </c>
      <c r="AP38" s="51" t="str">
        <f t="shared" si="12"/>
        <v/>
      </c>
      <c r="AQ38" s="184">
        <f>IFERROR(INDEX(Program_01!$BN:$BN,MATCH($B38,Program_01!$A:$A,0)),"")</f>
        <v>0</v>
      </c>
      <c r="AR38" s="184" t="str">
        <f>IFERROR(INDEX(Program_01!$BO:$BO,MATCH($B38,Program_01!$A:$A,0)),"")</f>
        <v>Assessment Report Issued</v>
      </c>
      <c r="AS38" s="184" t="str">
        <f>IFERROR(INDEX(Program_01!$BP:$BP,MATCH($B38,Program_01!$A:$A,0)),"")</f>
        <v>EI Issued</v>
      </c>
      <c r="AT38" s="185" t="str">
        <f>IFERROR(INDEX(Program_01!$BQ:$BQ,MATCH($B38,Program_01!$A:$A,0)),"")</f>
        <v>Closed</v>
      </c>
      <c r="AU38" s="179" t="str">
        <f>IFERROR(INDEX(Program_01!$BR:$BR,MATCH($B38,Program_01!$A:$A,0)),"")</f>
        <v>06 Aug 25: Draft report sent back to commercial with comments on DE7.3B to clarify 
12 Aug 25: Sent to Claims on 11 August 2025 for final review/approval before the WF. Targted to revert by 14 Aug 25
15 Aug 25: draft report sent back to commercial with queries
18 Aug 25: Final Draft report sent to Claims for Approval
21 Aug 25: EAR approved by claims and sent back to commercial to initiat WF
24  Aug 25: EAR approved by claims, WF-030277 initiated on 24-08-25
07 Sep 25: EAR approved by GCEO on 04 Sep 25, Cover letter now in WF
14 Sep 25: EAR issued to contractor via 1TB01002-002C03-AMA-LTR-0112. contractor requested .xer file and shared teh same on 15 Sep 25
06 Oct 25: ditto
07 Oct 25: Comm to issue a follow up next week
18 Oct 25: reference to the Contractor's letter reference with 1TB01002-002C03-MEC-LTR-0074 dated 8th Oct 25, Contractor responded with disagreement to Employer’s assessment Report issued to the Contractor on 14th Sep 25. Draft response to disagreement letter sent to Contractor on 15 Oct 25 (via email), planning input pending. The Contractor requested the meeting to discuss a way forward. 
20 Oct 25: Meeting scheduled with the contractor for this week, comm to prepare draft response and submit to claims team for review
22 Oct 25: Draft response sent to claims team for review // reviewed and sent back for issuance
30 Oct 25: WF initiated WF-032827, approval pendning with Stuart
01 Nov 25: Ditto
03 Nov 25: 1TB01002-002C03-AMA-LTR-0116 issued to Contractor on 02 Nov 25, rejecting the Contractor's EAR challenge point by point and requesting that all DEs that Contractor does not agree with should be submitted within EOT 02 with porper validation. Commercail to determine EOT 01 by the end of November
17 Nov 25: Ditto, contractor submitted their prolongation cost based on Employer's EOT 1 report, comm to advise the contractor to formally accept the EOT 1 
01 Dec 25: Commercial to issue EI 
14 Dec 25: Draft determination letter/EI sent to Claims to check // claims responded on 14 Dec 25
15 Dec 25: letter put in WF-034621
21 Dec '25 : Employer's Instruction to formalize the EOT has been formalized to MAS via 1TB01002-002C03-AMA-LTR-0124.</v>
      </c>
      <c r="AV38" s="186" t="str">
        <f t="shared" si="1"/>
        <v/>
      </c>
      <c r="AW38" s="186" t="str">
        <f t="shared" si="13"/>
        <v>CLOSED</v>
      </c>
      <c r="AX38" s="186" t="str">
        <f t="shared" si="2"/>
        <v>CLOSED</v>
      </c>
      <c r="AY38" s="181">
        <f t="shared" si="14"/>
        <v>45811</v>
      </c>
      <c r="AZ38" s="181">
        <f t="shared" si="23"/>
        <v>45914</v>
      </c>
      <c r="BA38" s="181">
        <f t="shared" si="4"/>
        <v>0</v>
      </c>
      <c r="BC38" s="181">
        <f>IFERROR(INDEX(Program_01!BF:BF,MATCH($B38,Program_01!$A:$A,0)),"")</f>
        <v>45811</v>
      </c>
      <c r="BD38" s="188" t="str">
        <f ca="1">IFERROR(INDEX(Program_01!BG:BG,MATCH($B38,Program_01!$A:$A,0)),"")</f>
        <v>N/A</v>
      </c>
      <c r="BE38" s="181">
        <f>IFERROR(INDEX(Program_01!BH:BH,MATCH($B38,Program_01!$A:$A,0)),"")</f>
        <v>0</v>
      </c>
      <c r="BF38" s="189">
        <f ca="1">IFERROR(INDEX(Program_01!BI:BI,MATCH($B38,Program_01!$A:$A,0)),"")</f>
        <v>0</v>
      </c>
      <c r="BG38" s="181">
        <f>IFERROR(INDEX(Program_01!BJ:BJ,MATCH($B38,Program_01!$A:$A,0)),"")</f>
        <v>0</v>
      </c>
      <c r="BH38" s="189">
        <f ca="1">IFERROR(INDEX(Program_01!BK:BK,MATCH($B38,Program_01!$A:$A,0)),"")</f>
        <v>0</v>
      </c>
      <c r="BI38" s="181">
        <f>IFERROR(INDEX(Program_01!BL:BL,MATCH($B38,Program_01!$A:$A,0)),"")</f>
        <v>0</v>
      </c>
      <c r="BK38" s="190">
        <f>IFERROR(IF(INDEX(Program_01!$BX:$BX,MATCH($B38,Program_01!$A:$A,0))=DATE(1900,1,0),"",INDEX(Program_01!$BX:$BX,MATCH($B38,Program_01!$A:$A,0))),"")</f>
        <v>45914</v>
      </c>
      <c r="BL38" s="190" t="str">
        <f>IFERROR(IF(INDEX(Program_01!$BY:$BY,MATCH($B38,Program_01!$A:$A,0))=DATE(1900,1,0),"",INDEX(Program_01!$BY:$BY,MATCH($B38,Program_01!$A:$A,0))),"")</f>
        <v/>
      </c>
      <c r="BM38" s="188">
        <f t="shared" ca="1" si="15"/>
        <v>103</v>
      </c>
      <c r="BN38" s="191">
        <f t="shared" ca="1" si="16"/>
        <v>103</v>
      </c>
      <c r="BO38" s="188">
        <f t="shared" ca="1" si="5"/>
        <v>103</v>
      </c>
      <c r="BP38" s="188" t="str">
        <f t="shared" si="6"/>
        <v>1</v>
      </c>
      <c r="BQ38" s="188" t="str">
        <f t="shared" ca="1" si="17"/>
        <v/>
      </c>
      <c r="BR38" s="181" t="str">
        <f t="shared" ca="1" si="24"/>
        <v/>
      </c>
      <c r="BT38" s="190" t="str">
        <f>IFERROR(IF(INDEX(Program_01!$BZ:$BZ,MATCH($B38,Program_01!$A:$A,0))=DATE(1900,1,0),"",INDEX(Program_01!$BZ:$BZ,MATCH($B38,Program_01!$A:$A,0))),"")</f>
        <v/>
      </c>
      <c r="BU38" s="182" t="str">
        <f t="shared" ca="1" si="22"/>
        <v/>
      </c>
      <c r="BV38" s="188" t="str">
        <f t="shared" si="7"/>
        <v/>
      </c>
      <c r="BW38" s="188" t="str">
        <f t="shared" si="8"/>
        <v>1</v>
      </c>
      <c r="BX38" s="188" t="str">
        <f t="shared" ca="1" si="9"/>
        <v/>
      </c>
      <c r="BY38" s="181" t="str">
        <f t="shared" ca="1" si="25"/>
        <v/>
      </c>
      <c r="CA38" s="192" t="str">
        <f t="shared" si="20"/>
        <v>Y</v>
      </c>
      <c r="CB38" s="192" t="str">
        <f t="shared" si="21"/>
        <v>N</v>
      </c>
      <c r="CC38" s="193">
        <f>IFERROR(INDEX(Program_01!$CE:$CE,MATCH($B38,Program_01!$A:$A,0)),"")</f>
        <v>45404</v>
      </c>
      <c r="CD38" s="193">
        <f t="shared" si="26"/>
        <v>45404</v>
      </c>
      <c r="CG38" s="194">
        <f>IFERROR(INDEX(Program_01!$AT:$AT,MATCH($B38,Program_01!$A:$A,0)),"")</f>
        <v>0</v>
      </c>
      <c r="CH38" s="194">
        <f>IFERROR(INDEX(Program_01!$AX:$AX,MATCH($B38,Program_01!$A:$A,0)),"")</f>
        <v>0</v>
      </c>
    </row>
    <row r="39" spans="1:87" s="187" customFormat="1" ht="170">
      <c r="A39" s="174" t="s">
        <v>1</v>
      </c>
      <c r="B39" s="175">
        <v>21</v>
      </c>
      <c r="C39" s="176" t="str">
        <f>IFERROR(INDEX(Program_01!$B:$B,MATCH($B39,Program_01!$A:$A,0)),"")</f>
        <v>FULL TIA EAR</v>
      </c>
      <c r="D39" s="176" t="str">
        <f>IFERROR(INDEX(Program_01!$D:$D,MATCH($B39,Program_01!$A:$A,0)),"")</f>
        <v>1TB01006C03</v>
      </c>
      <c r="E39" s="176" t="str">
        <f>IFERROR(INDEX(Program_01!$E:$E,MATCH($B39,Program_01!$A:$A,0)),"")</f>
        <v>1.TB.01.006.99</v>
      </c>
      <c r="F39" s="176" t="str">
        <f>IFERROR(INDEX(Program_01!$F:$F,MATCH($B39,Program_01!$A:$A,0)),"")</f>
        <v>Village Boutique Hotel</v>
      </c>
      <c r="G39" s="176" t="str">
        <f>IFERROR(INDEX(Program_01!$G:$G,MATCH($B39,Program_01!$A:$A,0)),"")</f>
        <v>Concrete Structure and Civil Works for Village Boutique Hotel</v>
      </c>
      <c r="H39" s="176" t="str">
        <f>IFERROR(INDEX(Program_01!$H:$H,MATCH($B39,Program_01!$A:$A,0)),"")</f>
        <v>Mounes Mohamed Al Shayeb and Partners for Civil Construction - MOBCO</v>
      </c>
      <c r="I39" s="176" t="str">
        <f t="shared" si="11"/>
        <v>EOT</v>
      </c>
      <c r="J39" s="176">
        <f>IFERROR(INDEX(Program_01!$I:$I,MATCH($B39,Program_01!$A:$A,0)),"")</f>
        <v>1</v>
      </c>
      <c r="K39" s="176">
        <f>IFERROR(INDEX(Program_01!$J:$J,MATCH($B39,Program_01!$A:$A,0)),"")</f>
        <v>0</v>
      </c>
      <c r="L39" s="176">
        <f>IFERROR(INDEX(Program_01!$K:$K,MATCH($B39,Program_01!$A:$A,0)),"")</f>
        <v>0</v>
      </c>
      <c r="M39" s="176">
        <f>IFERROR(INDEX(Program_01!$L:$L,MATCH($B39,Program_01!$A:$A,0)),"")</f>
        <v>0</v>
      </c>
      <c r="N39" s="176">
        <f>IFERROR(INDEX(Program_01!$L:$L,MATCH($B39,Program_01!$A:$A,0)),"")</f>
        <v>0</v>
      </c>
      <c r="O39" s="176">
        <f>IFERROR(INDEX(Program_01!$N:$N,MATCH($B39,Program_01!$A:$A,0)),"")</f>
        <v>0</v>
      </c>
      <c r="P39" s="178"/>
      <c r="Q39" s="179" t="str">
        <f>IFERROR(INDEX(Program_01!$C:$C,MATCH($B39,Program_01!$A:$A,0)),"")</f>
        <v>EOT Claim No. 4 - up to 26 Jan 2024 (Delay in Issuance of IFC Drawings, Delay in providing of Bench mark and coordination drawings with SANSRS coordinates, Delay in providing (access) site hand over, Employer's Site Work Instruction (drainage pipe above the raft to relocate inside to the raft at basement 1 area toilets). - update to Item 9</v>
      </c>
      <c r="R39" s="176" t="str">
        <f>IFERROR(INDEX(Program_01!$V:$V,MATCH($B39,Program_01!$A:$A,0)),"")</f>
        <v>1TB01006-006C03-MOO-LTR-0094</v>
      </c>
      <c r="S39" s="180">
        <f>IFERROR(INDEX(Program_01!$W:$W,MATCH($B39,Program_01!$A:$A,0)),"")</f>
        <v>45387</v>
      </c>
      <c r="T39" s="178"/>
      <c r="U39" s="176" t="str">
        <f>IFERROR(INDEX(Program_01!$Z:$Z,MATCH($B39,Program_01!$A:$A,0)),"")</f>
        <v>N/A</v>
      </c>
      <c r="V39" s="181" t="str">
        <f>IFERROR(INDEX(Program_01!$AA:$AA,MATCH($B39,Program_01!$A:$A,0)),"")</f>
        <v>N/A</v>
      </c>
      <c r="W39" s="182" t="str">
        <f t="shared" ca="1" si="0"/>
        <v/>
      </c>
      <c r="X39" s="51"/>
      <c r="Y39" s="179">
        <f>IFERROR(INDEX(Program_01!$BD:$BD,MATCH($B39,Program_01!$A:$A,0)),"")</f>
        <v>0</v>
      </c>
      <c r="Z39" s="51"/>
      <c r="AA39" s="183" t="str">
        <f>IFERROR(IF((INDEX(Program_01!$AD:$AD,MATCH($B39,Program_01!$A:$A,0))=""),INDEX(Program_01!$V:$V,MATCH($B39,Program_01!$A:$A,0)),INDEX(Program_01!$AD:$AD,MATCH($B39,Program_01!$A:$A,0))),"")</f>
        <v>1TB01006-006C03-MOO-LTR-0094</v>
      </c>
      <c r="AB39" s="147">
        <f>IFERROR(IF((INDEX(Program_01!$AE:$AE,MATCH($B39,Program_01!$A:$A,0))=""),INDEX(Program_01!$W:$W,MATCH($B39,Program_01!$A:$A,0)),INDEX(Program_01!$AE:$AE,MATCH($B39,Program_01!$A:$A,0))),"")</f>
        <v>45387</v>
      </c>
      <c r="AC39" s="183" t="str">
        <f>IFERROR(IF($I39="EOT",INDEX(Program_01!$AN:$AN,MATCH($B39,Program_01!$A:$A,0)),INDEX(Program_01!$AY:$AY,MATCH($B39,Program_01!$A:$A,0))),"")</f>
        <v>Canceled</v>
      </c>
      <c r="AD39" s="181" t="str">
        <f>IFERROR(IF($I39="EOT",INDEX(Program_01!$AO:$AO,MATCH($B39,Program_01!$A:$A,0)),INDEX(Program_01!$AZ:$AZ,MATCH($B39,Program_01!$A:$A,0))),"")</f>
        <v>N/A</v>
      </c>
      <c r="AE39" s="51"/>
      <c r="AF39" s="183"/>
      <c r="AG39" s="181"/>
      <c r="AH39" s="183" t="str">
        <f>IF(OR($D39="",$AS39="VO Issued",$AS39="Open"),"",IF(OR($AC39="Rejected",$AC39="Superseded",$AC39="Dealt Separately"),$AC39,IF($I39="EOT",INDEX(Program_01!$AR:$AR,MATCH($B39,Program_01!$A:$A,0)),INDEX(Program_01!$BB:$BB,MATCH($B39,Program_01!$A:$A,0)))))</f>
        <v>Canceled</v>
      </c>
      <c r="AI39" s="181" t="str">
        <f>IF(OR($A39="",$B39="",$I39="",$AS39="VO Issued",$AS39="Open"),"",IF(OR($AD39="N/A"),$AD39,IF($I39="EOT",INDEX(Program_01!$AS:$AS,MATCH($B39,Program_01!$A:$A,0)),INDEX(Program_01!$BC:$BC,MATCH($B39,Program_01!$A:$A,0)))))</f>
        <v>N/A</v>
      </c>
      <c r="AJ39" s="183" t="str">
        <f>IF(OR($D39="",$I39="",$AS39="Determination Issued",$AS39="Rejected",$AS39="Open"),"",IF(OR($AH39="Rejected",$AH39="Dealt Separately",$AH39="Superseded",$AH39="Withdrawn"),"N/A",IF($I39="EOT",INDEX(Program_01!AR:AR,MATCH($B39,Program_01!A:A,0)),INDEX(Program_01!BB:BB,MATCH($B39,Program_01!A:A,0)))))</f>
        <v>Canceled</v>
      </c>
      <c r="AK39" s="181" t="str">
        <f>IF(OR($A39="",$B39="",$I39="",$AS39="Determination Issued",$AS39="Rejected",$AS39="Open"),"",IF($AJ39="N/A","N/A",IF($I39="EOT",INDEX(Program_01!AS:AS,MATCH($B39,Program_01!A:A,0)),INDEX(Program_01!BC:BC,MATCH($B39,Program_01!A:A,0)))))</f>
        <v>N/A</v>
      </c>
      <c r="AL39" s="51"/>
      <c r="AM39" s="184">
        <f>IFERROR(INDEX(Program_01!$BT:$BT,MATCH($B39,Program_01!$A:$A,0)),"")</f>
        <v>0</v>
      </c>
      <c r="AN39" s="184">
        <f>IFERROR(INDEX(Program_01!$BU:$BU,MATCH($B39,Program_01!$A:$A,0)),"")</f>
        <v>0</v>
      </c>
      <c r="AO39" s="184">
        <f>IFERROR(INDEX(Program_01!$BV:$BV,MATCH($B39,Program_01!$A:$A,0)),"")</f>
        <v>0</v>
      </c>
      <c r="AP39" s="51" t="str">
        <f t="shared" si="12"/>
        <v/>
      </c>
      <c r="AQ39" s="184">
        <f>IFERROR(INDEX(Program_01!$BN:$BN,MATCH($B39,Program_01!$A:$A,0)),"")</f>
        <v>0</v>
      </c>
      <c r="AR39" s="184" t="str">
        <f>IFERROR(INDEX(Program_01!$BO:$BO,MATCH($B39,Program_01!$A:$A,0)),"")</f>
        <v>Canceled</v>
      </c>
      <c r="AS39" s="184" t="str">
        <f>IFERROR(INDEX(Program_01!$BP:$BP,MATCH($B39,Program_01!$A:$A,0)),"")</f>
        <v>Canceled</v>
      </c>
      <c r="AT39" s="185" t="str">
        <f>IFERROR(INDEX(Program_01!$BQ:$BQ,MATCH($B39,Program_01!$A:$A,0)),"")</f>
        <v>Closed</v>
      </c>
      <c r="AU39" s="179" t="str">
        <f>IFERROR(INDEX(Program_01!$BR:$BR,MATCH($B39,Program_01!$A:$A,0)),"")</f>
        <v>This line item is a revised submission of Item No. 9 above with a new cut-off date and cannot be considered as a new claim. Therefore this entry has been calcelled and the details has been incorporated in the above claim submission from MOBCO in Item No. 9</v>
      </c>
      <c r="AV39" s="186" t="str">
        <f t="shared" si="1"/>
        <v/>
      </c>
      <c r="AW39" s="186" t="str">
        <f t="shared" si="13"/>
        <v>CLOSED</v>
      </c>
      <c r="AX39" s="186" t="str">
        <f t="shared" si="2"/>
        <v>CLOSED</v>
      </c>
      <c r="AY39" s="181">
        <f t="shared" si="14"/>
        <v>45387</v>
      </c>
      <c r="AZ39" s="181" t="str">
        <f t="shared" si="23"/>
        <v>N/A</v>
      </c>
      <c r="BA39" s="181" t="str">
        <f t="shared" si="4"/>
        <v>N/A</v>
      </c>
      <c r="BC39" s="181">
        <f>IFERROR(INDEX(Program_01!BF:BF,MATCH($B39,Program_01!$A:$A,0)),"")</f>
        <v>45387</v>
      </c>
      <c r="BD39" s="188" t="str">
        <f ca="1">IFERROR(INDEX(Program_01!BG:BG,MATCH($B39,Program_01!$A:$A,0)),"")</f>
        <v>N/A</v>
      </c>
      <c r="BE39" s="181">
        <f>IFERROR(INDEX(Program_01!BH:BH,MATCH($B39,Program_01!$A:$A,0)),"")</f>
        <v>0</v>
      </c>
      <c r="BF39" s="189">
        <f ca="1">IFERROR(INDEX(Program_01!BI:BI,MATCH($B39,Program_01!$A:$A,0)),"")</f>
        <v>0</v>
      </c>
      <c r="BG39" s="181">
        <f>IFERROR(INDEX(Program_01!BJ:BJ,MATCH($B39,Program_01!$A:$A,0)),"")</f>
        <v>0</v>
      </c>
      <c r="BH39" s="189">
        <f ca="1">IFERROR(INDEX(Program_01!BK:BK,MATCH($B39,Program_01!$A:$A,0)),"")</f>
        <v>0</v>
      </c>
      <c r="BI39" s="181">
        <f>IFERROR(INDEX(Program_01!BL:BL,MATCH($B39,Program_01!$A:$A,0)),"")</f>
        <v>0</v>
      </c>
      <c r="BK39" s="190">
        <f>IFERROR(IF(INDEX(Program_01!$BX:$BX,MATCH($B39,Program_01!$A:$A,0))=DATE(1900,1,0),"",INDEX(Program_01!$BX:$BX,MATCH($B39,Program_01!$A:$A,0))),"")</f>
        <v>45413</v>
      </c>
      <c r="BL39" s="190" t="str">
        <f>IFERROR(IF(INDEX(Program_01!$BY:$BY,MATCH($B39,Program_01!$A:$A,0))=DATE(1900,1,0),"",INDEX(Program_01!$BY:$BY,MATCH($B39,Program_01!$A:$A,0))),"")</f>
        <v/>
      </c>
      <c r="BM39" s="188" t="str">
        <f t="shared" ca="1" si="15"/>
        <v/>
      </c>
      <c r="BN39" s="191">
        <f t="shared" ca="1" si="16"/>
        <v>0</v>
      </c>
      <c r="BO39" s="188" t="str">
        <f t="shared" si="5"/>
        <v/>
      </c>
      <c r="BP39" s="188" t="str">
        <f t="shared" si="6"/>
        <v>1</v>
      </c>
      <c r="BQ39" s="188" t="str">
        <f t="shared" ca="1" si="17"/>
        <v/>
      </c>
      <c r="BR39" s="181" t="str">
        <f t="shared" ca="1" si="24"/>
        <v/>
      </c>
      <c r="BT39" s="190" t="str">
        <f>IFERROR(IF(INDEX(Program_01!$BZ:$BZ,MATCH($B39,Program_01!$A:$A,0))=DATE(1900,1,0),"",INDEX(Program_01!$BZ:$BZ,MATCH($B39,Program_01!$A:$A,0))),"")</f>
        <v/>
      </c>
      <c r="BU39" s="182" t="str">
        <f t="shared" ca="1" si="22"/>
        <v/>
      </c>
      <c r="BV39" s="188" t="str">
        <f t="shared" si="7"/>
        <v/>
      </c>
      <c r="BW39" s="188" t="str">
        <f t="shared" si="8"/>
        <v>1</v>
      </c>
      <c r="BX39" s="188" t="str">
        <f t="shared" ca="1" si="9"/>
        <v/>
      </c>
      <c r="BY39" s="181" t="str">
        <f t="shared" ca="1" si="25"/>
        <v/>
      </c>
      <c r="CA39" s="192" t="str">
        <f t="shared" si="20"/>
        <v>N</v>
      </c>
      <c r="CB39" s="192" t="str">
        <f t="shared" si="21"/>
        <v>N</v>
      </c>
      <c r="CC39" s="193">
        <f>IFERROR(INDEX(Program_01!$CE:$CE,MATCH($B39,Program_01!$A:$A,0)),"")</f>
        <v>45404</v>
      </c>
      <c r="CD39" s="193">
        <f t="shared" si="26"/>
        <v>45404</v>
      </c>
      <c r="CG39" s="194">
        <f>IFERROR(INDEX(Program_01!$AT:$AT,MATCH($B39,Program_01!$A:$A,0)),"")</f>
        <v>0</v>
      </c>
      <c r="CH39" s="194">
        <f>IFERROR(INDEX(Program_01!$AX:$AX,MATCH($B39,Program_01!$A:$A,0)),"")</f>
        <v>0</v>
      </c>
    </row>
    <row r="40" spans="1:87" s="187" customFormat="1" ht="363" customHeight="1">
      <c r="A40" s="174" t="s">
        <v>1</v>
      </c>
      <c r="B40" s="175">
        <v>22</v>
      </c>
      <c r="C40" s="176" t="str">
        <f>IFERROR(INDEX(Program_01!$B:$B,MATCH($B40,Program_01!$A:$A,0)),"")</f>
        <v>FULL TIA EAR</v>
      </c>
      <c r="D40" s="176" t="str">
        <f>IFERROR(INDEX(Program_01!$D:$D,MATCH($B40,Program_01!$A:$A,0)),"")</f>
        <v>1TB01005C02</v>
      </c>
      <c r="E40" s="176" t="str">
        <f>IFERROR(INDEX(Program_01!$E:$E,MATCH($B40,Program_01!$A:$A,0)),"")</f>
        <v>1.TB.01.005.01</v>
      </c>
      <c r="F40" s="176" t="str">
        <f>IFERROR(INDEX(Program_01!$F:$F,MATCH($B40,Program_01!$A:$A,0)),"")</f>
        <v>Red Sea Marine Life Institute</v>
      </c>
      <c r="G40" s="176" t="str">
        <f>IFERROR(INDEX(Program_01!$G:$G,MATCH($B40,Program_01!$A:$A,0)),"")</f>
        <v>Construction Contract - Structural Concrete, Wet Trades, Dewatering, Earthworks &amp; BOH Finishes</v>
      </c>
      <c r="H40" s="176" t="str">
        <f>IFERROR(INDEX(Program_01!$H:$H,MATCH($B40,Program_01!$A:$A,0)),"")</f>
        <v>Saudi Arabian Baytur Construction Company</v>
      </c>
      <c r="I40" s="176" t="str">
        <f t="shared" si="11"/>
        <v>EOT</v>
      </c>
      <c r="J40" s="176">
        <f>IFERROR(INDEX(Program_01!$I:$I,MATCH($B40,Program_01!$A:$A,0)),"")</f>
        <v>1</v>
      </c>
      <c r="K40" s="176">
        <f>IFERROR(INDEX(Program_01!$J:$J,MATCH($B40,Program_01!$A:$A,0)),"")</f>
        <v>0</v>
      </c>
      <c r="L40" s="176">
        <f>IFERROR(INDEX(Program_01!$K:$K,MATCH($B40,Program_01!$A:$A,0)),"")</f>
        <v>0</v>
      </c>
      <c r="M40" s="176">
        <f>IFERROR(INDEX(Program_01!$L:$L,MATCH($B40,Program_01!$A:$A,0)),"")</f>
        <v>0</v>
      </c>
      <c r="N40" s="176">
        <f>IFERROR(INDEX(Program_01!$L:$L,MATCH($B40,Program_01!$A:$A,0)),"")</f>
        <v>0</v>
      </c>
      <c r="O40" s="176">
        <f>IFERROR(INDEX(Program_01!$N:$N,MATCH($B40,Program_01!$A:$A,0)),"")</f>
        <v>0</v>
      </c>
      <c r="P40" s="178"/>
      <c r="Q40" s="179" t="str">
        <f>IFERROR(INDEX(Program_01!$C:$C,MATCH($B40,Program_01!$A:$A,0)),"")</f>
        <v>Generator Room - Contractor's Claim  EOT (Time)</v>
      </c>
      <c r="R40" s="176" t="str">
        <f>IFERROR(INDEX(Program_01!$V:$V,MATCH($B40,Program_01!$A:$A,0)),"")</f>
        <v>1TB01005-005C02-SAB-LTR-0108</v>
      </c>
      <c r="S40" s="180">
        <f>IFERROR(INDEX(Program_01!$W:$W,MATCH($B40,Program_01!$A:$A,0)),"")</f>
        <v>45405</v>
      </c>
      <c r="T40" s="178"/>
      <c r="U40" s="176" t="str">
        <f>IFERROR(INDEX(Program_01!$Z:$Z,MATCH($B40,Program_01!$A:$A,0)),"")</f>
        <v>1TB01005-005C02-AMA-LTR-0106</v>
      </c>
      <c r="V40" s="181">
        <f>IFERROR(INDEX(Program_01!$AA:$AA,MATCH($B40,Program_01!$A:$A,0)),"")</f>
        <v>45417</v>
      </c>
      <c r="W40" s="182">
        <f t="shared" ca="1" si="0"/>
        <v>12</v>
      </c>
      <c r="X40" s="51"/>
      <c r="Y40" s="179" t="str">
        <f>IFERROR(INDEX(Program_01!$BD:$BD,MATCH($B40,Program_01!$A:$A,0)),"")</f>
        <v xml:space="preserve">1TB01005-005C02-SAB-LTR-0087 dated 29 Feb 24 Notice of Delay
1TB01005-005C02-AMA-LTR-0099 dated 24 Mar 24
</v>
      </c>
      <c r="Z40" s="51"/>
      <c r="AA40" s="183" t="str">
        <f>IFERROR(IF((INDEX(Program_01!$AD:$AD,MATCH($B40,Program_01!$A:$A,0))=""),INDEX(Program_01!$V:$V,MATCH($B40,Program_01!$A:$A,0)),INDEX(Program_01!$AD:$AD,MATCH($B40,Program_01!$A:$A,0))),"")</f>
        <v>1TB01005-005C02-SAB-LTR-0108</v>
      </c>
      <c r="AB40" s="147">
        <f>IFERROR(IF((INDEX(Program_01!$AE:$AE,MATCH($B40,Program_01!$A:$A,0))=""),INDEX(Program_01!$W:$W,MATCH($B40,Program_01!$A:$A,0)),INDEX(Program_01!$AE:$AE,MATCH($B40,Program_01!$A:$A,0))),"")</f>
        <v>45405</v>
      </c>
      <c r="AC40" s="183" t="str">
        <f>IFERROR(IF($I40="EOT",INDEX(Program_01!$AN:$AN,MATCH($B40,Program_01!$A:$A,0)),INDEX(Program_01!$AY:$AY,MATCH($B40,Program_01!$A:$A,0))),"")</f>
        <v>N/A</v>
      </c>
      <c r="AD40" s="181" t="str">
        <f>IFERROR(IF($I40="EOT",INDEX(Program_01!$AO:$AO,MATCH($B40,Program_01!$A:$A,0)),INDEX(Program_01!$AZ:$AZ,MATCH($B40,Program_01!$A:$A,0))),"")</f>
        <v>N/A</v>
      </c>
      <c r="AE40" s="51"/>
      <c r="AF40" s="183"/>
      <c r="AG40" s="181"/>
      <c r="AH40" s="183">
        <f>IF(OR($D40="",$AS40="VO Issued",$AS40="Open"),"",IF(OR($AC40="Rejected",$AC40="Superseded",$AC40="Dealt Separately"),$AC40,IF($I40="EOT",INDEX(Program_01!$AR:$AR,MATCH($B40,Program_01!$A:$A,0)),INDEX(Program_01!$BB:$BB,MATCH($B40,Program_01!$A:$A,0)))))</f>
        <v>0</v>
      </c>
      <c r="AI40" s="181" t="str">
        <f>IF(OR($A40="",$B40="",$I40="",$AS40="VO Issued",$AS40="Open"),"",IF(OR($AD40="N/A"),$AD40,IF($I40="EOT",INDEX(Program_01!$AS:$AS,MATCH($B40,Program_01!$A:$A,0)),INDEX(Program_01!$BC:$BC,MATCH($B40,Program_01!$A:$A,0)))))</f>
        <v>N/A</v>
      </c>
      <c r="AJ40" s="183">
        <f>IF(OR($D40="",$I40="",$AS40="Determination Issued",$AS40="Rejected",$AS40="Open"),"",IF(OR($AH40="Rejected",$AH40="Dealt Separately",$AH40="Superseded",$AH40="Withdrawn"),"N/A",IF($I40="EOT",INDEX(Program_01!AR:AR,MATCH($B40,Program_01!A:A,0)),INDEX(Program_01!BB:BB,MATCH($B40,Program_01!A:A,0)))))</f>
        <v>0</v>
      </c>
      <c r="AK40" s="181" t="str">
        <f>IF(OR($A40="",$B40="",$I40="",$AS40="Determination Issued",$AS40="Rejected",$AS40="Open"),"",IF($AJ40="N/A","N/A",IF($I40="EOT",INDEX(Program_01!AS:AS,MATCH($B40,Program_01!A:A,0)),INDEX(Program_01!BC:BC,MATCH($B40,Program_01!A:A,0)))))</f>
        <v>N/A</v>
      </c>
      <c r="AL40" s="51"/>
      <c r="AM40" s="184">
        <f>IFERROR(INDEX(Program_01!$BT:$BT,MATCH($B40,Program_01!$A:$A,0)),"")</f>
        <v>0</v>
      </c>
      <c r="AN40" s="184">
        <f>IFERROR(INDEX(Program_01!$BU:$BU,MATCH($B40,Program_01!$A:$A,0)),"")</f>
        <v>0</v>
      </c>
      <c r="AO40" s="184">
        <f>IFERROR(INDEX(Program_01!$BV:$BV,MATCH($B40,Program_01!$A:$A,0)),"")</f>
        <v>0</v>
      </c>
      <c r="AP40" s="51" t="str">
        <f t="shared" si="12"/>
        <v/>
      </c>
      <c r="AQ40" s="184">
        <f>IFERROR(INDEX(Program_01!$BN:$BN,MATCH($B40,Program_01!$A:$A,0)),"")</f>
        <v>0</v>
      </c>
      <c r="AR40" s="184" t="str">
        <f>IFERROR(INDEX(Program_01!$BO:$BO,MATCH($B40,Program_01!$A:$A,0)),"")</f>
        <v>Canceled</v>
      </c>
      <c r="AS40" s="184" t="str">
        <f>IFERROR(INDEX(Program_01!$BP:$BP,MATCH($B40,Program_01!$A:$A,0)),"")</f>
        <v>Canceled</v>
      </c>
      <c r="AT40" s="185" t="str">
        <f>IFERROR(INDEX(Program_01!$BQ:$BQ,MATCH($B40,Program_01!$A:$A,0)),"")</f>
        <v>Closed</v>
      </c>
      <c r="AU40" s="179" t="str">
        <f>IFERROR(INDEX(Program_01!$BR:$BR,MATCH($B40,Program_01!$A:$A,0)),"")</f>
        <v>13 Jan 25 - We have agreed a final cost for this change and are proceeding to DVO. We believe the DVO will close SAB entitlement for this change at this stage? - subject to any final claim from them.
27 Jan 25 - DVO going through approvals.
09 Feb 25 - DVO approved (AMA01005-WTRAN-048712) - Cost agreed with no change to TfC. Please advise any further action?
24 Feb 25 - Project team awaiting confirmation on further action.
** commercial to reject the claim with a formal letter to the contractor 
10 Mar 25 - Draft letter issued to claims team (NE) on 08 Mar 25
23 Mar 25 - Letter approved by claims and issued to Contractor (1TB01005-005C02-AMA-LTR-0172) on 17 March 2025
09 April 25: awaiting formal withdrawal from the contractor
19 Apr 25: No response from Contractor, and the project team does not anticipate them issuing a withdrawal
05 May 25: Ditto
19 May 25 - No disatisfaction notice received. 
16 June 25: Ditto
30 June 25: The wider picture with SAB is that Security bonds have been encashed and the provider has paid the values to RSG. SAB continue to Work on Site however they are unable to pay suppliers, subcontractor or personnel. We have raised an RFA to terminate the Contract and have an agreed completion strategy for others to complete the remaining Works
13 Jul 25: Termination Notice issued - Date of Termination 17 Jul 25  ref. 1TB01005-005C02-AMA-LTR-0210.
28 Jul 25: Ditto
09 Aug 25: Claims team to advise on what action is required.
24 Aug 25: Claims team to advise on what action is required. DVO approved with no time impact, claim rejected (see 23 March 25 note)
08 Sep 25: Ditto
17 Nov 25: Agreed that item can be closed given Contract is terminated and no response to the Employers determination letter issued on 17 March 25 on this matter. (1TB01005-005C02-AMA-LTR-0172)</v>
      </c>
      <c r="AV40" s="186" t="str">
        <f t="shared" si="1"/>
        <v/>
      </c>
      <c r="AW40" s="186" t="str">
        <f t="shared" si="13"/>
        <v>CLOSED</v>
      </c>
      <c r="AX40" s="186" t="str">
        <f t="shared" si="2"/>
        <v>CLOSED</v>
      </c>
      <c r="AY40" s="181">
        <f t="shared" si="14"/>
        <v>45405</v>
      </c>
      <c r="AZ40" s="181" t="str">
        <f t="shared" si="23"/>
        <v>N/A</v>
      </c>
      <c r="BA40" s="181" t="str">
        <f t="shared" si="4"/>
        <v>N/A</v>
      </c>
      <c r="BC40" s="181">
        <f>IFERROR(INDEX(Program_01!BF:BF,MATCH($B40,Program_01!$A:$A,0)),"")</f>
        <v>45405</v>
      </c>
      <c r="BD40" s="188" t="str">
        <f ca="1">IFERROR(INDEX(Program_01!BG:BG,MATCH($B40,Program_01!$A:$A,0)),"")</f>
        <v>N/A</v>
      </c>
      <c r="BE40" s="181">
        <f>IFERROR(INDEX(Program_01!BH:BH,MATCH($B40,Program_01!$A:$A,0)),"")</f>
        <v>0</v>
      </c>
      <c r="BF40" s="189">
        <f ca="1">IFERROR(INDEX(Program_01!BI:BI,MATCH($B40,Program_01!$A:$A,0)),"")</f>
        <v>0</v>
      </c>
      <c r="BG40" s="181">
        <f>IFERROR(INDEX(Program_01!BJ:BJ,MATCH($B40,Program_01!$A:$A,0)),"")</f>
        <v>0</v>
      </c>
      <c r="BH40" s="189">
        <f ca="1">IFERROR(INDEX(Program_01!BK:BK,MATCH($B40,Program_01!$A:$A,0)),"")</f>
        <v>0</v>
      </c>
      <c r="BI40" s="181">
        <f>IFERROR(INDEX(Program_01!BL:BL,MATCH($B40,Program_01!$A:$A,0)),"")</f>
        <v>0</v>
      </c>
      <c r="BK40" s="190">
        <f>IFERROR(IF(INDEX(Program_01!$BX:$BX,MATCH($B40,Program_01!$A:$A,0))=DATE(1900,1,0),"",INDEX(Program_01!$BX:$BX,MATCH($B40,Program_01!$A:$A,0))),"")</f>
        <v>45978</v>
      </c>
      <c r="BL40" s="190" t="str">
        <f>IFERROR(IF(INDEX(Program_01!$BY:$BY,MATCH($B40,Program_01!$A:$A,0))=DATE(1900,1,0),"",INDEX(Program_01!$BY:$BY,MATCH($B40,Program_01!$A:$A,0))),"")</f>
        <v/>
      </c>
      <c r="BM40" s="188" t="str">
        <f t="shared" ca="1" si="15"/>
        <v/>
      </c>
      <c r="BN40" s="191">
        <f t="shared" ca="1" si="16"/>
        <v>0</v>
      </c>
      <c r="BO40" s="188" t="str">
        <f t="shared" si="5"/>
        <v/>
      </c>
      <c r="BP40" s="188" t="str">
        <f t="shared" si="6"/>
        <v>1</v>
      </c>
      <c r="BQ40" s="188" t="str">
        <f t="shared" ca="1" si="17"/>
        <v/>
      </c>
      <c r="BR40" s="181" t="str">
        <f t="shared" ca="1" si="24"/>
        <v/>
      </c>
      <c r="BT40" s="190" t="str">
        <f>IFERROR(IF(INDEX(Program_01!$BZ:$BZ,MATCH($B40,Program_01!$A:$A,0))=DATE(1900,1,0),"",INDEX(Program_01!$BZ:$BZ,MATCH($B40,Program_01!$A:$A,0))),"")</f>
        <v/>
      </c>
      <c r="BU40" s="182" t="str">
        <f t="shared" ca="1" si="22"/>
        <v/>
      </c>
      <c r="BV40" s="188" t="str">
        <f t="shared" si="7"/>
        <v/>
      </c>
      <c r="BW40" s="188" t="str">
        <f t="shared" si="8"/>
        <v>1</v>
      </c>
      <c r="BX40" s="188" t="str">
        <f t="shared" ca="1" si="9"/>
        <v/>
      </c>
      <c r="BY40" s="181" t="str">
        <f t="shared" ca="1" si="25"/>
        <v/>
      </c>
      <c r="CA40" s="192" t="str">
        <f t="shared" si="20"/>
        <v>N</v>
      </c>
      <c r="CB40" s="192" t="str">
        <f t="shared" si="21"/>
        <v>N</v>
      </c>
      <c r="CC40" s="193">
        <f>IFERROR(INDEX(Program_01!$CE:$CE,MATCH($B40,Program_01!$A:$A,0)),"")</f>
        <v>45417</v>
      </c>
      <c r="CD40" s="193">
        <f t="shared" si="26"/>
        <v>45417</v>
      </c>
      <c r="CG40" s="194">
        <f>IFERROR(INDEX(Program_01!$AT:$AT,MATCH($B40,Program_01!$A:$A,0)),"")</f>
        <v>0</v>
      </c>
      <c r="CH40" s="194">
        <f>IFERROR(INDEX(Program_01!$AX:$AX,MATCH($B40,Program_01!$A:$A,0)),"")</f>
        <v>0</v>
      </c>
    </row>
    <row r="41" spans="1:87" s="187" customFormat="1" ht="409.6">
      <c r="A41" s="174" t="s">
        <v>1</v>
      </c>
      <c r="B41" s="175">
        <v>23</v>
      </c>
      <c r="C41" s="176" t="str">
        <f>IFERROR(INDEX(Program_01!$B:$B,MATCH($B41,Program_01!$A:$A,0)),"")</f>
        <v>COST EAR</v>
      </c>
      <c r="D41" s="176" t="str">
        <f>IFERROR(INDEX(Program_01!$D:$D,MATCH($B41,Program_01!$A:$A,0)),"")</f>
        <v>1TB01005C02</v>
      </c>
      <c r="E41" s="176" t="str">
        <f>IFERROR(INDEX(Program_01!$E:$E,MATCH($B41,Program_01!$A:$A,0)),"")</f>
        <v>1.TB.01.005.01</v>
      </c>
      <c r="F41" s="176" t="str">
        <f>IFERROR(INDEX(Program_01!$F:$F,MATCH($B41,Program_01!$A:$A,0)),"")</f>
        <v>Red Sea Marine Life Institute</v>
      </c>
      <c r="G41" s="176" t="str">
        <f>IFERROR(INDEX(Program_01!$G:$G,MATCH($B41,Program_01!$A:$A,0)),"")</f>
        <v>Construction Contract - Structural Concrete, Wet Trades, Dewatering, Earthworks &amp; BOH Finishes</v>
      </c>
      <c r="H41" s="176" t="str">
        <f>IFERROR(INDEX(Program_01!$H:$H,MATCH($B41,Program_01!$A:$A,0)),"")</f>
        <v>Saudi Arabian Baytur Construction Company</v>
      </c>
      <c r="I41" s="176" t="str">
        <f t="shared" si="11"/>
        <v>Prolongation</v>
      </c>
      <c r="J41" s="176">
        <f>IFERROR(INDEX(Program_01!$I:$I,MATCH($B41,Program_01!$A:$A,0)),"")</f>
        <v>0</v>
      </c>
      <c r="K41" s="176">
        <f>IFERROR(INDEX(Program_01!$J:$J,MATCH($B41,Program_01!$A:$A,0)),"")</f>
        <v>1</v>
      </c>
      <c r="L41" s="176">
        <f>IFERROR(INDEX(Program_01!$K:$K,MATCH($B41,Program_01!$A:$A,0)),"")</f>
        <v>0</v>
      </c>
      <c r="M41" s="176">
        <f>IFERROR(INDEX(Program_01!$L:$L,MATCH($B41,Program_01!$A:$A,0)),"")</f>
        <v>0</v>
      </c>
      <c r="N41" s="176">
        <f>IFERROR(INDEX(Program_01!$L:$L,MATCH($B41,Program_01!$A:$A,0)),"")</f>
        <v>0</v>
      </c>
      <c r="O41" s="176">
        <f>IFERROR(INDEX(Program_01!$N:$N,MATCH($B41,Program_01!$A:$A,0)),"")</f>
        <v>0</v>
      </c>
      <c r="P41" s="178"/>
      <c r="Q41" s="179" t="str">
        <f>IFERROR(INDEX(Program_01!$C:$C,MATCH($B41,Program_01!$A:$A,0)),"")</f>
        <v>Generator Room - Contractor's Claim  EOT (Cost)</v>
      </c>
      <c r="R41" s="176" t="str">
        <f>IFERROR(INDEX(Program_01!$V:$V,MATCH($B41,Program_01!$A:$A,0)),"")</f>
        <v>1TB01005-005C02-SAB-LTR-0108</v>
      </c>
      <c r="S41" s="180">
        <f>IFERROR(INDEX(Program_01!$W:$W,MATCH($B41,Program_01!$A:$A,0)),"")</f>
        <v>45405</v>
      </c>
      <c r="T41" s="178"/>
      <c r="U41" s="176" t="str">
        <f>IFERROR(INDEX(Program_01!$Z:$Z,MATCH($B41,Program_01!$A:$A,0)),"")</f>
        <v>1TB01005-005C02-AMA-LTR-0106</v>
      </c>
      <c r="V41" s="181">
        <f>IFERROR(INDEX(Program_01!$AA:$AA,MATCH($B41,Program_01!$A:$A,0)),"")</f>
        <v>45417</v>
      </c>
      <c r="W41" s="182">
        <f t="shared" ca="1" si="0"/>
        <v>12</v>
      </c>
      <c r="X41" s="51"/>
      <c r="Y41" s="179" t="str">
        <f>IFERROR(INDEX(Program_01!$BD:$BD,MATCH($B41,Program_01!$A:$A,0)),"")</f>
        <v xml:space="preserve">1TB01005-005C02-SAB-LTR-0087 dated 29 Feb 24 Notice of Delay
1TB01005-005C02-AMA-LTR-0099 dated 24 Mar 24
</v>
      </c>
      <c r="Z41" s="51"/>
      <c r="AA41" s="183" t="str">
        <f>IFERROR(IF((INDEX(Program_01!$AD:$AD,MATCH($B41,Program_01!$A:$A,0))=""),INDEX(Program_01!$V:$V,MATCH($B41,Program_01!$A:$A,0)),INDEX(Program_01!$AD:$AD,MATCH($B41,Program_01!$A:$A,0))),"")</f>
        <v>1TB01005-005C02-SAB-LTR-0108</v>
      </c>
      <c r="AB41" s="147">
        <f>IFERROR(IF((INDEX(Program_01!$AE:$AE,MATCH($B41,Program_01!$A:$A,0))=""),INDEX(Program_01!$W:$W,MATCH($B41,Program_01!$A:$A,0)),INDEX(Program_01!$AE:$AE,MATCH($B41,Program_01!$A:$A,0))),"")</f>
        <v>45405</v>
      </c>
      <c r="AC41" s="183" t="str">
        <f>IFERROR(IF($I41="EOT",INDEX(Program_01!$AN:$AN,MATCH($B41,Program_01!$A:$A,0)),INDEX(Program_01!$AY:$AY,MATCH($B41,Program_01!$A:$A,0))),"")</f>
        <v>N/A</v>
      </c>
      <c r="AD41" s="181" t="str">
        <f>IFERROR(IF($I41="EOT",INDEX(Program_01!$AO:$AO,MATCH($B41,Program_01!$A:$A,0)),INDEX(Program_01!$AZ:$AZ,MATCH($B41,Program_01!$A:$A,0))),"")</f>
        <v>N/A</v>
      </c>
      <c r="AE41" s="51"/>
      <c r="AF41" s="183"/>
      <c r="AG41" s="181"/>
      <c r="AH41" s="183">
        <f>IF(OR($D41="",$AS41="VO Issued",$AS41="Open"),"",IF(OR($AC41="Rejected",$AC41="Superseded",$AC41="Dealt Separately"),$AC41,IF($I41="EOT",INDEX(Program_01!$AR:$AR,MATCH($B41,Program_01!$A:$A,0)),INDEX(Program_01!$BB:$BB,MATCH($B41,Program_01!$A:$A,0)))))</f>
        <v>0</v>
      </c>
      <c r="AI41" s="181" t="str">
        <f>IF(OR($A41="",$B41="",$I41="",$AS41="VO Issued",$AS41="Open"),"",IF(OR($AD41="N/A"),$AD41,IF($I41="EOT",INDEX(Program_01!$AS:$AS,MATCH($B41,Program_01!$A:$A,0)),INDEX(Program_01!$BC:$BC,MATCH($B41,Program_01!$A:$A,0)))))</f>
        <v>N/A</v>
      </c>
      <c r="AJ41" s="183">
        <f>IF(OR($D41="",$I41="",$AS41="Determination Issued",$AS41="Rejected",$AS41="Open"),"",IF(OR($AH41="Rejected",$AH41="Dealt Separately",$AH41="Superseded",$AH41="Withdrawn"),"N/A",IF($I41="EOT",INDEX(Program_01!AR:AR,MATCH($B41,Program_01!A:A,0)),INDEX(Program_01!BB:BB,MATCH($B41,Program_01!A:A,0)))))</f>
        <v>0</v>
      </c>
      <c r="AK41" s="181">
        <f>IF(OR($A41="",$B41="",$I41="",$AS41="Determination Issued",$AS41="Rejected",$AS41="Open"),"",IF($AJ41="N/A","N/A",IF($I41="EOT",INDEX(Program_01!AS:AS,MATCH($B41,Program_01!A:A,0)),INDEX(Program_01!BC:BC,MATCH($B41,Program_01!A:A,0)))))</f>
        <v>0</v>
      </c>
      <c r="AL41" s="51"/>
      <c r="AM41" s="184">
        <f>IFERROR(INDEX(Program_01!$BT:$BT,MATCH($B41,Program_01!$A:$A,0)),"")</f>
        <v>0</v>
      </c>
      <c r="AN41" s="184">
        <f>IFERROR(INDEX(Program_01!$BU:$BU,MATCH($B41,Program_01!$A:$A,0)),"")</f>
        <v>0</v>
      </c>
      <c r="AO41" s="184">
        <f>IFERROR(INDEX(Program_01!$BV:$BV,MATCH($B41,Program_01!$A:$A,0)),"")</f>
        <v>0</v>
      </c>
      <c r="AP41" s="51" t="str">
        <f t="shared" si="12"/>
        <v/>
      </c>
      <c r="AQ41" s="184">
        <f>IFERROR(INDEX(Program_01!$BN:$BN,MATCH($B41,Program_01!$A:$A,0)),"")</f>
        <v>0</v>
      </c>
      <c r="AR41" s="184" t="str">
        <f>IFERROR(INDEX(Program_01!$BO:$BO,MATCH($B41,Program_01!$A:$A,0)),"")</f>
        <v>Canceled</v>
      </c>
      <c r="AS41" s="184" t="str">
        <f>IFERROR(INDEX(Program_01!$BP:$BP,MATCH($B41,Program_01!$A:$A,0)),"")</f>
        <v>Canceled</v>
      </c>
      <c r="AT41" s="185" t="str">
        <f>IFERROR(INDEX(Program_01!$BQ:$BQ,MATCH($B41,Program_01!$A:$A,0)),"")</f>
        <v>Closed</v>
      </c>
      <c r="AU41" s="179" t="str">
        <f>IFERROR(INDEX(Program_01!$BR:$BR,MATCH($B41,Program_01!$A:$A,0)),"")</f>
        <v xml:space="preserve">Contractor has submitted a cost claim of SAR 111,155.
The Contractor's EOT submission is not in line with the AMAALA requirement. Response letter issued on 05 May 2024 via letter ref: 1TB01005-005C02-AMA-LTR-0106 rejecting the claim and to revise &amp; resubmit
Ditto
24 Jun 24: Awaiting response from contractor
15-Jul-24: Ditto
29 Jul 24: Ditto
12 Aug 24: Ditto
26 Aug 24: Ditto
08 Sept 24: Ditto
24 Sept 24 - RSG to write to contractor in regard to outstanding response - by 28 Sept.
06 Oct 24: same as above
20 Oct 24 - same as above
04 Dec 24 - Meetings on going daily to agree and DVO this items along with others. To be confirmed by end of year.
12 Jan 25: Same comment as above
26 Jan 25: Ditto. Mike to provide update
09 Feb 25 - DVO approved (AMA01005-WTRAN-048712) - Cost agreed with no change to TfC. Please advise any further action?
23 Feb 25: Same comment as item 22
24 Feb 25 - Project team awaiting confirmation on further action.
** commercial to reject the claim with a formal letter to the contractor 
09 Mar 25 - Draft letter issued to claims team on 08 Mar 25
23 Mar 25 - Letter approved by claims and issued to Contractor (1TB01005-005C02-AMA-LTR-0172) on 17 March 2025
18 Mar 25: Ditto
13 Jul 25: Ditto
09 Aug 25: Claims team to advise on what action is required.
17 Nov 25: Agreed in internal calims/commercial meeting on  13 Nov 25 to be closed, rejected as claim inletter 1TB01005-005C02-AMA-LTR-0172) on 17 March 2025 , DVO with no time awarded. </v>
      </c>
      <c r="AV41" s="186" t="str">
        <f t="shared" si="1"/>
        <v/>
      </c>
      <c r="AW41" s="186" t="str">
        <f t="shared" si="13"/>
        <v>CLOSED</v>
      </c>
      <c r="AX41" s="186" t="str">
        <f t="shared" si="2"/>
        <v>CLOSED</v>
      </c>
      <c r="AY41" s="181">
        <f t="shared" si="14"/>
        <v>45405</v>
      </c>
      <c r="AZ41" s="181" t="str">
        <f t="shared" si="23"/>
        <v>N/A</v>
      </c>
      <c r="BA41" s="181" t="str">
        <f t="shared" si="4"/>
        <v>N/A</v>
      </c>
      <c r="BC41" s="181">
        <f>IFERROR(INDEX(Program_01!BF:BF,MATCH($B41,Program_01!$A:$A,0)),"")</f>
        <v>45405</v>
      </c>
      <c r="BD41" s="188" t="str">
        <f ca="1">IFERROR(INDEX(Program_01!BG:BG,MATCH($B41,Program_01!$A:$A,0)),"")</f>
        <v>N/A</v>
      </c>
      <c r="BE41" s="181">
        <f>IFERROR(INDEX(Program_01!BH:BH,MATCH($B41,Program_01!$A:$A,0)),"")</f>
        <v>0</v>
      </c>
      <c r="BF41" s="189" t="str">
        <f ca="1">IFERROR(INDEX(Program_01!BI:BI,MATCH($B41,Program_01!$A:$A,0)),"")</f>
        <v>N/A</v>
      </c>
      <c r="BG41" s="181">
        <f>IFERROR(INDEX(Program_01!BJ:BJ,MATCH($B41,Program_01!$A:$A,0)),"")</f>
        <v>0</v>
      </c>
      <c r="BH41" s="189">
        <f ca="1">IFERROR(INDEX(Program_01!BK:BK,MATCH($B41,Program_01!$A:$A,0)),"")</f>
        <v>0</v>
      </c>
      <c r="BI41" s="181">
        <f>IFERROR(INDEX(Program_01!BL:BL,MATCH($B41,Program_01!$A:$A,0)),"")</f>
        <v>0</v>
      </c>
      <c r="BK41" s="190">
        <f>IFERROR(IF(INDEX(Program_01!$BX:$BX,MATCH($B41,Program_01!$A:$A,0))=DATE(1900,1,0),"",INDEX(Program_01!$BX:$BX,MATCH($B41,Program_01!$A:$A,0))),"")</f>
        <v>45978</v>
      </c>
      <c r="BL41" s="190" t="str">
        <f>IFERROR(IF(INDEX(Program_01!$BY:$BY,MATCH($B41,Program_01!$A:$A,0))=DATE(1900,1,0),"",INDEX(Program_01!$BY:$BY,MATCH($B41,Program_01!$A:$A,0))),"")</f>
        <v/>
      </c>
      <c r="BM41" s="188" t="str">
        <f t="shared" ca="1" si="15"/>
        <v/>
      </c>
      <c r="BN41" s="191">
        <f t="shared" ca="1" si="16"/>
        <v>0</v>
      </c>
      <c r="BO41" s="188" t="str">
        <f t="shared" si="5"/>
        <v/>
      </c>
      <c r="BP41" s="188" t="str">
        <f t="shared" si="6"/>
        <v>1</v>
      </c>
      <c r="BQ41" s="188" t="str">
        <f t="shared" ca="1" si="17"/>
        <v/>
      </c>
      <c r="BR41" s="181" t="str">
        <f t="shared" ca="1" si="24"/>
        <v/>
      </c>
      <c r="BT41" s="190" t="str">
        <f>IFERROR(IF(INDEX(Program_01!$BZ:$BZ,MATCH($B41,Program_01!$A:$A,0))=DATE(1900,1,0),"",INDEX(Program_01!$BZ:$BZ,MATCH($B41,Program_01!$A:$A,0))),"")</f>
        <v/>
      </c>
      <c r="BU41" s="182" t="str">
        <f t="shared" ca="1" si="22"/>
        <v/>
      </c>
      <c r="BV41" s="188" t="str">
        <f t="shared" si="7"/>
        <v/>
      </c>
      <c r="BW41" s="188" t="str">
        <f t="shared" si="8"/>
        <v>1</v>
      </c>
      <c r="BX41" s="188" t="str">
        <f t="shared" ca="1" si="9"/>
        <v/>
      </c>
      <c r="BY41" s="181" t="str">
        <f t="shared" ca="1" si="25"/>
        <v/>
      </c>
      <c r="CA41" s="192" t="str">
        <f t="shared" si="20"/>
        <v>N</v>
      </c>
      <c r="CB41" s="192" t="str">
        <f t="shared" si="21"/>
        <v>N</v>
      </c>
      <c r="CC41" s="193">
        <f>IFERROR(INDEX(Program_01!$CE:$CE,MATCH($B41,Program_01!$A:$A,0)),"")</f>
        <v>45417</v>
      </c>
      <c r="CD41" s="193">
        <f t="shared" si="26"/>
        <v>45417</v>
      </c>
      <c r="CG41" s="194">
        <f>IFERROR(INDEX(Program_01!$AT:$AT,MATCH($B41,Program_01!$A:$A,0)),"")</f>
        <v>111155</v>
      </c>
      <c r="CH41" s="194">
        <f>IFERROR(INDEX(Program_01!$AX:$AX,MATCH($B41,Program_01!$A:$A,0)),"")</f>
        <v>0</v>
      </c>
    </row>
    <row r="42" spans="1:87" s="187" customFormat="1" ht="408.75" customHeight="1">
      <c r="A42" s="174" t="s">
        <v>1</v>
      </c>
      <c r="B42" s="175">
        <v>24</v>
      </c>
      <c r="C42" s="176" t="str">
        <f>IFERROR(INDEX(Program_01!$B:$B,MATCH($B42,Program_01!$A:$A,0)),"")</f>
        <v>FULL TIA EAR</v>
      </c>
      <c r="D42" s="176" t="str">
        <f>IFERROR(INDEX(Program_01!$D:$D,MATCH($B42,Program_01!$A:$A,0)),"")</f>
        <v>1TB01100F10</v>
      </c>
      <c r="E42" s="176" t="str">
        <f>IFERROR(INDEX(Program_01!$E:$E,MATCH($B42,Program_01!$A:$A,0)),"")</f>
        <v>1.TB.01.100.00</v>
      </c>
      <c r="F42" s="176" t="str">
        <f>IFERROR(INDEX(Program_01!$F:$F,MATCH($B42,Program_01!$A:$A,0)),"")</f>
        <v>Marina Village - Wide</v>
      </c>
      <c r="G42" s="176" t="str">
        <f>IFERROR(INDEX(Program_01!$G:$G,MATCH($B42,Program_01!$A:$A,0)),"")</f>
        <v>Site Offices and Welfare Facilities Design, Supply and Installation Package for AMAALA Triple Bay (Call off Order No: 013)</v>
      </c>
      <c r="H42" s="176" t="str">
        <f>IFERROR(INDEX(Program_01!$H:$H,MATCH($B42,Program_01!$A:$A,0)),"")</f>
        <v>Al Masaood Bergum L.L.C - Dubai Branch</v>
      </c>
      <c r="I42" s="176" t="str">
        <f t="shared" si="11"/>
        <v>EOT</v>
      </c>
      <c r="J42" s="176">
        <f>IFERROR(INDEX(Program_01!$I:$I,MATCH($B42,Program_01!$A:$A,0)),"")</f>
        <v>1</v>
      </c>
      <c r="K42" s="176">
        <f>IFERROR(INDEX(Program_01!$J:$J,MATCH($B42,Program_01!$A:$A,0)),"")</f>
        <v>0</v>
      </c>
      <c r="L42" s="176">
        <f>IFERROR(INDEX(Program_01!$K:$K,MATCH($B42,Program_01!$A:$A,0)),"")</f>
        <v>0</v>
      </c>
      <c r="M42" s="176">
        <f>IFERROR(INDEX(Program_01!$L:$L,MATCH($B42,Program_01!$A:$A,0)),"")</f>
        <v>0</v>
      </c>
      <c r="N42" s="176">
        <f>IFERROR(INDEX(Program_01!$L:$L,MATCH($B42,Program_01!$A:$A,0)),"")</f>
        <v>0</v>
      </c>
      <c r="O42" s="176">
        <f>IFERROR(INDEX(Program_01!$N:$N,MATCH($B42,Program_01!$A:$A,0)),"")</f>
        <v>0</v>
      </c>
      <c r="P42" s="178"/>
      <c r="Q42" s="179" t="str">
        <f>IFERROR(INDEX(Program_01!$C:$C,MATCH($B42,Program_01!$A:$A,0)),"")</f>
        <v xml:space="preserve"> Request for an Extension of Time Claim-AMB COO#13</v>
      </c>
      <c r="R42" s="176" t="str">
        <f>IFERROR(INDEX(Program_01!$V:$V,MATCH($B42,Program_01!$A:$A,0)),"")</f>
        <v>1TB01100-100F10-AMB-LTR-0009</v>
      </c>
      <c r="S42" s="180">
        <f>IFERROR(INDEX(Program_01!$W:$W,MATCH($B42,Program_01!$A:$A,0)),"")</f>
        <v>45410</v>
      </c>
      <c r="T42" s="178"/>
      <c r="U42" s="176" t="str">
        <f>IFERROR(INDEX(Program_01!$Z:$Z,MATCH($B42,Program_01!$A:$A,0)),"")</f>
        <v>1TB01100-100F10-AMA-LTR-0007</v>
      </c>
      <c r="V42" s="181">
        <f>IFERROR(INDEX(Program_01!$AA:$AA,MATCH($B42,Program_01!$A:$A,0)),"")</f>
        <v>45417</v>
      </c>
      <c r="W42" s="182">
        <f t="shared" ca="1" si="0"/>
        <v>7</v>
      </c>
      <c r="X42" s="51"/>
      <c r="Y42" s="179" t="str">
        <f>IFERROR(INDEX(Program_01!$BD:$BD,MATCH($B42,Program_01!$A:$A,0)),"")</f>
        <v>1TB01100-100F10-AMA-LTR-0007 dated 05 may 24
1TB01100-100F10-AMB-LTR-0011 dated 09 May 24
1TB01100-100F02-AMB-LTR-0025 dated 22 Aug 24
1TB01100-100F02-AMB-LTR-0028 dated 08 Oct 24
1TB01100-100F02-AMA-LTR-0028 dated 17 Oct 24
1TB01100-100F02-AMB-LTR-0030 dated 05 Nov 24</v>
      </c>
      <c r="Z42" s="51"/>
      <c r="AA42" s="183" t="str">
        <f>IFERROR(IF((INDEX(Program_01!$AD:$AD,MATCH($B42,Program_01!$A:$A,0))=""),INDEX(Program_01!$V:$V,MATCH($B42,Program_01!$A:$A,0)),INDEX(Program_01!$AD:$AD,MATCH($B42,Program_01!$A:$A,0))),"")</f>
        <v>1TB01100-100F10-AMB-LTR-0011 dated 9 May 24
1TB01100-100F02-AMB-LTR-0025 date 22 Aug 24
1TB01100-100F10-AMB-LTR-0021
dated 23 Aug 24
1TB01100-100F10-AMB-LTR-0026</v>
      </c>
      <c r="AB42" s="147">
        <f>IFERROR(IF((INDEX(Program_01!$AE:$AE,MATCH($B42,Program_01!$A:$A,0))=""),INDEX(Program_01!$W:$W,MATCH($B42,Program_01!$A:$A,0)),INDEX(Program_01!$AE:$AE,MATCH($B42,Program_01!$A:$A,0))),"")</f>
        <v>45789</v>
      </c>
      <c r="AC42" s="183">
        <f>IFERROR(IF($I42="EOT",INDEX(Program_01!$AN:$AN,MATCH($B42,Program_01!$A:$A,0)),INDEX(Program_01!$AY:$AY,MATCH($B42,Program_01!$A:$A,0))),"")</f>
        <v>0</v>
      </c>
      <c r="AD42" s="181" t="str">
        <f>IFERROR(IF($I42="EOT",INDEX(Program_01!$AO:$AO,MATCH($B42,Program_01!$A:$A,0)),INDEX(Program_01!$AZ:$AZ,MATCH($B42,Program_01!$A:$A,0))),"")</f>
        <v>N/A</v>
      </c>
      <c r="AE42" s="51"/>
      <c r="AF42" s="183"/>
      <c r="AG42" s="181"/>
      <c r="AH42" s="183">
        <f>IF(OR($D42="",$AS42="VO Issued",$AS42="Open"),"",IF(OR($AC42="Rejected",$AC42="Superseded",$AC42="Dealt Separately"),$AC42,IF($I42="EOT",INDEX(Program_01!$AR:$AR,MATCH($B42,Program_01!$A:$A,0)),INDEX(Program_01!$BB:$BB,MATCH($B42,Program_01!$A:$A,0)))))</f>
        <v>0</v>
      </c>
      <c r="AI42" s="181" t="str">
        <f>IF(OR($A42="",$B42="",$I42="",$AS42="VO Issued",$AS42="Open"),"",IF(OR($AD42="N/A"),$AD42,IF($I42="EOT",INDEX(Program_01!$AS:$AS,MATCH($B42,Program_01!$A:$A,0)),INDEX(Program_01!$BC:$BC,MATCH($B42,Program_01!$A:$A,0)))))</f>
        <v>N/A</v>
      </c>
      <c r="AJ42" s="183">
        <f>IF(OR($D42="",$I42="",$AS42="Determination Issued",$AS42="Rejected",$AS42="Open"),"",IF(OR($AH42="Rejected",$AH42="Dealt Separately",$AH42="Superseded",$AH42="Withdrawn"),"N/A",IF($I42="EOT",INDEX(Program_01!AR:AR,MATCH($B42,Program_01!A:A,0)),INDEX(Program_01!BB:BB,MATCH($B42,Program_01!A:A,0)))))</f>
        <v>0</v>
      </c>
      <c r="AK42" s="181">
        <f>IF(OR($A42="",$B42="",$I42="",$AS42="Determination Issued",$AS42="Rejected",$AS42="Open"),"",IF($AJ42="N/A","N/A",IF($I42="EOT",INDEX(Program_01!AS:AS,MATCH($B42,Program_01!A:A,0)),INDEX(Program_01!BC:BC,MATCH($B42,Program_01!A:A,0)))))</f>
        <v>0</v>
      </c>
      <c r="AL42" s="51"/>
      <c r="AM42" s="184">
        <f>IFERROR(INDEX(Program_01!$BT:$BT,MATCH($B42,Program_01!$A:$A,0)),"")</f>
        <v>0</v>
      </c>
      <c r="AN42" s="184">
        <f>IFERROR(INDEX(Program_01!$BU:$BU,MATCH($B42,Program_01!$A:$A,0)),"")</f>
        <v>0</v>
      </c>
      <c r="AO42" s="184">
        <f>IFERROR(INDEX(Program_01!$BV:$BV,MATCH($B42,Program_01!$A:$A,0)),"")</f>
        <v>0</v>
      </c>
      <c r="AP42" s="51" t="str">
        <f t="shared" si="12"/>
        <v/>
      </c>
      <c r="AQ42" s="184">
        <f>IFERROR(INDEX(Program_01!$BN:$BN,MATCH($B42,Program_01!$A:$A,0)),"")</f>
        <v>0</v>
      </c>
      <c r="AR42" s="184" t="str">
        <f>IFERROR(INDEX(Program_01!$BO:$BO,MATCH($B42,Program_01!$A:$A,0)),"")</f>
        <v>Not Applicable</v>
      </c>
      <c r="AS42" s="184" t="str">
        <f>IFERROR(INDEX(Program_01!$BP:$BP,MATCH($B42,Program_01!$A:$A,0)),"")</f>
        <v>Dealt Separately</v>
      </c>
      <c r="AT42" s="185" t="str">
        <f>IFERROR(INDEX(Program_01!$BQ:$BQ,MATCH($B42,Program_01!$A:$A,0)),"")</f>
        <v>Closed</v>
      </c>
      <c r="AU42" s="179" t="str">
        <f>IFERROR(INDEX(Program_01!$BR:$BR,MATCH($B42,Program_01!$A:$A,0)),"")</f>
        <v>18 May 25: Received AMB EoT Claim  ref.1TB01100-100F10-AMB-LTR-0026 dated  12 May 2025. AMB seeking Time and cost of SAR 4.5 million. Meeting for AMB toexaolin their claim schedduled for 20 May 2025.
02 Jun 25: Commercial Team preparing a draft EoT Report and in parallel, finalising AMB Final Account, in view of negotiating for the Contractor to drop the Prolongation Cost claim.
16 Jun 25: Ditto. Target to complete draft report is 30 June 2025.
30 Jun 25: Ditto. Targeted to complete the draft report is 30 July 2025.
14 Jul 25: Ditto. Targeted to complete the draft report is 30 July 2025.
28 Jul 2025: Date moved to 03 August 2025. 
11 August 2025: New direction from Renton (Infractructure CM)  - a wrap-up of all AMB call-offs as part of their final account with possibly no need to do EARs. Approval to be disccused with PG.
24 August 25: Ditto
08 Aug 25: Renton to prepare an RFA to close out all COO across the projects
06 Oct 25: ditto
01 Nov 25: ditto
17 Nov 25: Ditto
21 Nov 25: Renton advised Commercial to initiate the required RFA – for a waiver on LDs only in exchange that AMB cease all EOT pursuit
01 Dec 25: RFA to waive LDs approved. RSG  letter 1TB01100-100F02-AMA-LTR-0032 dated 25 Nov 2025 issued to AMB confirming waiver of LDs and withdrawal of Claims. Awaiting AMB reply // commercial to clarifywhether its a LD related RFA or a final account RFA
14 Dec 25:/ commercial to clarify whether its a LD related RFA or a final account RFA (Commercial Comment : The RFA is for both FA and LD waiver)
12 Jan 26: Ditto
27 Jan 26: Ditto. MVW commercial consider this closed. FA including LDs waiver signed and agreed by both parties. 
(07 Feb 26: Ditto. MVW commercial consider this closed. FA ( AMA01100-GENCORR-002209) including LDs waiver signed and agreed by both parties. )</v>
      </c>
      <c r="AV42" s="186" t="str">
        <f t="shared" si="1"/>
        <v/>
      </c>
      <c r="AW42" s="186" t="str">
        <f t="shared" si="13"/>
        <v>CLOSED</v>
      </c>
      <c r="AX42" s="186" t="str">
        <f t="shared" si="2"/>
        <v>CLOSED</v>
      </c>
      <c r="AY42" s="181">
        <f t="shared" si="14"/>
        <v>45789</v>
      </c>
      <c r="AZ42" s="181" t="str">
        <f t="shared" si="23"/>
        <v>N/A</v>
      </c>
      <c r="BA42" s="181" t="str">
        <f t="shared" si="4"/>
        <v>N/A</v>
      </c>
      <c r="BC42" s="181">
        <f>IFERROR(INDEX(Program_01!BF:BF,MATCH($B42,Program_01!$A:$A,0)),"")</f>
        <v>45789</v>
      </c>
      <c r="BD42" s="188" t="str">
        <f ca="1">IFERROR(INDEX(Program_01!BG:BG,MATCH($B42,Program_01!$A:$A,0)),"")</f>
        <v>N/A</v>
      </c>
      <c r="BE42" s="181">
        <f>IFERROR(INDEX(Program_01!BH:BH,MATCH($B42,Program_01!$A:$A,0)),"")</f>
        <v>0</v>
      </c>
      <c r="BF42" s="189">
        <f ca="1">IFERROR(INDEX(Program_01!BI:BI,MATCH($B42,Program_01!$A:$A,0)),"")</f>
        <v>0</v>
      </c>
      <c r="BG42" s="181">
        <f>IFERROR(INDEX(Program_01!BJ:BJ,MATCH($B42,Program_01!$A:$A,0)),"")</f>
        <v>0</v>
      </c>
      <c r="BH42" s="189">
        <f ca="1">IFERROR(INDEX(Program_01!BK:BK,MATCH($B42,Program_01!$A:$A,0)),"")</f>
        <v>0</v>
      </c>
      <c r="BI42" s="181">
        <f>IFERROR(INDEX(Program_01!BL:BL,MATCH($B42,Program_01!$A:$A,0)),"")</f>
        <v>0</v>
      </c>
      <c r="BK42" s="190">
        <f>IFERROR(IF(INDEX(Program_01!$BX:$BX,MATCH($B42,Program_01!$A:$A,0))=DATE(1900,1,0),"",INDEX(Program_01!$BX:$BX,MATCH($B42,Program_01!$A:$A,0))),"")</f>
        <v>46054</v>
      </c>
      <c r="BL42" s="190" t="str">
        <f>IFERROR(IF(INDEX(Program_01!$BY:$BY,MATCH($B42,Program_01!$A:$A,0))=DATE(1900,1,0),"",INDEX(Program_01!$BY:$BY,MATCH($B42,Program_01!$A:$A,0))),"")</f>
        <v/>
      </c>
      <c r="BM42" s="188" t="str">
        <f t="shared" ca="1" si="15"/>
        <v/>
      </c>
      <c r="BN42" s="191">
        <f t="shared" ca="1" si="16"/>
        <v>0</v>
      </c>
      <c r="BO42" s="188" t="str">
        <f t="shared" si="5"/>
        <v/>
      </c>
      <c r="BP42" s="188" t="str">
        <f t="shared" si="6"/>
        <v>1</v>
      </c>
      <c r="BQ42" s="188" t="str">
        <f t="shared" ca="1" si="17"/>
        <v/>
      </c>
      <c r="BR42" s="181" t="str">
        <f t="shared" ca="1" si="24"/>
        <v/>
      </c>
      <c r="BT42" s="190" t="str">
        <f>IFERROR(IF(INDEX(Program_01!$BZ:$BZ,MATCH($B42,Program_01!$A:$A,0))=DATE(1900,1,0),"",INDEX(Program_01!$BZ:$BZ,MATCH($B42,Program_01!$A:$A,0))),"")</f>
        <v/>
      </c>
      <c r="BU42" s="182" t="str">
        <f t="shared" ca="1" si="22"/>
        <v/>
      </c>
      <c r="BV42" s="188" t="str">
        <f t="shared" si="7"/>
        <v/>
      </c>
      <c r="BW42" s="188" t="str">
        <f t="shared" si="8"/>
        <v>1</v>
      </c>
      <c r="BX42" s="188" t="str">
        <f t="shared" ca="1" si="9"/>
        <v/>
      </c>
      <c r="BY42" s="181" t="str">
        <f t="shared" ca="1" si="25"/>
        <v/>
      </c>
      <c r="CA42" s="192" t="str">
        <f t="shared" si="20"/>
        <v>N</v>
      </c>
      <c r="CB42" s="192" t="str">
        <f t="shared" si="21"/>
        <v>N</v>
      </c>
      <c r="CC42" s="193">
        <f>IFERROR(INDEX(Program_01!$CE:$CE,MATCH($B42,Program_01!$A:$A,0)),"")</f>
        <v>45417</v>
      </c>
      <c r="CD42" s="193">
        <f t="shared" si="26"/>
        <v>45417</v>
      </c>
      <c r="CG42" s="194">
        <f>IFERROR(INDEX(Program_01!$AT:$AT,MATCH($B42,Program_01!$A:$A,0)),"")</f>
        <v>0</v>
      </c>
      <c r="CH42" s="194">
        <f>IFERROR(INDEX(Program_01!$AX:$AX,MATCH($B42,Program_01!$A:$A,0)),"")</f>
        <v>0</v>
      </c>
    </row>
    <row r="43" spans="1:87" s="187" customFormat="1" ht="198.75" customHeight="1">
      <c r="A43" s="174" t="s">
        <v>1</v>
      </c>
      <c r="B43" s="175">
        <v>25</v>
      </c>
      <c r="C43" s="176" t="str">
        <f>IFERROR(INDEX(Program_01!$B:$B,MATCH($B43,Program_01!$A:$A,0)),"")</f>
        <v>FULL TIA EAR</v>
      </c>
      <c r="D43" s="176" t="str">
        <f>IFERROR(INDEX(Program_01!$D:$D,MATCH($B43,Program_01!$A:$A,0)),"")</f>
        <v>1TB01002C23</v>
      </c>
      <c r="E43" s="176" t="str">
        <f>IFERROR(INDEX(Program_01!$E:$E,MATCH($B43,Program_01!$A:$A,0)),"")</f>
        <v>1.TB.01.002.99</v>
      </c>
      <c r="F43" s="176" t="str">
        <f>IFERROR(INDEX(Program_01!$F:$F,MATCH($B43,Program_01!$A:$A,0)),"")</f>
        <v>Marina Lifestyle Hotel &amp; Village</v>
      </c>
      <c r="G43" s="176" t="str">
        <f>IFERROR(INDEX(Program_01!$G:$G,MATCH($B43,Program_01!$A:$A,0)),"")</f>
        <v>Builders Works Package for Marina Lifestyle Hotel</v>
      </c>
      <c r="H43" s="176" t="str">
        <f>IFERROR(INDEX(Program_01!$H:$H,MATCH($B43,Program_01!$A:$A,0)),"")</f>
        <v>Shandong Tiejun Electric Power Engineering Co. LTD. Branch</v>
      </c>
      <c r="I43" s="176" t="str">
        <f t="shared" si="11"/>
        <v>EOT</v>
      </c>
      <c r="J43" s="176">
        <f>IFERROR(INDEX(Program_01!$I:$I,MATCH($B43,Program_01!$A:$A,0)),"")</f>
        <v>1</v>
      </c>
      <c r="K43" s="176">
        <f>IFERROR(INDEX(Program_01!$J:$J,MATCH($B43,Program_01!$A:$A,0)),"")</f>
        <v>0</v>
      </c>
      <c r="L43" s="176">
        <f>IFERROR(INDEX(Program_01!$K:$K,MATCH($B43,Program_01!$A:$A,0)),"")</f>
        <v>0</v>
      </c>
      <c r="M43" s="176">
        <f>IFERROR(INDEX(Program_01!$L:$L,MATCH($B43,Program_01!$A:$A,0)),"")</f>
        <v>0</v>
      </c>
      <c r="N43" s="176">
        <f>IFERROR(INDEX(Program_01!$L:$L,MATCH($B43,Program_01!$A:$A,0)),"")</f>
        <v>0</v>
      </c>
      <c r="O43" s="176">
        <f>IFERROR(INDEX(Program_01!$N:$N,MATCH($B43,Program_01!$A:$A,0)),"")</f>
        <v>0</v>
      </c>
      <c r="P43" s="178"/>
      <c r="Q43" s="179" t="str">
        <f>IFERROR(INDEX(Program_01!$C:$C,MATCH($B43,Program_01!$A:$A,0)),"")</f>
        <v>Interim Extension of Time Claim (EOT #1)</v>
      </c>
      <c r="R43" s="176" t="str">
        <f>IFERROR(INDEX(Program_01!$V:$V,MATCH($B43,Program_01!$A:$A,0)),"")</f>
        <v>1TB01002-002C23-STE-LTR-0026</v>
      </c>
      <c r="S43" s="180">
        <f>IFERROR(INDEX(Program_01!$W:$W,MATCH($B43,Program_01!$A:$A,0)),"")</f>
        <v>45389</v>
      </c>
      <c r="T43" s="178"/>
      <c r="U43" s="176" t="str">
        <f>IFERROR(INDEX(Program_01!$Z:$Z,MATCH($B43,Program_01!$A:$A,0)),"")</f>
        <v>1TB01002-002C23-AMA-LTR-0054</v>
      </c>
      <c r="V43" s="181">
        <f>IFERROR(INDEX(Program_01!$AA:$AA,MATCH($B43,Program_01!$A:$A,0)),"")</f>
        <v>45420</v>
      </c>
      <c r="W43" s="182">
        <f t="shared" ca="1" si="0"/>
        <v>31</v>
      </c>
      <c r="X43" s="51"/>
      <c r="Y43" s="179">
        <f>IFERROR(INDEX(Program_01!$BD:$BD,MATCH($B43,Program_01!$A:$A,0)),"")</f>
        <v>0</v>
      </c>
      <c r="Z43" s="51"/>
      <c r="AA43" s="183" t="str">
        <f>IFERROR(IF((INDEX(Program_01!$AD:$AD,MATCH($B43,Program_01!$A:$A,0))=""),INDEX(Program_01!$V:$V,MATCH($B43,Program_01!$A:$A,0)),INDEX(Program_01!$AD:$AD,MATCH($B43,Program_01!$A:$A,0))),"")</f>
        <v>1TB01002-002C23-STE-LTR-0026</v>
      </c>
      <c r="AB43" s="147">
        <f>IFERROR(IF((INDEX(Program_01!$AE:$AE,MATCH($B43,Program_01!$A:$A,0))=""),INDEX(Program_01!$W:$W,MATCH($B43,Program_01!$A:$A,0)),INDEX(Program_01!$AE:$AE,MATCH($B43,Program_01!$A:$A,0))),"")</f>
        <v>45389</v>
      </c>
      <c r="AC43" s="183">
        <f>IFERROR(IF($I43="EOT",INDEX(Program_01!$AN:$AN,MATCH($B43,Program_01!$A:$A,0)),INDEX(Program_01!$AY:$AY,MATCH($B43,Program_01!$A:$A,0))),"")</f>
        <v>0</v>
      </c>
      <c r="AD43" s="181" t="str">
        <f>IFERROR(IF($I43="EOT",INDEX(Program_01!$AO:$AO,MATCH($B43,Program_01!$A:$A,0)),INDEX(Program_01!$AZ:$AZ,MATCH($B43,Program_01!$A:$A,0))),"")</f>
        <v>N/A</v>
      </c>
      <c r="AE43" s="51"/>
      <c r="AF43" s="183"/>
      <c r="AG43" s="181"/>
      <c r="AH43" s="183">
        <f>IF(OR($D43="",$AS43="VO Issued",$AS43="Open"),"",IF(OR($AC43="Rejected",$AC43="Superseded",$AC43="Dealt Separately"),$AC43,IF($I43="EOT",INDEX(Program_01!$AR:$AR,MATCH($B43,Program_01!$A:$A,0)),INDEX(Program_01!$BB:$BB,MATCH($B43,Program_01!$A:$A,0)))))</f>
        <v>0</v>
      </c>
      <c r="AI43" s="181" t="str">
        <f>IF(OR($A43="",$B43="",$I43="",$AS43="VO Issued",$AS43="Open"),"",IF(OR($AD43="N/A"),$AD43,IF($I43="EOT",INDEX(Program_01!$AS:$AS,MATCH($B43,Program_01!$A:$A,0)),INDEX(Program_01!$BC:$BC,MATCH($B43,Program_01!$A:$A,0)))))</f>
        <v>N/A</v>
      </c>
      <c r="AJ43" s="183">
        <f>IF(OR($D43="",$I43="",$AS43="Determination Issued",$AS43="Rejected",$AS43="Open"),"",IF(OR($AH43="Rejected",$AH43="Dealt Separately",$AH43="Superseded",$AH43="Withdrawn"),"N/A",IF($I43="EOT",INDEX(Program_01!AR:AR,MATCH($B43,Program_01!A:A,0)),INDEX(Program_01!BB:BB,MATCH($B43,Program_01!A:A,0)))))</f>
        <v>0</v>
      </c>
      <c r="AK43" s="181">
        <f>IF(OR($A43="",$B43="",$I43="",$AS43="Determination Issued",$AS43="Rejected",$AS43="Open"),"",IF($AJ43="N/A","N/A",IF($I43="EOT",INDEX(Program_01!AS:AS,MATCH($B43,Program_01!A:A,0)),INDEX(Program_01!BC:BC,MATCH($B43,Program_01!A:A,0)))))</f>
        <v>0</v>
      </c>
      <c r="AL43" s="51"/>
      <c r="AM43" s="184">
        <f>IFERROR(INDEX(Program_01!$BT:$BT,MATCH($B43,Program_01!$A:$A,0)),"")</f>
        <v>0</v>
      </c>
      <c r="AN43" s="184">
        <f>IFERROR(INDEX(Program_01!$BU:$BU,MATCH($B43,Program_01!$A:$A,0)),"")</f>
        <v>0</v>
      </c>
      <c r="AO43" s="184">
        <f>IFERROR(INDEX(Program_01!$BV:$BV,MATCH($B43,Program_01!$A:$A,0)),"")</f>
        <v>0</v>
      </c>
      <c r="AP43" s="51" t="str">
        <f t="shared" si="12"/>
        <v/>
      </c>
      <c r="AQ43" s="184">
        <f>IFERROR(INDEX(Program_01!$BN:$BN,MATCH($B43,Program_01!$A:$A,0)),"")</f>
        <v>0</v>
      </c>
      <c r="AR43" s="184" t="str">
        <f>IFERROR(INDEX(Program_01!$BO:$BO,MATCH($B43,Program_01!$A:$A,0)),"")</f>
        <v>Canceled</v>
      </c>
      <c r="AS43" s="184" t="str">
        <f>IFERROR(INDEX(Program_01!$BP:$BP,MATCH($B43,Program_01!$A:$A,0)),"")</f>
        <v>Canceled</v>
      </c>
      <c r="AT43" s="185" t="str">
        <f>IFERROR(INDEX(Program_01!$BQ:$BQ,MATCH($B43,Program_01!$A:$A,0)),"")</f>
        <v>Closed</v>
      </c>
      <c r="AU43" s="179" t="str">
        <f>IFERROR(INDEX(Program_01!$BR:$BR,MATCH($B43,Program_01!$A:$A,0)),"")</f>
        <v>Commercial Team rejects the Contractor's claim as per the letter 1TB01002-002C23-STE-LTR-0026. Rejection was based on the claim's improper format, incomplete backup, and lack of detailed particulars (Draft letter sent to PMIS team to start W/F).
The Contractor is urged to resubmit their EOT claim in strict adherence to the correct procedure and format, emphasizing the importance of this compliance
Initial response under process with commercial  and targeted to issue EOD
28 May 24: initial response issued to the contractor to resubmit the claim with further particulars and to address the the comments &amp; feedback provided durign the workshop held on 01 May 24
03 Jun 24: still with contractor sent on may 30
15-Jul-24: Commercial to issue a follow-up letter to the contractor for the resubmission
29 Jul 24: Ditto
this line Item is a duplicate of Item 19 above</v>
      </c>
      <c r="AV43" s="186" t="str">
        <f t="shared" si="1"/>
        <v/>
      </c>
      <c r="AW43" s="186" t="str">
        <f t="shared" si="13"/>
        <v>CLOSED</v>
      </c>
      <c r="AX43" s="186" t="str">
        <f t="shared" si="2"/>
        <v>CLOSED</v>
      </c>
      <c r="AY43" s="181">
        <f t="shared" si="14"/>
        <v>45389</v>
      </c>
      <c r="AZ43" s="181" t="str">
        <f t="shared" si="23"/>
        <v>N/A</v>
      </c>
      <c r="BA43" s="181" t="str">
        <f t="shared" si="4"/>
        <v>N/A</v>
      </c>
      <c r="BC43" s="181">
        <f>IFERROR(INDEX(Program_01!BF:BF,MATCH($B43,Program_01!$A:$A,0)),"")</f>
        <v>45389</v>
      </c>
      <c r="BD43" s="188" t="str">
        <f ca="1">IFERROR(INDEX(Program_01!BG:BG,MATCH($B43,Program_01!$A:$A,0)),"")</f>
        <v>N/A</v>
      </c>
      <c r="BE43" s="181">
        <f>IFERROR(INDEX(Program_01!BH:BH,MATCH($B43,Program_01!$A:$A,0)),"")</f>
        <v>0</v>
      </c>
      <c r="BF43" s="189">
        <f ca="1">IFERROR(INDEX(Program_01!BI:BI,MATCH($B43,Program_01!$A:$A,0)),"")</f>
        <v>0</v>
      </c>
      <c r="BG43" s="181">
        <f>IFERROR(INDEX(Program_01!BJ:BJ,MATCH($B43,Program_01!$A:$A,0)),"")</f>
        <v>0</v>
      </c>
      <c r="BH43" s="189">
        <f ca="1">IFERROR(INDEX(Program_01!BK:BK,MATCH($B43,Program_01!$A:$A,0)),"")</f>
        <v>0</v>
      </c>
      <c r="BI43" s="181">
        <f>IFERROR(INDEX(Program_01!BL:BL,MATCH($B43,Program_01!$A:$A,0)),"")</f>
        <v>0</v>
      </c>
      <c r="BK43" s="190">
        <f>IFERROR(IF(INDEX(Program_01!$BX:$BX,MATCH($B43,Program_01!$A:$A,0))=DATE(1900,1,0),"",INDEX(Program_01!$BX:$BX,MATCH($B43,Program_01!$A:$A,0))),"")</f>
        <v>45516</v>
      </c>
      <c r="BL43" s="190" t="str">
        <f>IFERROR(IF(INDEX(Program_01!$BY:$BY,MATCH($B43,Program_01!$A:$A,0))=DATE(1900,1,0),"",INDEX(Program_01!$BY:$BY,MATCH($B43,Program_01!$A:$A,0))),"")</f>
        <v/>
      </c>
      <c r="BM43" s="188" t="str">
        <f t="shared" ca="1" si="15"/>
        <v/>
      </c>
      <c r="BN43" s="191">
        <f t="shared" ca="1" si="16"/>
        <v>0</v>
      </c>
      <c r="BO43" s="188" t="str">
        <f t="shared" si="5"/>
        <v/>
      </c>
      <c r="BP43" s="188" t="str">
        <f t="shared" si="6"/>
        <v>1</v>
      </c>
      <c r="BQ43" s="188" t="str">
        <f t="shared" ca="1" si="17"/>
        <v/>
      </c>
      <c r="BR43" s="181" t="str">
        <f t="shared" ca="1" si="24"/>
        <v/>
      </c>
      <c r="BT43" s="190" t="str">
        <f>IFERROR(IF(INDEX(Program_01!$BZ:$BZ,MATCH($B43,Program_01!$A:$A,0))=DATE(1900,1,0),"",INDEX(Program_01!$BZ:$BZ,MATCH($B43,Program_01!$A:$A,0))),"")</f>
        <v/>
      </c>
      <c r="BU43" s="182" t="str">
        <f t="shared" ca="1" si="22"/>
        <v/>
      </c>
      <c r="BV43" s="188" t="str">
        <f t="shared" si="7"/>
        <v/>
      </c>
      <c r="BW43" s="188" t="str">
        <f t="shared" si="8"/>
        <v>1</v>
      </c>
      <c r="BX43" s="188" t="str">
        <f t="shared" ca="1" si="9"/>
        <v/>
      </c>
      <c r="BY43" s="181" t="str">
        <f t="shared" ca="1" si="25"/>
        <v/>
      </c>
      <c r="CA43" s="192" t="str">
        <f t="shared" si="20"/>
        <v>N</v>
      </c>
      <c r="CB43" s="192" t="str">
        <f t="shared" si="21"/>
        <v>N</v>
      </c>
      <c r="CC43" s="193">
        <f>IFERROR(INDEX(Program_01!$CE:$CE,MATCH($B43,Program_01!$A:$A,0)),"")</f>
        <v>45417</v>
      </c>
      <c r="CD43" s="193">
        <f t="shared" si="26"/>
        <v>45417</v>
      </c>
      <c r="CG43" s="194">
        <f>IFERROR(INDEX(Program_01!$AT:$AT,MATCH($B43,Program_01!$A:$A,0)),"")</f>
        <v>0</v>
      </c>
      <c r="CH43" s="194">
        <f>IFERROR(INDEX(Program_01!$AX:$AX,MATCH($B43,Program_01!$A:$A,0)),"")</f>
        <v>0</v>
      </c>
    </row>
    <row r="44" spans="1:87" s="187" customFormat="1" ht="408.75" customHeight="1">
      <c r="A44" s="174" t="s">
        <v>1</v>
      </c>
      <c r="B44" s="175">
        <v>26</v>
      </c>
      <c r="C44" s="176" t="str">
        <f>IFERROR(INDEX(Program_01!$B:$B,MATCH($B44,Program_01!$A:$A,0)),"")</f>
        <v>FULL TIA EAR</v>
      </c>
      <c r="D44" s="176" t="str">
        <f>IFERROR(INDEX(Program_01!$D:$D,MATCH($B44,Program_01!$A:$A,0)),"")</f>
        <v>1TB01006C22</v>
      </c>
      <c r="E44" s="176" t="str">
        <f>IFERROR(INDEX(Program_01!$E:$E,MATCH($B44,Program_01!$A:$A,0)),"")</f>
        <v>1.TB.01.006.99</v>
      </c>
      <c r="F44" s="176" t="str">
        <f>IFERROR(INDEX(Program_01!$F:$F,MATCH($B44,Program_01!$A:$A,0)),"")</f>
        <v>Village Boutique Hotel</v>
      </c>
      <c r="G44" s="176" t="str">
        <f>IFERROR(INDEX(Program_01!$G:$G,MATCH($B44,Program_01!$A:$A,0)),"")</f>
        <v>Builders Works Package for Marina Lifestyle Hotel</v>
      </c>
      <c r="H44" s="176" t="str">
        <f>IFERROR(INDEX(Program_01!$H:$H,MATCH($B44,Program_01!$A:$A,0)),"")</f>
        <v>Shandong Tiejun Electric Power Engineering Co. LTD. Branch</v>
      </c>
      <c r="I44" s="176" t="str">
        <f t="shared" si="11"/>
        <v>EOT</v>
      </c>
      <c r="J44" s="176">
        <f>IFERROR(INDEX(Program_01!$I:$I,MATCH($B44,Program_01!$A:$A,0)),"")</f>
        <v>1</v>
      </c>
      <c r="K44" s="176">
        <f>IFERROR(INDEX(Program_01!$J:$J,MATCH($B44,Program_01!$A:$A,0)),"")</f>
        <v>0</v>
      </c>
      <c r="L44" s="176">
        <f>IFERROR(INDEX(Program_01!$K:$K,MATCH($B44,Program_01!$A:$A,0)),"")</f>
        <v>0</v>
      </c>
      <c r="M44" s="176">
        <f>IFERROR(INDEX(Program_01!$L:$L,MATCH($B44,Program_01!$A:$A,0)),"")</f>
        <v>0</v>
      </c>
      <c r="N44" s="176">
        <f>IFERROR(INDEX(Program_01!$L:$L,MATCH($B44,Program_01!$A:$A,0)),"")</f>
        <v>0</v>
      </c>
      <c r="O44" s="176">
        <f>IFERROR(INDEX(Program_01!$N:$N,MATCH($B44,Program_01!$A:$A,0)),"")</f>
        <v>0</v>
      </c>
      <c r="P44" s="178"/>
      <c r="Q44" s="179" t="str">
        <f>IFERROR(INDEX(Program_01!$C:$C,MATCH($B44,Program_01!$A:$A,0)),"")</f>
        <v>Interim Extension of Time Claim (EOT #1)</v>
      </c>
      <c r="R44" s="176" t="str">
        <f>IFERROR(INDEX(Program_01!$V:$V,MATCH($B44,Program_01!$A:$A,0)),"")</f>
        <v>1TB01006-006C22-STE-LTR-0031</v>
      </c>
      <c r="S44" s="180">
        <f>IFERROR(INDEX(Program_01!$W:$W,MATCH($B44,Program_01!$A:$A,0)),"")</f>
        <v>45406</v>
      </c>
      <c r="T44" s="178"/>
      <c r="U44" s="176" t="str">
        <f>IFERROR(INDEX(Program_01!$Z:$Z,MATCH($B44,Program_01!$A:$A,0)),"")</f>
        <v>1TB01006-006C22-AMA-LTR-0060</v>
      </c>
      <c r="V44" s="181">
        <f>IFERROR(INDEX(Program_01!$AA:$AA,MATCH($B44,Program_01!$A:$A,0)),"")</f>
        <v>45442</v>
      </c>
      <c r="W44" s="182">
        <f t="shared" ca="1" si="0"/>
        <v>36</v>
      </c>
      <c r="X44" s="51"/>
      <c r="Y44" s="179" t="str">
        <f>IFERROR(INDEX(Program_01!$BD:$BD,MATCH($B44,Program_01!$A:$A,0)),"")</f>
        <v>1TB01006-006C22-AMA-LTR-0070 dated 05 Aug 24 (Follow-up letter)
1TB01006-006C22-STE-LTR-0044 dated 17 Aug 24 (resubmission)
1TB01006-006C22-AMA-LTR-0084 dated 16 Sep 24
AMA01006-006C22-002812 dated 09 Feb 24
AMA01006-GENCORR-003497 dated 15 July 2025
STE01006-GENCORR-000240 dated 15 July 2025
AMA01006-GENCORR-003530 dated 24 July 2025
Further particulars provided via following submittals
STE01006-GENCORR-000243 on 27 Jul 25
STE01006-GENCORR-000245 on 28 Jul 25
STE01006-GENCORR-000246 on 29 Jul 25
STE01006-GENCORR-000257 on 07 Aug 25
STE01006-GENCORR-000264  on 04 Oct 25</v>
      </c>
      <c r="Z44" s="51"/>
      <c r="AA44" s="183" t="str">
        <f>IFERROR(IF((INDEX(Program_01!$AD:$AD,MATCH($B44,Program_01!$A:$A,0))=""),INDEX(Program_01!$V:$V,MATCH($B44,Program_01!$A:$A,0)),INDEX(Program_01!$AD:$AD,MATCH($B44,Program_01!$A:$A,0))),"")</f>
        <v>1TB01006-006C22-STE-LTR-0044 dated 17 Aug 24
1TB01006-006C22-STE-LTR-0052 dated 02 Oct 24
1TB01006-006C22-STE-LTR-0054 dated 03 Oct 24
1TB01006-006C22-STE-LTR-0081 on 06 Mar 25
STE01006-GENCORR-000240 on 15 Jul 25
STE01006-GENCORR-000243 on 27 Jul 25
STE01006-GENCORR-000245 on 28 Jul 25
STE01006-GENCORR-000246 on 29 Jul 25
STE01006-GENCORR-000257 on 07 Aug 25
STE01006-GENCORR-000264  on 04 Oct 25</v>
      </c>
      <c r="AB44" s="147">
        <f>IFERROR(IF((INDEX(Program_01!$AE:$AE,MATCH($B44,Program_01!$A:$A,0))=""),INDEX(Program_01!$W:$W,MATCH($B44,Program_01!$A:$A,0)),INDEX(Program_01!$AE:$AE,MATCH($B44,Program_01!$A:$A,0))),"")</f>
        <v>45934</v>
      </c>
      <c r="AC44" s="183" t="str">
        <f>IFERROR(IF($I44="EOT",INDEX(Program_01!$AN:$AN,MATCH($B44,Program_01!$A:$A,0)),INDEX(Program_01!$AY:$AY,MATCH($B44,Program_01!$A:$A,0))),"")</f>
        <v>1TB01006-006C22-AMA-LTR-0156</v>
      </c>
      <c r="AD44" s="181">
        <f>IFERROR(IF($I44="EOT",INDEX(Program_01!$AO:$AO,MATCH($B44,Program_01!$A:$A,0)),INDEX(Program_01!$AZ:$AZ,MATCH($B44,Program_01!$A:$A,0))),"")</f>
        <v>45984</v>
      </c>
      <c r="AE44" s="51"/>
      <c r="AF44" s="183"/>
      <c r="AG44" s="181"/>
      <c r="AH44" s="183">
        <f>IF(OR($D44="",$AS44="VO Issued",$AS44="Open"),"",IF(OR($AC44="Rejected",$AC44="Superseded",$AC44="Dealt Separately"),$AC44,IF($I44="EOT",INDEX(Program_01!$AR:$AR,MATCH($B44,Program_01!$A:$A,0)),INDEX(Program_01!$BB:$BB,MATCH($B44,Program_01!$A:$A,0)))))</f>
        <v>0</v>
      </c>
      <c r="AI44" s="181">
        <f>IF(OR($A44="",$B44="",$I44="",$AS44="VO Issued",$AS44="Open"),"",IF(OR($AD44="N/A"),$AD44,IF($I44="EOT",INDEX(Program_01!$AS:$AS,MATCH($B44,Program_01!$A:$A,0)),INDEX(Program_01!$BC:$BC,MATCH($B44,Program_01!$A:$A,0)))))</f>
        <v>0</v>
      </c>
      <c r="AJ44" s="183">
        <f>IF(OR($D44="",$I44="",$AS44="Determination Issued",$AS44="Rejected",$AS44="Open"),"",IF(OR($AH44="Rejected",$AH44="Dealt Separately",$AH44="Superseded",$AH44="Withdrawn"),"N/A",IF($I44="EOT",INDEX(Program_01!AR:AR,MATCH($B44,Program_01!A:A,0)),INDEX(Program_01!BB:BB,MATCH($B44,Program_01!A:A,0)))))</f>
        <v>0</v>
      </c>
      <c r="AK44" s="181">
        <f>IF(OR($A44="",$B44="",$I44="",$AS44="Determination Issued",$AS44="Rejected",$AS44="Open"),"",IF($AJ44="N/A","N/A",IF($I44="EOT",INDEX(Program_01!AS:AS,MATCH($B44,Program_01!A:A,0)),INDEX(Program_01!BC:BC,MATCH($B44,Program_01!A:A,0)))))</f>
        <v>0</v>
      </c>
      <c r="AL44" s="51"/>
      <c r="AM44" s="184">
        <f>IFERROR(INDEX(Program_01!$BT:$BT,MATCH($B44,Program_01!$A:$A,0)),"")</f>
        <v>0</v>
      </c>
      <c r="AN44" s="184">
        <f>IFERROR(INDEX(Program_01!$BU:$BU,MATCH($B44,Program_01!$A:$A,0)),"")</f>
        <v>0</v>
      </c>
      <c r="AO44" s="184">
        <f>IFERROR(INDEX(Program_01!$BV:$BV,MATCH($B44,Program_01!$A:$A,0)),"")</f>
        <v>0</v>
      </c>
      <c r="AP44" s="51" t="str">
        <f t="shared" si="12"/>
        <v/>
      </c>
      <c r="AQ44" s="184">
        <f>IFERROR(INDEX(Program_01!$BN:$BN,MATCH($B44,Program_01!$A:$A,0)),"")</f>
        <v>0</v>
      </c>
      <c r="AR44" s="184" t="str">
        <f>IFERROR(INDEX(Program_01!$BO:$BO,MATCH($B44,Program_01!$A:$A,0)),"")</f>
        <v>Assessment Report Issued</v>
      </c>
      <c r="AS44" s="184" t="str">
        <f>IFERROR(INDEX(Program_01!$BP:$BP,MATCH($B44,Program_01!$A:$A,0)),"")</f>
        <v>EI Issued</v>
      </c>
      <c r="AT44" s="185" t="str">
        <f>IFERROR(INDEX(Program_01!$BQ:$BQ,MATCH($B44,Program_01!$A:$A,0)),"")</f>
        <v>Closed</v>
      </c>
      <c r="AU44" s="179" t="str">
        <f>IFERROR(INDEX(Program_01!$BR:$BR,MATCH($B44,Program_01!$A:$A,0)),"")</f>
        <v>24 August 25: under review with commercial.target date for submissin to Claims moved to 28 August 25.
04 Sep 25: Draft EAR sent to claims team for review
08 Sep 25: Ditto, under review with claims
28 Sep 25: Draft EAR sent to planning for TIA
29 Sep 25: Target date to be confirmed
01 Oct 25: Draft sent back to commercial for clarifications on the comments from Planning 
02 Oct 25: Draft EAR sent back to planning with clarifications
07 Oct 25: Ditto, Targeted to conclude by 21 Oct 25
13 Oct 25: Ditto
20 Oct 25: Ditto
25 Oct 25: TIA incorporated and sent to commercial for finalisation
27 Oct 25: Action with comm to finalise the EAR prior to claims final review &amp; sent to claims team for approval
28 Oct 25: Final Draft approved and sent back to commercial to initiate WF
02 Nov 25: EAR in WF- 037643
17 Nov 25: approved by GCEO, comm to initiate cover letter WF for issuance
18 Nov 25: WF for Cover letter initiated under ref WF-038234
23 Nov 25: EAR issued to contractor via 1TB01006-006C22-AMA-LTR-0156
01 Dec 25: contractor requested TIA native file via email on 29 Nov 25. TIA file was sent to the contractor via email on (date)
13 Dec 25: No response from the Contractor to the EAR
12 Jan 26 - No response from the Contractor, commercial to issue a follow up letter
13 Jan 26: follow up letter put in WF-040194
22 Jan 26: Contrator accepted the EOT report via 1TB01006-006C22-STE-LTR-0159 , commercial to issue EI
27 Jan 26 - Follow-up letter issued (Ref. 1Tb01006-006C22-AMA-LTR-0178). Tiejun has accepted the EAR (Ltr Ref.  1TB01006-006C22-STE-LTR-0159 dated 22 Jan 2026). Employer's Instruction under Workflow WF-040596
04 Feb 26: EI issued to contractor via AMA01006-EMPI-000042</v>
      </c>
      <c r="AV44" s="186" t="str">
        <f t="shared" si="1"/>
        <v/>
      </c>
      <c r="AW44" s="186" t="str">
        <f t="shared" si="13"/>
        <v>CLOSED</v>
      </c>
      <c r="AX44" s="186" t="str">
        <f t="shared" si="2"/>
        <v>CLOSED</v>
      </c>
      <c r="AY44" s="181">
        <f t="shared" si="14"/>
        <v>45934</v>
      </c>
      <c r="AZ44" s="181">
        <f t="shared" si="23"/>
        <v>45984</v>
      </c>
      <c r="BA44" s="181">
        <f t="shared" si="4"/>
        <v>0</v>
      </c>
      <c r="BC44" s="181">
        <f>IFERROR(INDEX(Program_01!BF:BF,MATCH($B44,Program_01!$A:$A,0)),"")</f>
        <v>45934</v>
      </c>
      <c r="BD44" s="188" t="str">
        <f ca="1">IFERROR(INDEX(Program_01!BG:BG,MATCH($B44,Program_01!$A:$A,0)),"")</f>
        <v>N/A</v>
      </c>
      <c r="BE44" s="181">
        <f>IFERROR(INDEX(Program_01!BH:BH,MATCH($B44,Program_01!$A:$A,0)),"")</f>
        <v>0</v>
      </c>
      <c r="BF44" s="189">
        <f ca="1">IFERROR(INDEX(Program_01!BI:BI,MATCH($B44,Program_01!$A:$A,0)),"")</f>
        <v>0</v>
      </c>
      <c r="BG44" s="181">
        <f>IFERROR(INDEX(Program_01!BJ:BJ,MATCH($B44,Program_01!$A:$A,0)),"")</f>
        <v>0</v>
      </c>
      <c r="BH44" s="189">
        <f ca="1">IFERROR(INDEX(Program_01!BK:BK,MATCH($B44,Program_01!$A:$A,0)),"")</f>
        <v>0</v>
      </c>
      <c r="BI44" s="181">
        <f>IFERROR(INDEX(Program_01!BL:BL,MATCH($B44,Program_01!$A:$A,0)),"")</f>
        <v>0</v>
      </c>
      <c r="BK44" s="190">
        <f>IFERROR(IF(INDEX(Program_01!$BX:$BX,MATCH($B44,Program_01!$A:$A,0))=DATE(1900,1,0),"",INDEX(Program_01!$BX:$BX,MATCH($B44,Program_01!$A:$A,0))),"")</f>
        <v>45984</v>
      </c>
      <c r="BL44" s="190" t="str">
        <f>IFERROR(IF(INDEX(Program_01!$BY:$BY,MATCH($B44,Program_01!$A:$A,0))=DATE(1900,1,0),"",INDEX(Program_01!$BY:$BY,MATCH($B44,Program_01!$A:$A,0))),"")</f>
        <v/>
      </c>
      <c r="BM44" s="188">
        <f t="shared" ca="1" si="15"/>
        <v>50</v>
      </c>
      <c r="BN44" s="191">
        <f t="shared" ca="1" si="16"/>
        <v>50</v>
      </c>
      <c r="BO44" s="188">
        <f t="shared" ca="1" si="5"/>
        <v>50</v>
      </c>
      <c r="BP44" s="188" t="str">
        <f t="shared" si="6"/>
        <v>1</v>
      </c>
      <c r="BQ44" s="188" t="str">
        <f t="shared" ca="1" si="17"/>
        <v/>
      </c>
      <c r="BR44" s="181" t="str">
        <f t="shared" ca="1" si="24"/>
        <v/>
      </c>
      <c r="BT44" s="190" t="str">
        <f>IFERROR(IF(INDEX(Program_01!$BZ:$BZ,MATCH($B44,Program_01!$A:$A,0))=DATE(1900,1,0),"",INDEX(Program_01!$BZ:$BZ,MATCH($B44,Program_01!$A:$A,0))),"")</f>
        <v/>
      </c>
      <c r="BU44" s="182" t="str">
        <f t="shared" ca="1" si="22"/>
        <v/>
      </c>
      <c r="BV44" s="188" t="str">
        <f t="shared" si="7"/>
        <v/>
      </c>
      <c r="BW44" s="188" t="str">
        <f t="shared" si="8"/>
        <v>1</v>
      </c>
      <c r="BX44" s="188" t="str">
        <f t="shared" ca="1" si="9"/>
        <v/>
      </c>
      <c r="BY44" s="181" t="str">
        <f t="shared" ca="1" si="25"/>
        <v/>
      </c>
      <c r="CA44" s="192" t="str">
        <f t="shared" si="20"/>
        <v>Y</v>
      </c>
      <c r="CB44" s="192" t="str">
        <f t="shared" si="21"/>
        <v>N</v>
      </c>
      <c r="CC44" s="193">
        <f>IFERROR(INDEX(Program_01!$CE:$CE,MATCH($B44,Program_01!$A:$A,0)),"")</f>
        <v>45417</v>
      </c>
      <c r="CD44" s="193">
        <f t="shared" si="26"/>
        <v>45417</v>
      </c>
      <c r="CG44" s="194">
        <f>IFERROR(INDEX(Program_01!$AT:$AT,MATCH($B44,Program_01!$A:$A,0)),"")</f>
        <v>0</v>
      </c>
      <c r="CH44" s="194">
        <f>IFERROR(INDEX(Program_01!$AX:$AX,MATCH($B44,Program_01!$A:$A,0)),"")</f>
        <v>0</v>
      </c>
    </row>
    <row r="45" spans="1:87" s="187" customFormat="1" ht="102">
      <c r="A45" s="174" t="s">
        <v>1</v>
      </c>
      <c r="B45" s="175">
        <v>27</v>
      </c>
      <c r="C45" s="176" t="str">
        <f>IFERROR(INDEX(Program_01!$B:$B,MATCH($B45,Program_01!$A:$A,0)),"")</f>
        <v>COST EAR</v>
      </c>
      <c r="D45" s="176" t="str">
        <f>IFERROR(INDEX(Program_01!$D:$D,MATCH($B45,Program_01!$A:$A,0)),"")</f>
        <v>1TB01003C03</v>
      </c>
      <c r="E45" s="176" t="str">
        <f>IFERROR(INDEX(Program_01!$E:$E,MATCH($B45,Program_01!$A:$A,0)),"")</f>
        <v>1.TB.01.003.01</v>
      </c>
      <c r="F45" s="176" t="str">
        <f>IFERROR(INDEX(Program_01!$F:$F,MATCH($B45,Program_01!$A:$A,0)),"")</f>
        <v xml:space="preserve">AMAALA Yacht Club </v>
      </c>
      <c r="G45" s="176" t="str">
        <f>IFERROR(INDEX(Program_01!$G:$G,MATCH($B45,Program_01!$A:$A,0)),"")</f>
        <v>Construction Contract - Site Enabling, Civil Works, Structural Concrete, Structural Steel, BOH Finishes, Building Envelope, MEP Including Tertiary Infrastructure &amp; ICT/ELV</v>
      </c>
      <c r="H45" s="176" t="str">
        <f>IFERROR(INDEX(Program_01!$H:$H,MATCH($B45,Program_01!$A:$A,0)),"")</f>
        <v>Saudi Arabian Baytur Construction Company</v>
      </c>
      <c r="I45" s="176" t="str">
        <f t="shared" si="11"/>
        <v>Other Claims</v>
      </c>
      <c r="J45" s="176">
        <f>IFERROR(INDEX(Program_01!$I:$I,MATCH($B45,Program_01!$A:$A,0)),"")</f>
        <v>0</v>
      </c>
      <c r="K45" s="176">
        <f>IFERROR(INDEX(Program_01!$J:$J,MATCH($B45,Program_01!$A:$A,0)),"")</f>
        <v>0</v>
      </c>
      <c r="L45" s="176">
        <f>IFERROR(INDEX(Program_01!$K:$K,MATCH($B45,Program_01!$A:$A,0)),"")</f>
        <v>0</v>
      </c>
      <c r="M45" s="176">
        <f>IFERROR(INDEX(Program_01!$L:$L,MATCH($B45,Program_01!$A:$A,0)),"")</f>
        <v>0</v>
      </c>
      <c r="N45" s="176">
        <f>IFERROR(INDEX(Program_01!$L:$L,MATCH($B45,Program_01!$A:$A,0)),"")</f>
        <v>0</v>
      </c>
      <c r="O45" s="176">
        <f>IFERROR(INDEX(Program_01!$N:$N,MATCH($B45,Program_01!$A:$A,0)),"")</f>
        <v>1</v>
      </c>
      <c r="P45" s="178"/>
      <c r="Q45" s="179" t="str">
        <f>IFERROR(INDEX(Program_01!$C:$C,MATCH($B45,Program_01!$A:$A,0)),"")</f>
        <v>Omission of Glazing Works by Employer, Dispute Notice.</v>
      </c>
      <c r="R45" s="176" t="str">
        <f>IFERROR(INDEX(Program_01!$V:$V,MATCH($B45,Program_01!$A:$A,0)),"")</f>
        <v>1TB01003-003C03-SAB-LTR-0088</v>
      </c>
      <c r="S45" s="180">
        <f>IFERROR(INDEX(Program_01!$W:$W,MATCH($B45,Program_01!$A:$A,0)),"")</f>
        <v>45416</v>
      </c>
      <c r="T45" s="178"/>
      <c r="U45" s="176" t="str">
        <f>IFERROR(INDEX(Program_01!$Z:$Z,MATCH($B45,Program_01!$A:$A,0)),"")</f>
        <v>1TB01003-003C03-AMA-LTR-0168</v>
      </c>
      <c r="V45" s="181">
        <f>IFERROR(INDEX(Program_01!$AA:$AA,MATCH($B45,Program_01!$A:$A,0)),"")</f>
        <v>45432</v>
      </c>
      <c r="W45" s="182">
        <f t="shared" ca="1" si="0"/>
        <v>16</v>
      </c>
      <c r="X45" s="51"/>
      <c r="Y45" s="179" t="str">
        <f>IFERROR(INDEX(Program_01!$BD:$BD,MATCH($B45,Program_01!$A:$A,0)),"")</f>
        <v>1TB01003-003C03-AMA-LTR-0145, dated March 25, 2024
1TB01003-003C03-AMA-LTR-0144, dated March 17, 2024
1TB01003-003C03-AMA-LTR-0154, dated May 01, 2024.
1TB01003-003C03-SAB-LTR-0084, dated 27 Mar. 2024
1TB01003-003C03-SAB-LTR-0088, dated 04 May, 2024
1TB01003-003C03-AMA-LTR-0168 dated 20 May 2024</v>
      </c>
      <c r="Z45" s="51"/>
      <c r="AA45" s="183" t="str">
        <f>IFERROR(IF((INDEX(Program_01!$AD:$AD,MATCH($B45,Program_01!$A:$A,0))=""),INDEX(Program_01!$V:$V,MATCH($B45,Program_01!$A:$A,0)),INDEX(Program_01!$AD:$AD,MATCH($B45,Program_01!$A:$A,0))),"")</f>
        <v>1TB01003-003C03-SAB-LTR-0088</v>
      </c>
      <c r="AB45" s="147">
        <f>IFERROR(IF((INDEX(Program_01!$AE:$AE,MATCH($B45,Program_01!$A:$A,0))=""),INDEX(Program_01!$W:$W,MATCH($B45,Program_01!$A:$A,0)),INDEX(Program_01!$AE:$AE,MATCH($B45,Program_01!$A:$A,0))),"")</f>
        <v>45416</v>
      </c>
      <c r="AC45" s="183" t="str">
        <f>IFERROR(IF($I45="EOT",INDEX(Program_01!$AN:$AN,MATCH($B45,Program_01!$A:$A,0)),INDEX(Program_01!$AY:$AY,MATCH($B45,Program_01!$A:$A,0))),"")</f>
        <v>Not Applicable</v>
      </c>
      <c r="AD45" s="181" t="str">
        <f>IFERROR(IF($I45="EOT",INDEX(Program_01!$AO:$AO,MATCH($B45,Program_01!$A:$A,0)),INDEX(Program_01!$AZ:$AZ,MATCH($B45,Program_01!$A:$A,0))),"")</f>
        <v>N/A</v>
      </c>
      <c r="AE45" s="51"/>
      <c r="AF45" s="183"/>
      <c r="AG45" s="181"/>
      <c r="AH45" s="183" t="str">
        <f>IF(OR($D45="",$AS45="VO Issued",$AS45="Open"),"",IF(OR($AC45="Rejected",$AC45="Superseded",$AC45="Dealt Separately"),$AC45,IF($I45="EOT",INDEX(Program_01!$AR:$AR,MATCH($B45,Program_01!$A:$A,0)),INDEX(Program_01!$BB:$BB,MATCH($B45,Program_01!$A:$A,0)))))</f>
        <v>Not Applicable</v>
      </c>
      <c r="AI45" s="181" t="str">
        <f>IF(OR($A45="",$B45="",$I45="",$AS45="VO Issued",$AS45="Open"),"",IF(OR($AD45="N/A"),$AD45,IF($I45="EOT",INDEX(Program_01!$AS:$AS,MATCH($B45,Program_01!$A:$A,0)),INDEX(Program_01!$BC:$BC,MATCH($B45,Program_01!$A:$A,0)))))</f>
        <v>N/A</v>
      </c>
      <c r="AJ45" s="183" t="str">
        <f>IF(OR($D45="",$I45="",$AS45="Determination Issued",$AS45="Rejected",$AS45="Open"),"",IF(OR($AH45="Rejected",$AH45="Dealt Separately",$AH45="Superseded",$AH45="Withdrawn"),"N/A",IF($I45="EOT",INDEX(Program_01!AR:AR,MATCH($B45,Program_01!A:A,0)),INDEX(Program_01!BB:BB,MATCH($B45,Program_01!A:A,0)))))</f>
        <v>Not Applicable</v>
      </c>
      <c r="AK45" s="181" t="str">
        <f>IF(OR($A45="",$B45="",$I45="",$AS45="Determination Issued",$AS45="Rejected",$AS45="Open"),"",IF($AJ45="N/A","N/A",IF($I45="EOT",INDEX(Program_01!AS:AS,MATCH($B45,Program_01!A:A,0)),INDEX(Program_01!BC:BC,MATCH($B45,Program_01!A:A,0)))))</f>
        <v>N/A</v>
      </c>
      <c r="AL45" s="51"/>
      <c r="AM45" s="184">
        <f>IFERROR(INDEX(Program_01!$BT:$BT,MATCH($B45,Program_01!$A:$A,0)),"")</f>
        <v>0</v>
      </c>
      <c r="AN45" s="184" t="str">
        <f>IFERROR(INDEX(Program_01!$BU:$BU,MATCH($B45,Program_01!$A:$A,0)),"")</f>
        <v>No</v>
      </c>
      <c r="AO45" s="184" t="str">
        <f>IFERROR(INDEX(Program_01!$BV:$BV,MATCH($B45,Program_01!$A:$A,0)),"")</f>
        <v>Yes</v>
      </c>
      <c r="AP45" s="51" t="str">
        <f t="shared" si="12"/>
        <v>1</v>
      </c>
      <c r="AQ45" s="184">
        <f>IFERROR(INDEX(Program_01!$BN:$BN,MATCH($B45,Program_01!$A:$A,0)),"")</f>
        <v>0</v>
      </c>
      <c r="AR45" s="184" t="str">
        <f>IFERROR(INDEX(Program_01!$BO:$BO,MATCH($B45,Program_01!$A:$A,0)),"")</f>
        <v>Not Applicable</v>
      </c>
      <c r="AS45" s="184" t="s">
        <v>221</v>
      </c>
      <c r="AT45" s="185" t="str">
        <f>IFERROR(INDEX(Program_01!$BQ:$BQ,MATCH($B45,Program_01!$A:$A,0)),"")</f>
        <v>Closed</v>
      </c>
      <c r="AU45" s="179" t="str">
        <f>IFERROR(INDEX(Program_01!$BR:$BR,MATCH($B45,Program_01!$A:$A,0)),"")</f>
        <v xml:space="preserve">06 May 24: Commercial to prepare the initial response. 
20 May 24: Initial response was made to the contractor 
this entry is in relation to an existing dispute notice (item No. 12) above and hence a duplicate. </v>
      </c>
      <c r="AV45" s="186" t="str">
        <f t="shared" si="1"/>
        <v/>
      </c>
      <c r="AW45" s="186" t="str">
        <f t="shared" si="13"/>
        <v>CLOSED</v>
      </c>
      <c r="AX45" s="186" t="str">
        <f t="shared" si="2"/>
        <v>CLOSED</v>
      </c>
      <c r="AY45" s="181">
        <f t="shared" si="14"/>
        <v>45416</v>
      </c>
      <c r="AZ45" s="181" t="str">
        <f t="shared" si="23"/>
        <v>N/A</v>
      </c>
      <c r="BA45" s="181" t="str">
        <f t="shared" si="4"/>
        <v>N/A</v>
      </c>
      <c r="BC45" s="181">
        <f>IFERROR(INDEX(Program_01!BF:BF,MATCH($B45,Program_01!$A:$A,0)),"")</f>
        <v>45416</v>
      </c>
      <c r="BD45" s="188" t="str">
        <f ca="1">IFERROR(INDEX(Program_01!BG:BG,MATCH($B45,Program_01!$A:$A,0)),"")</f>
        <v>N/A</v>
      </c>
      <c r="BE45" s="181">
        <f>IFERROR(INDEX(Program_01!BH:BH,MATCH($B45,Program_01!$A:$A,0)),"")</f>
        <v>0</v>
      </c>
      <c r="BF45" s="189" t="str">
        <f ca="1">IFERROR(INDEX(Program_01!BI:BI,MATCH($B45,Program_01!$A:$A,0)),"")</f>
        <v>N/A</v>
      </c>
      <c r="BG45" s="181">
        <f>IFERROR(INDEX(Program_01!BJ:BJ,MATCH($B45,Program_01!$A:$A,0)),"")</f>
        <v>0</v>
      </c>
      <c r="BH45" s="189">
        <f ca="1">IFERROR(INDEX(Program_01!BK:BK,MATCH($B45,Program_01!$A:$A,0)),"")</f>
        <v>0</v>
      </c>
      <c r="BI45" s="181">
        <f>IFERROR(INDEX(Program_01!BL:BL,MATCH($B45,Program_01!$A:$A,0)),"")</f>
        <v>0</v>
      </c>
      <c r="BK45" s="190">
        <f>IFERROR(IF(INDEX(Program_01!$BX:$BX,MATCH($B45,Program_01!$A:$A,0))=DATE(1900,1,0),"",INDEX(Program_01!$BX:$BX,MATCH($B45,Program_01!$A:$A,0))),"")</f>
        <v>45446</v>
      </c>
      <c r="BL45" s="190" t="str">
        <f>IFERROR(IF(INDEX(Program_01!$BY:$BY,MATCH($B45,Program_01!$A:$A,0))=DATE(1900,1,0),"",INDEX(Program_01!$BY:$BY,MATCH($B45,Program_01!$A:$A,0))),"")</f>
        <v/>
      </c>
      <c r="BM45" s="188" t="str">
        <f t="shared" ca="1" si="15"/>
        <v/>
      </c>
      <c r="BN45" s="191">
        <f t="shared" ca="1" si="16"/>
        <v>0</v>
      </c>
      <c r="BO45" s="188" t="str">
        <f t="shared" si="5"/>
        <v/>
      </c>
      <c r="BP45" s="188" t="str">
        <f t="shared" si="6"/>
        <v>1</v>
      </c>
      <c r="BQ45" s="188" t="str">
        <f t="shared" ca="1" si="17"/>
        <v/>
      </c>
      <c r="BR45" s="181" t="str">
        <f t="shared" ca="1" si="24"/>
        <v/>
      </c>
      <c r="BT45" s="190" t="str">
        <f>IFERROR(IF(INDEX(Program_01!$BZ:$BZ,MATCH($B45,Program_01!$A:$A,0))=DATE(1900,1,0),"",INDEX(Program_01!$BZ:$BZ,MATCH($B45,Program_01!$A:$A,0))),"")</f>
        <v/>
      </c>
      <c r="BU45" s="182" t="str">
        <f t="shared" ca="1" si="22"/>
        <v/>
      </c>
      <c r="BV45" s="188" t="str">
        <f t="shared" si="7"/>
        <v/>
      </c>
      <c r="BW45" s="188" t="str">
        <f t="shared" si="8"/>
        <v>1</v>
      </c>
      <c r="BX45" s="188" t="str">
        <f t="shared" ca="1" si="9"/>
        <v/>
      </c>
      <c r="BY45" s="181" t="str">
        <f t="shared" ca="1" si="25"/>
        <v/>
      </c>
      <c r="CA45" s="192" t="str">
        <f t="shared" si="20"/>
        <v>N</v>
      </c>
      <c r="CB45" s="192" t="str">
        <f t="shared" si="21"/>
        <v>N</v>
      </c>
      <c r="CC45" s="193">
        <f>IFERROR(INDEX(Program_01!$CE:$CE,MATCH($B45,Program_01!$A:$A,0)),"")</f>
        <v>45418</v>
      </c>
      <c r="CD45" s="193">
        <f t="shared" si="26"/>
        <v>45418</v>
      </c>
      <c r="CG45" s="194" t="str">
        <f>IFERROR(INDEX(Program_01!$AT:$AT,MATCH($B45,Program_01!$A:$A,0)),"")</f>
        <v>N/A</v>
      </c>
      <c r="CH45" s="194">
        <f>IFERROR(INDEX(Program_01!$AX:$AX,MATCH($B45,Program_01!$A:$A,0)),"")</f>
        <v>0</v>
      </c>
    </row>
    <row r="46" spans="1:87" s="187" customFormat="1" ht="404">
      <c r="A46" s="174" t="s">
        <v>1</v>
      </c>
      <c r="B46" s="175">
        <v>28</v>
      </c>
      <c r="C46" s="176" t="str">
        <f>IFERROR(INDEX(Program_01!$B:$B,MATCH($B46,Program_01!$A:$A,0)),"")</f>
        <v>COST EAR</v>
      </c>
      <c r="D46" s="176" t="str">
        <f>IFERROR(INDEX(Program_01!$D:$D,MATCH($B46,Program_01!$A:$A,0)),"")</f>
        <v>1TB01005C02</v>
      </c>
      <c r="E46" s="176" t="str">
        <f>IFERROR(INDEX(Program_01!$E:$E,MATCH($B46,Program_01!$A:$A,0)),"")</f>
        <v>1.TB.01.005.01</v>
      </c>
      <c r="F46" s="176" t="str">
        <f>IFERROR(INDEX(Program_01!$F:$F,MATCH($B46,Program_01!$A:$A,0)),"")</f>
        <v>Red Sea Marine Life Institute</v>
      </c>
      <c r="G46" s="176" t="str">
        <f>IFERROR(INDEX(Program_01!$G:$G,MATCH($B46,Program_01!$A:$A,0)),"")</f>
        <v>Construction Contract - Structural Concrete, Wet Trades, Dewatering, Earthworks &amp; BOH Finishes</v>
      </c>
      <c r="H46" s="176" t="str">
        <f>IFERROR(INDEX(Program_01!$H:$H,MATCH($B46,Program_01!$A:$A,0)),"")</f>
        <v>Saudi Arabian Baytur Construction Company</v>
      </c>
      <c r="I46" s="176" t="str">
        <f t="shared" si="11"/>
        <v>Other Claims</v>
      </c>
      <c r="J46" s="176">
        <f>IFERROR(INDEX(Program_01!$I:$I,MATCH($B46,Program_01!$A:$A,0)),"")</f>
        <v>0</v>
      </c>
      <c r="K46" s="176">
        <f>IFERROR(INDEX(Program_01!$J:$J,MATCH($B46,Program_01!$A:$A,0)),"")</f>
        <v>0</v>
      </c>
      <c r="L46" s="176">
        <f>IFERROR(INDEX(Program_01!$K:$K,MATCH($B46,Program_01!$A:$A,0)),"")</f>
        <v>0</v>
      </c>
      <c r="M46" s="176">
        <f>IFERROR(INDEX(Program_01!$L:$L,MATCH($B46,Program_01!$A:$A,0)),"")</f>
        <v>0</v>
      </c>
      <c r="N46" s="176">
        <f>IFERROR(INDEX(Program_01!$L:$L,MATCH($B46,Program_01!$A:$A,0)),"")</f>
        <v>0</v>
      </c>
      <c r="O46" s="176">
        <f>IFERROR(INDEX(Program_01!$N:$N,MATCH($B46,Program_01!$A:$A,0)),"")</f>
        <v>1</v>
      </c>
      <c r="P46" s="178"/>
      <c r="Q46" s="179" t="str">
        <f>IFERROR(INDEX(Program_01!$C:$C,MATCH($B46,Program_01!$A:$A,0)),"")</f>
        <v xml:space="preserve">Dissatisfaction with Determination of Variation Order (No. 07) - Variation Order No.
05 – BK Gulf Temporary Site Office (Cost Recovery) </v>
      </c>
      <c r="R46" s="176" t="str">
        <f>IFERROR(INDEX(Program_01!$V:$V,MATCH($B46,Program_01!$A:$A,0)),"")</f>
        <v>1TB01005-005C02-SAB-LTR-0128</v>
      </c>
      <c r="S46" s="180">
        <f>IFERROR(INDEX(Program_01!$W:$W,MATCH($B46,Program_01!$A:$A,0)),"")</f>
        <v>45448</v>
      </c>
      <c r="T46" s="178"/>
      <c r="U46" s="176" t="str">
        <f>IFERROR(INDEX(Program_01!$Z:$Z,MATCH($B46,Program_01!$A:$A,0)),"")</f>
        <v>1TB01005-005C02-AMA-LTR-0131</v>
      </c>
      <c r="V46" s="181">
        <f>IFERROR(INDEX(Program_01!$AA:$AA,MATCH($B46,Program_01!$A:$A,0)),"")</f>
        <v>45517</v>
      </c>
      <c r="W46" s="182">
        <f t="shared" ca="1" si="0"/>
        <v>69</v>
      </c>
      <c r="X46" s="51"/>
      <c r="Y46" s="179" t="str">
        <f>IFERROR(INDEX(Program_01!$BD:$BD,MATCH($B46,Program_01!$A:$A,0)),"")</f>
        <v>1TB01005-005C02-AMA-LTR-0117 dated 30 May 24 - Determination of Variation Order (No. 07) – The Cost Recovery for BK Gulf Temporary Site Office Construction
1TB01005-005C02-AMA-LTR-0117, dated 30 May 24 DVO issued.
1TB01005-005C02-SAB-LTR-0128, dated 05 June 24, Dissatisfaction with Determination of Variation Order (No. 07) issued by the Contractor
1TB01005-005C02-SAB-LTR-0140 dated 14 July 24, Dispute Notice issued by the Contractor
Amaala Responsed via letter ref 1TB01005-005C02-AMA-LTR-0131 on 13 Aug 24
further to that contractor responded via 1TB01005-005C02-SAB-LTR-0211 on 01 Dec 24</v>
      </c>
      <c r="Z46" s="51"/>
      <c r="AA46" s="183" t="str">
        <f>IFERROR(IF((INDEX(Program_01!$AD:$AD,MATCH($B46,Program_01!$A:$A,0))=""),INDEX(Program_01!$V:$V,MATCH($B46,Program_01!$A:$A,0)),INDEX(Program_01!$AD:$AD,MATCH($B46,Program_01!$A:$A,0))),"")</f>
        <v>1TB01005-005C02-SAB-LTR-0128</v>
      </c>
      <c r="AB46" s="147">
        <f>IFERROR(IF((INDEX(Program_01!$AE:$AE,MATCH($B46,Program_01!$A:$A,0))=""),INDEX(Program_01!$W:$W,MATCH($B46,Program_01!$A:$A,0)),INDEX(Program_01!$AE:$AE,MATCH($B46,Program_01!$A:$A,0))),"")</f>
        <v>45448</v>
      </c>
      <c r="AC46" s="183" t="str">
        <f>IFERROR(IF($I46="EOT",INDEX(Program_01!$AN:$AN,MATCH($B46,Program_01!$A:$A,0)),INDEX(Program_01!$AY:$AY,MATCH($B46,Program_01!$A:$A,0))),"")</f>
        <v>Not Applicable</v>
      </c>
      <c r="AD46" s="181" t="str">
        <f>IFERROR(IF($I46="EOT",INDEX(Program_01!$AO:$AO,MATCH($B46,Program_01!$A:$A,0)),INDEX(Program_01!$AZ:$AZ,MATCH($B46,Program_01!$A:$A,0))),"")</f>
        <v>N/A</v>
      </c>
      <c r="AE46" s="51"/>
      <c r="AF46" s="183"/>
      <c r="AG46" s="181"/>
      <c r="AH46" s="183" t="str">
        <f>IF(OR($D46="",$AS46="VO Issued",$AS46="Open"),"",IF(OR($AC46="Rejected",$AC46="Superseded",$AC46="Dealt Separately"),$AC46,IF($I46="EOT",INDEX(Program_01!$AR:$AR,MATCH($B46,Program_01!$A:$A,0)),INDEX(Program_01!$BB:$BB,MATCH($B46,Program_01!$A:$A,0)))))</f>
        <v>Not Applicable</v>
      </c>
      <c r="AI46" s="181" t="str">
        <f>IF(OR($A46="",$B46="",$I46="",$AS46="VO Issued",$AS46="Open"),"",IF(OR($AD46="N/A"),$AD46,IF($I46="EOT",INDEX(Program_01!$AS:$AS,MATCH($B46,Program_01!$A:$A,0)),INDEX(Program_01!$BC:$BC,MATCH($B46,Program_01!$A:$A,0)))))</f>
        <v>N/A</v>
      </c>
      <c r="AJ46" s="183" t="str">
        <f>IF(OR($D46="",$I46="",$AS46="Determination Issued",$AS46="Rejected",$AS46="Open"),"",IF(OR($AH46="Rejected",$AH46="Dealt Separately",$AH46="Superseded",$AH46="Withdrawn"),"N/A",IF($I46="EOT",INDEX(Program_01!AR:AR,MATCH($B46,Program_01!A:A,0)),INDEX(Program_01!BB:BB,MATCH($B46,Program_01!A:A,0)))))</f>
        <v>Not Applicable</v>
      </c>
      <c r="AK46" s="181" t="str">
        <f>IF(OR($A46="",$B46="",$I46="",$AS46="Determination Issued",$AS46="Rejected",$AS46="Open"),"",IF($AJ46="N/A","N/A",IF($I46="EOT",INDEX(Program_01!AS:AS,MATCH($B46,Program_01!A:A,0)),INDEX(Program_01!BC:BC,MATCH($B46,Program_01!A:A,0)))))</f>
        <v>N/A</v>
      </c>
      <c r="AL46" s="51"/>
      <c r="AM46" s="184">
        <f>IFERROR(INDEX(Program_01!$BT:$BT,MATCH($B46,Program_01!$A:$A,0)),"")</f>
        <v>0</v>
      </c>
      <c r="AN46" s="184" t="str">
        <f>IFERROR(INDEX(Program_01!$BU:$BU,MATCH($B46,Program_01!$A:$A,0)),"")</f>
        <v>Yes</v>
      </c>
      <c r="AO46" s="184" t="str">
        <f>IFERROR(INDEX(Program_01!$BV:$BV,MATCH($B46,Program_01!$A:$A,0)),"")</f>
        <v>Yes</v>
      </c>
      <c r="AP46" s="51" t="str">
        <f t="shared" si="12"/>
        <v>1</v>
      </c>
      <c r="AQ46" s="184">
        <f>IFERROR(INDEX(Program_01!$BN:$BN,MATCH($B46,Program_01!$A:$A,0)),"")</f>
        <v>0</v>
      </c>
      <c r="AR46" s="184" t="str">
        <f>IFERROR(INDEX(Program_01!$BO:$BO,MATCH($B46,Program_01!$A:$A,0)),"")</f>
        <v>Canceled</v>
      </c>
      <c r="AS46" s="184" t="str">
        <f>IFERROR(INDEX(Program_01!$BP:$BP,MATCH($B46,Program_01!$A:$A,0)),"")</f>
        <v>Canceled</v>
      </c>
      <c r="AT46" s="185" t="str">
        <f>IFERROR(INDEX(Program_01!$BQ:$BQ,MATCH($B46,Program_01!$A:$A,0)),"")</f>
        <v>Closed</v>
      </c>
      <c r="AU46" s="179" t="str">
        <f>IFERROR(INDEX(Program_01!$BR:$BR,MATCH($B46,Program_01!$A:$A,0)),"")</f>
        <v>13 Jan 25: unable to agree with SAB's value and propose to issue a formal determination
27 Jan 25: Ditto. Targeted to determine bt 6 Feb 2025
09 Feb 25: Please advise on the Action? Formal determination letter issued on 30th May 24. SAB  issued dispute notice and Ama responded. SAB issued further request for a revised determination on 1st Dec 24. If its determined do we keep responding?
24 Feb 25 - Project team awaiting confirmation on further action.
Dispute Notice issued by the Contractor via 1TB01005-005C02-SAB-LTR-0140 dated 14 July 24
Amaala Responsed via letter ref 1TB01005-005C02-AMA-LTR-0131 on 13 Aug 24
further to that contractor responded via 1TB01005-005C02-SAB-LTR-0211 on 01 Dec 24
09 Mar 25 - Project team awaiting confirmation on further action.
24 Mar 25: Ditto
07 Apr 25: Ditto
09 Apr 25: Ditto
20 Apr 25: Ditto
05 May 25: Ditto
19 May 25: Ditto
16 Jun 25 - ditto
30 Jun 25 - Ditto
13 Jul 25: Ditto
27 Jul 25: Ditto - Can this be closed not, since Contract terminated, time for dispute expired? A Notice of Termination was issued to SAB via 1TB01005-005C02-AMA-LTR-0210 on 23 Jul 25
09 Aug 25: Claims team to advise on what action is required.
24 August 25: Ditto
06 Oct 25: Ditto
17 Nov 25: Agreed item can be closed given Contractor is terminated  in internal calims/commercial meeting on  13 Nov 25.</v>
      </c>
      <c r="AV46" s="186" t="str">
        <f t="shared" si="1"/>
        <v/>
      </c>
      <c r="AW46" s="186" t="str">
        <f t="shared" si="13"/>
        <v>CLOSED</v>
      </c>
      <c r="AX46" s="186" t="str">
        <f t="shared" si="2"/>
        <v>CLOSED</v>
      </c>
      <c r="AY46" s="181">
        <f t="shared" si="14"/>
        <v>45448</v>
      </c>
      <c r="AZ46" s="181" t="str">
        <f t="shared" si="23"/>
        <v>N/A</v>
      </c>
      <c r="BA46" s="181" t="str">
        <f t="shared" si="4"/>
        <v>N/A</v>
      </c>
      <c r="BC46" s="181">
        <f>IFERROR(INDEX(Program_01!BF:BF,MATCH($B46,Program_01!$A:$A,0)),"")</f>
        <v>45448</v>
      </c>
      <c r="BD46" s="188" t="str">
        <f ca="1">IFERROR(INDEX(Program_01!BG:BG,MATCH($B46,Program_01!$A:$A,0)),"")</f>
        <v>N/A</v>
      </c>
      <c r="BE46" s="181">
        <f>IFERROR(INDEX(Program_01!BH:BH,MATCH($B46,Program_01!$A:$A,0)),"")</f>
        <v>0</v>
      </c>
      <c r="BF46" s="189" t="str">
        <f ca="1">IFERROR(INDEX(Program_01!BI:BI,MATCH($B46,Program_01!$A:$A,0)),"")</f>
        <v>N/A</v>
      </c>
      <c r="BG46" s="181">
        <f>IFERROR(INDEX(Program_01!BJ:BJ,MATCH($B46,Program_01!$A:$A,0)),"")</f>
        <v>0</v>
      </c>
      <c r="BH46" s="189">
        <f ca="1">IFERROR(INDEX(Program_01!BK:BK,MATCH($B46,Program_01!$A:$A,0)),"")</f>
        <v>0</v>
      </c>
      <c r="BI46" s="181">
        <f>IFERROR(INDEX(Program_01!BL:BL,MATCH($B46,Program_01!$A:$A,0)),"")</f>
        <v>0</v>
      </c>
      <c r="BK46" s="190">
        <f>IFERROR(IF(INDEX(Program_01!$BX:$BX,MATCH($B46,Program_01!$A:$A,0))=DATE(1900,1,0),"",INDEX(Program_01!$BX:$BX,MATCH($B46,Program_01!$A:$A,0))),"")</f>
        <v>45978</v>
      </c>
      <c r="BL46" s="190" t="str">
        <f>IFERROR(IF(INDEX(Program_01!$BY:$BY,MATCH($B46,Program_01!$A:$A,0))=DATE(1900,1,0),"",INDEX(Program_01!$BY:$BY,MATCH($B46,Program_01!$A:$A,0))),"")</f>
        <v/>
      </c>
      <c r="BM46" s="188" t="str">
        <f t="shared" ca="1" si="15"/>
        <v/>
      </c>
      <c r="BN46" s="191">
        <f t="shared" ca="1" si="16"/>
        <v>0</v>
      </c>
      <c r="BO46" s="188" t="str">
        <f t="shared" si="5"/>
        <v/>
      </c>
      <c r="BP46" s="188" t="str">
        <f t="shared" si="6"/>
        <v>1</v>
      </c>
      <c r="BQ46" s="188" t="str">
        <f t="shared" ca="1" si="17"/>
        <v/>
      </c>
      <c r="BR46" s="181" t="str">
        <f t="shared" ca="1" si="24"/>
        <v/>
      </c>
      <c r="BT46" s="190" t="str">
        <f>IFERROR(IF(INDEX(Program_01!$BZ:$BZ,MATCH($B46,Program_01!$A:$A,0))=DATE(1900,1,0),"",INDEX(Program_01!$BZ:$BZ,MATCH($B46,Program_01!$A:$A,0))),"")</f>
        <v/>
      </c>
      <c r="BU46" s="182" t="str">
        <f t="shared" ca="1" si="22"/>
        <v/>
      </c>
      <c r="BV46" s="188" t="str">
        <f t="shared" si="7"/>
        <v/>
      </c>
      <c r="BW46" s="188" t="str">
        <f t="shared" si="8"/>
        <v>1</v>
      </c>
      <c r="BX46" s="188" t="str">
        <f t="shared" ca="1" si="9"/>
        <v/>
      </c>
      <c r="BY46" s="181" t="str">
        <f t="shared" ca="1" si="25"/>
        <v/>
      </c>
      <c r="CA46" s="192" t="str">
        <f t="shared" si="20"/>
        <v>N</v>
      </c>
      <c r="CB46" s="192" t="str">
        <f t="shared" si="21"/>
        <v>N</v>
      </c>
      <c r="CC46" s="193">
        <f>IFERROR(INDEX(Program_01!$CE:$CE,MATCH($B46,Program_01!$A:$A,0)),"")</f>
        <v>45467</v>
      </c>
      <c r="CD46" s="193">
        <f t="shared" si="26"/>
        <v>45467</v>
      </c>
      <c r="CG46" s="194" t="str">
        <f>IFERROR(INDEX(Program_01!$AT:$AT,MATCH($B46,Program_01!$A:$A,0)),"")</f>
        <v>N/A</v>
      </c>
      <c r="CH46" s="194">
        <f>IFERROR(INDEX(Program_01!$AX:$AX,MATCH($B46,Program_01!$A:$A,0)),"")</f>
        <v>0</v>
      </c>
    </row>
    <row r="47" spans="1:87" s="187" customFormat="1" ht="348.75" customHeight="1">
      <c r="A47" s="174" t="s">
        <v>1</v>
      </c>
      <c r="B47" s="175">
        <v>29</v>
      </c>
      <c r="C47" s="176" t="str">
        <f>IFERROR(INDEX(Program_01!$B:$B,MATCH($B47,Program_01!$A:$A,0)),"")</f>
        <v>FULL TIA EAR</v>
      </c>
      <c r="D47" s="176" t="str">
        <f>IFERROR(INDEX(Program_01!$D:$D,MATCH($B47,Program_01!$A:$A,0)),"")</f>
        <v>1TB01003C08</v>
      </c>
      <c r="E47" s="176" t="str">
        <f>IFERROR(INDEX(Program_01!$E:$E,MATCH($B47,Program_01!$A:$A,0)),"")</f>
        <v>1.TB.01.003.01</v>
      </c>
      <c r="F47" s="176" t="str">
        <f>IFERROR(INDEX(Program_01!$F:$F,MATCH($B47,Program_01!$A:$A,0)),"")</f>
        <v xml:space="preserve">AMAALA Yacht Club </v>
      </c>
      <c r="G47" s="176" t="str">
        <f>IFERROR(INDEX(Program_01!$G:$G,MATCH($B47,Program_01!$A:$A,0)),"")</f>
        <v>Kitchen &amp; Laundry Works</v>
      </c>
      <c r="H47" s="176" t="str">
        <f>IFERROR(INDEX(Program_01!$H:$H,MATCH($B47,Program_01!$A:$A,0)),"")</f>
        <v>Abdulaziz Al Raqtan and Partners Company for Trading and Industry Company</v>
      </c>
      <c r="I47" s="176" t="str">
        <f t="shared" si="11"/>
        <v>EOT</v>
      </c>
      <c r="J47" s="176">
        <f>IFERROR(INDEX(Program_01!$I:$I,MATCH($B47,Program_01!$A:$A,0)),"")</f>
        <v>1</v>
      </c>
      <c r="K47" s="176">
        <f>IFERROR(INDEX(Program_01!$J:$J,MATCH($B47,Program_01!$A:$A,0)),"")</f>
        <v>0</v>
      </c>
      <c r="L47" s="176">
        <f>IFERROR(INDEX(Program_01!$K:$K,MATCH($B47,Program_01!$A:$A,0)),"")</f>
        <v>0</v>
      </c>
      <c r="M47" s="176">
        <f>IFERROR(INDEX(Program_01!$L:$L,MATCH($B47,Program_01!$A:$A,0)),"")</f>
        <v>0</v>
      </c>
      <c r="N47" s="176">
        <f>IFERROR(INDEX(Program_01!$L:$L,MATCH($B47,Program_01!$A:$A,0)),"")</f>
        <v>0</v>
      </c>
      <c r="O47" s="176">
        <f>IFERROR(INDEX(Program_01!$N:$N,MATCH($B47,Program_01!$A:$A,0)),"")</f>
        <v>0</v>
      </c>
      <c r="P47" s="178"/>
      <c r="Q47" s="179" t="str">
        <f>IFERROR(INDEX(Program_01!$C:$C,MATCH($B47,Program_01!$A:$A,0)),"")</f>
        <v>Extension of Time Claim AYC - non-readiness of site (Interim Claim)</v>
      </c>
      <c r="R47" s="176" t="str">
        <f>IFERROR(INDEX(Program_01!$V:$V,MATCH($B47,Program_01!$A:$A,0)),"")</f>
        <v>1TB01003-003C08-RQN-LTR-0001</v>
      </c>
      <c r="S47" s="180">
        <f>IFERROR(INDEX(Program_01!$W:$W,MATCH($B47,Program_01!$A:$A,0)),"")</f>
        <v>45450</v>
      </c>
      <c r="T47" s="178"/>
      <c r="U47" s="176" t="str">
        <f>IFERROR(INDEX(Program_01!$Z:$Z,MATCH($B47,Program_01!$A:$A,0)),"")</f>
        <v>1TB01003-003C08-AMA-LTR-0017</v>
      </c>
      <c r="V47" s="181">
        <f>IFERROR(INDEX(Program_01!$AA:$AA,MATCH($B47,Program_01!$A:$A,0)),"")</f>
        <v>45498</v>
      </c>
      <c r="W47" s="182">
        <f t="shared" ca="1" si="0"/>
        <v>48</v>
      </c>
      <c r="X47" s="51"/>
      <c r="Y47" s="179" t="str">
        <f>IFERROR(INDEX(Program_01!$BD:$BD,MATCH($B47,Program_01!$A:$A,0)),"")</f>
        <v>1TB01003-003C08-AMA-LTR-0020 dated 17 Aug 24
AMA01003-GENCORR-00094 dated 13 Dec 24</v>
      </c>
      <c r="Z47" s="51"/>
      <c r="AA47" s="183" t="str">
        <f>IFERROR(IF((INDEX(Program_01!$AD:$AD,MATCH($B47,Program_01!$A:$A,0))=""),INDEX(Program_01!$V:$V,MATCH($B47,Program_01!$A:$A,0)),INDEX(Program_01!$AD:$AD,MATCH($B47,Program_01!$A:$A,0))),"")</f>
        <v xml:space="preserve">RQN01003-CLM-000001 dated 31 Jul 24
RQN01003-CLM-000004 dated 22 Aug 24
RQN01003-CLM-000005 29 Aug 24
RQN01003-GENCORR-000028
</v>
      </c>
      <c r="AB47" s="147">
        <f>IFERROR(IF((INDEX(Program_01!$AE:$AE,MATCH($B47,Program_01!$A:$A,0))=""),INDEX(Program_01!$W:$W,MATCH($B47,Program_01!$A:$A,0)),INDEX(Program_01!$AE:$AE,MATCH($B47,Program_01!$A:$A,0))),"")</f>
        <v>45672</v>
      </c>
      <c r="AC47" s="183" t="str">
        <f>IFERROR(IF($I47="EOT",INDEX(Program_01!$AN:$AN,MATCH($B47,Program_01!$A:$A,0)),INDEX(Program_01!$AY:$AY,MATCH($B47,Program_01!$A:$A,0))),"")</f>
        <v>1TB01003-003C08-AMA-LTR-0032</v>
      </c>
      <c r="AD47" s="181">
        <f>IFERROR(IF($I47="EOT",INDEX(Program_01!$AO:$AO,MATCH($B47,Program_01!$A:$A,0)),INDEX(Program_01!$AZ:$AZ,MATCH($B47,Program_01!$A:$A,0))),"")</f>
        <v>45753</v>
      </c>
      <c r="AE47" s="51"/>
      <c r="AF47" s="183"/>
      <c r="AG47" s="181"/>
      <c r="AH47" s="183" t="str">
        <f>IF(OR($D47="",$AS47="VO Issued",$AS47="Open"),"",IF(OR($AC47="Rejected",$AC47="Superseded",$AC47="Dealt Separately"),$AC47,IF($I47="EOT",INDEX(Program_01!$AR:$AR,MATCH($B47,Program_01!$A:$A,0)),INDEX(Program_01!$BB:$BB,MATCH($B47,Program_01!$A:$A,0)))))</f>
        <v>AMA01003-EMPI-000005</v>
      </c>
      <c r="AI47" s="181">
        <f>IF(OR($A47="",$B47="",$I47="",$AS47="VO Issued",$AS47="Open"),"",IF(OR($AD47="N/A"),$AD47,IF($I47="EOT",INDEX(Program_01!$AS:$AS,MATCH($B47,Program_01!$A:$A,0)),INDEX(Program_01!$BC:$BC,MATCH($B47,Program_01!$A:$A,0)))))</f>
        <v>45775</v>
      </c>
      <c r="AJ47" s="183" t="str">
        <f>IF(OR($D47="",$I47="",$AS47="Determination Issued",$AS47="Rejected",$AS47="Open"),"",IF(OR($AH47="Rejected",$AH47="Dealt Separately",$AH47="Superseded",$AH47="Withdrawn"),"N/A",IF($I47="EOT",INDEX(Program_01!AR:AR,MATCH($B47,Program_01!A:A,0)),INDEX(Program_01!BB:BB,MATCH($B47,Program_01!A:A,0)))))</f>
        <v>AMA01003-EMPI-000005</v>
      </c>
      <c r="AK47" s="181">
        <f>IF(OR($A47="",$B47="",$I47="",$AS47="Determination Issued",$AS47="Rejected",$AS47="Open"),"",IF($AJ47="N/A","N/A",IF($I47="EOT",INDEX(Program_01!AS:AS,MATCH($B47,Program_01!A:A,0)),INDEX(Program_01!BC:BC,MATCH($B47,Program_01!A:A,0)))))</f>
        <v>45775</v>
      </c>
      <c r="AL47" s="51"/>
      <c r="AM47" s="184">
        <f>IFERROR(INDEX(Program_01!$BT:$BT,MATCH($B47,Program_01!$A:$A,0)),"")</f>
        <v>0</v>
      </c>
      <c r="AN47" s="184">
        <f>IFERROR(INDEX(Program_01!$BU:$BU,MATCH($B47,Program_01!$A:$A,0)),"")</f>
        <v>0</v>
      </c>
      <c r="AO47" s="184">
        <f>IFERROR(INDEX(Program_01!$BV:$BV,MATCH($B47,Program_01!$A:$A,0)),"")</f>
        <v>0</v>
      </c>
      <c r="AP47" s="51" t="str">
        <f t="shared" si="12"/>
        <v/>
      </c>
      <c r="AQ47" s="184">
        <f>IFERROR(INDEX(Program_01!$BN:$BN,MATCH($B47,Program_01!$A:$A,0)),"")</f>
        <v>0</v>
      </c>
      <c r="AR47" s="184" t="str">
        <f>IFERROR(INDEX(Program_01!$BO:$BO,MATCH($B47,Program_01!$A:$A,0)),"")</f>
        <v>Assessment Report Issued</v>
      </c>
      <c r="AS47" s="184" t="str">
        <f>IFERROR(INDEX(Program_01!$BP:$BP,MATCH($B47,Program_01!$A:$A,0)),"")</f>
        <v>EI Issued</v>
      </c>
      <c r="AT47" s="185" t="str">
        <f>IFERROR(INDEX(Program_01!$BQ:$BQ,MATCH($B47,Program_01!$A:$A,0)),"")</f>
        <v>Closed</v>
      </c>
      <c r="AU47" s="179" t="str">
        <f>IFERROR(INDEX(Program_01!$BR:$BR,MATCH($B47,Program_01!$A:$A,0)),"")</f>
        <v>13 Jan 24: commercial to chase the contractor for resubmission
25 Jan 2025 : Commercial currently reviewing, certain clarifications still pending and will be discussed with Planning and Delivery team this week
28 Jan 25: contractor submitted further particulars on 15 Jan 25 via aconex mail ref RQN01003-GENCORR-000028, revised EOT report was sent to claims &amp; planning for review
11 Feb 25: Ditto
17 Feb 25: Planning reverted the report incorporating TIA
18 Feb 25: EAR under approval with claims team
24 Feb 25: ditto
05 Feb 25: EAR approved by claims and sent to commercial to initiate WF
09 Mar 25: EOT Report (time) in WF for approval (WF-011406)
23 Mar 25: WF approved by GCEO, to be issued to the contractor
06 Apr 25: Letter approved on 05 April 2025 - Employer's Assessment to be issued to contractor by COB today
09 Apr 25: EAR issued to the contractor on 06 Apr 25 via ref 1TB01003-003C08-AMA-LTR-0032 
17 Apr 25: awaiting contractors acceptance of the report
20 Apr 25: Contractor accepts the Employer's Assessment on 17 Apr via ref  RQN01003-GENCORR-000032. Commercial to issue EI awarding EOT to formally close this line item
22 Apr 25: Ditto
29 Apr25: Employer's Instruction No. 02 - Extension of Time of the Time for Completion – EOT 01 issued to RAQTAN under Aconex mail AMA01003-EMPI-000005 on 28 Apr 2025.</v>
      </c>
      <c r="AV47" s="186" t="str">
        <f t="shared" si="1"/>
        <v/>
      </c>
      <c r="AW47" s="186" t="str">
        <f t="shared" si="13"/>
        <v>CLOSED</v>
      </c>
      <c r="AX47" s="186" t="str">
        <f t="shared" si="2"/>
        <v>CLOSED</v>
      </c>
      <c r="AY47" s="181">
        <f t="shared" si="14"/>
        <v>45672</v>
      </c>
      <c r="AZ47" s="181">
        <f>IF($AD47=0,"",AD47)</f>
        <v>45753</v>
      </c>
      <c r="BA47" s="181">
        <f t="shared" si="4"/>
        <v>45775</v>
      </c>
      <c r="BC47" s="181">
        <f>IFERROR(INDEX(Program_01!BF:BF,MATCH($B47,Program_01!$A:$A,0)),"")</f>
        <v>45672</v>
      </c>
      <c r="BD47" s="188" t="str">
        <f ca="1">IFERROR(INDEX(Program_01!BG:BG,MATCH($B47,Program_01!$A:$A,0)),"")</f>
        <v>N/A</v>
      </c>
      <c r="BE47" s="181">
        <f>IFERROR(INDEX(Program_01!BH:BH,MATCH($B47,Program_01!$A:$A,0)),"")</f>
        <v>0</v>
      </c>
      <c r="BF47" s="189">
        <f ca="1">IFERROR(INDEX(Program_01!BI:BI,MATCH($B47,Program_01!$A:$A,0)),"")</f>
        <v>0</v>
      </c>
      <c r="BG47" s="181">
        <f>IFERROR(INDEX(Program_01!BJ:BJ,MATCH($B47,Program_01!$A:$A,0)),"")</f>
        <v>0</v>
      </c>
      <c r="BH47" s="189">
        <f ca="1">IFERROR(INDEX(Program_01!BK:BK,MATCH($B47,Program_01!$A:$A,0)),"")</f>
        <v>0</v>
      </c>
      <c r="BI47" s="181">
        <f>IFERROR(INDEX(Program_01!BL:BL,MATCH($B47,Program_01!$A:$A,0)),"")</f>
        <v>0</v>
      </c>
      <c r="BK47" s="190">
        <f>IFERROR(IF(INDEX(Program_01!$BX:$BX,MATCH($B47,Program_01!$A:$A,0))=DATE(1900,1,0),"",INDEX(Program_01!$BX:$BX,MATCH($B47,Program_01!$A:$A,0))),"")</f>
        <v>45753</v>
      </c>
      <c r="BL47" s="190" t="str">
        <f>IFERROR(IF(INDEX(Program_01!$BY:$BY,MATCH($B47,Program_01!$A:$A,0))=DATE(1900,1,0),"",INDEX(Program_01!$BY:$BY,MATCH($B47,Program_01!$A:$A,0))),"")</f>
        <v/>
      </c>
      <c r="BM47" s="188">
        <f t="shared" ca="1" si="15"/>
        <v>81</v>
      </c>
      <c r="BN47" s="191">
        <f t="shared" ca="1" si="16"/>
        <v>81</v>
      </c>
      <c r="BO47" s="188">
        <f t="shared" ca="1" si="5"/>
        <v>81</v>
      </c>
      <c r="BP47" s="188" t="str">
        <f t="shared" si="6"/>
        <v>1</v>
      </c>
      <c r="BQ47" s="188" t="str">
        <f t="shared" ca="1" si="17"/>
        <v/>
      </c>
      <c r="BR47" s="181" t="str">
        <f ca="1">IF(BQ47="","","1")</f>
        <v/>
      </c>
      <c r="BT47" s="190" t="str">
        <f>IFERROR(IF(INDEX(Program_01!$BZ:$BZ,MATCH($B47,Program_01!$A:$A,0))=DATE(1900,1,0),"",INDEX(Program_01!$BZ:$BZ,MATCH($B47,Program_01!$A:$A,0))),"")</f>
        <v/>
      </c>
      <c r="BU47" s="182" t="str">
        <f t="shared" ca="1" si="22"/>
        <v/>
      </c>
      <c r="BV47" s="188" t="str">
        <f t="shared" si="7"/>
        <v/>
      </c>
      <c r="BW47" s="188" t="str">
        <f t="shared" si="8"/>
        <v>1</v>
      </c>
      <c r="BX47" s="188" t="str">
        <f t="shared" ca="1" si="9"/>
        <v/>
      </c>
      <c r="BY47" s="181" t="str">
        <f ca="1">IF(BX47="","","1")</f>
        <v/>
      </c>
      <c r="CA47" s="192" t="str">
        <f t="shared" si="20"/>
        <v>Y</v>
      </c>
      <c r="CB47" s="192" t="str">
        <f t="shared" si="21"/>
        <v>N</v>
      </c>
      <c r="CC47" s="193">
        <f>IFERROR(INDEX(Program_01!$CE:$CE,MATCH($B47,Program_01!$A:$A,0)),"")</f>
        <v>45467</v>
      </c>
      <c r="CD47" s="193">
        <f t="shared" si="26"/>
        <v>45467</v>
      </c>
      <c r="CG47" s="194">
        <f>IFERROR(INDEX(Program_01!$AT:$AT,MATCH($B47,Program_01!$A:$A,0)),"")</f>
        <v>0</v>
      </c>
      <c r="CH47" s="194">
        <f>IFERROR(INDEX(Program_01!$AX:$AX,MATCH($B47,Program_01!$A:$A,0)),"")</f>
        <v>0</v>
      </c>
    </row>
    <row r="48" spans="1:87" s="187" customFormat="1" ht="408.75" customHeight="1">
      <c r="A48" s="174" t="s">
        <v>1</v>
      </c>
      <c r="B48" s="197">
        <v>30</v>
      </c>
      <c r="C48" s="176" t="str">
        <f>IFERROR(INDEX(Program_01!$B:$B,MATCH($B48,Program_01!$A:$A,0)),"")</f>
        <v>FULL TIA EAR</v>
      </c>
      <c r="D48" s="176" t="str">
        <f>IFERROR(INDEX(Program_01!$D:$D,MATCH($B48,Program_01!$A:$A,0)),"")</f>
        <v>1TB01009C12</v>
      </c>
      <c r="E48" s="176" t="str">
        <f>IFERROR(INDEX(Program_01!$E:$E,MATCH($B48,Program_01!$A:$A,0)),"")</f>
        <v>1.TB.01.009.01</v>
      </c>
      <c r="F48" s="176" t="str">
        <f>IFERROR(INDEX(Program_01!$F:$F,MATCH($B48,Program_01!$A:$A,0)),"")</f>
        <v>Marina Hotel 3</v>
      </c>
      <c r="G48" s="176" t="str">
        <f>IFERROR(INDEX(Program_01!$G:$G,MATCH($B48,Program_01!$A:$A,0)),"")</f>
        <v>Civil &amp; Concrete Works for Marina Hotel 3 - Phase 1</v>
      </c>
      <c r="H48" s="176" t="str">
        <f>IFERROR(INDEX(Program_01!$H:$H,MATCH($B48,Program_01!$A:$A,0)),"")</f>
        <v>MAS Engineering &amp; Construction Company LTD</v>
      </c>
      <c r="I48" s="176" t="str">
        <f t="shared" si="11"/>
        <v>EOT</v>
      </c>
      <c r="J48" s="176">
        <f>IFERROR(INDEX(Program_01!$I:$I,MATCH($B48,Program_01!$A:$A,0)),"")</f>
        <v>1</v>
      </c>
      <c r="K48" s="176">
        <f>IFERROR(INDEX(Program_01!$J:$J,MATCH($B48,Program_01!$A:$A,0)),"")</f>
        <v>0</v>
      </c>
      <c r="L48" s="176">
        <f>IFERROR(INDEX(Program_01!$K:$K,MATCH($B48,Program_01!$A:$A,0)),"")</f>
        <v>0</v>
      </c>
      <c r="M48" s="176">
        <f>IFERROR(INDEX(Program_01!$L:$L,MATCH($B48,Program_01!$A:$A,0)),"")</f>
        <v>0</v>
      </c>
      <c r="N48" s="176">
        <f>IFERROR(INDEX(Program_01!$L:$L,MATCH($B48,Program_01!$A:$A,0)),"")</f>
        <v>0</v>
      </c>
      <c r="O48" s="176">
        <f>IFERROR(INDEX(Program_01!$N:$N,MATCH($B48,Program_01!$A:$A,0)),"")</f>
        <v>0</v>
      </c>
      <c r="P48" s="178"/>
      <c r="Q48" s="179" t="str">
        <f>IFERROR(INDEX(Program_01!$C:$C,MATCH($B48,Program_01!$A:$A,0)),"")</f>
        <v>Requesting for an Extension of Time Claim</v>
      </c>
      <c r="R48" s="176" t="str">
        <f>IFERROR(INDEX(Program_01!$V:$V,MATCH($B48,Program_01!$A:$A,0)),"")</f>
        <v>1TB01009-009C12-MEC-LTR-0020</v>
      </c>
      <c r="S48" s="180">
        <f>IFERROR(INDEX(Program_01!$W:$W,MATCH($B48,Program_01!$A:$A,0)),"")</f>
        <v>45403</v>
      </c>
      <c r="T48" s="178"/>
      <c r="U48" s="176" t="str">
        <f>IFERROR(INDEX(Program_01!$Z:$Z,MATCH($B48,Program_01!$A:$A,0)),"")</f>
        <v>1TB01009-009C12-AMA-LTR-0060</v>
      </c>
      <c r="V48" s="181">
        <f>IFERROR(INDEX(Program_01!$AA:$AA,MATCH($B48,Program_01!$A:$A,0)),"")</f>
        <v>45455</v>
      </c>
      <c r="W48" s="182">
        <f t="shared" ca="1" si="0"/>
        <v>52</v>
      </c>
      <c r="X48" s="51"/>
      <c r="Y48" s="179" t="str">
        <f>IFERROR(INDEX(Program_01!$BD:$BD,MATCH($B48,Program_01!$A:$A,0)),"")</f>
        <v>EOT Submission ref. 1TB01009-009C12-MEC-LTR-0020 dated 20 April 2024
Employers response to EOT ref. 1TB01009-009C12-AMA-LTR-0060 dated 12 June 2024
Contractor's response: 1TB01009-009C12-MEC-LTR-0028 dated 13 July 2024
1TB01009-009C12-MEC-LTR-0041 dated 11 Nov 24</v>
      </c>
      <c r="Z48" s="51"/>
      <c r="AA48" s="183" t="str">
        <f>IFERROR(IF((INDEX(Program_01!$AD:$AD,MATCH($B48,Program_01!$A:$A,0))=""),INDEX(Program_01!$V:$V,MATCH($B48,Program_01!$A:$A,0)),INDEX(Program_01!$AD:$AD,MATCH($B48,Program_01!$A:$A,0))),"")</f>
        <v>1TB01009-009C12-MEC-LTR-0028 dated 13 Jul 24
1TB01009-009C12-MEC-LTR-0041 dated 11 Nov 24
MEC01009-TRANSMIT-000237
1TB01009-009C12-MEC-LTR-0042</v>
      </c>
      <c r="AB48" s="147">
        <f>IFERROR(IF((INDEX(Program_01!$AE:$AE,MATCH($B48,Program_01!$A:$A,0))=""),INDEX(Program_01!$W:$W,MATCH($B48,Program_01!$A:$A,0)),INDEX(Program_01!$AE:$AE,MATCH($B48,Program_01!$A:$A,0))),"")</f>
        <v>45615</v>
      </c>
      <c r="AC48" s="183" t="str">
        <f>IFERROR(IF($I48="EOT",INDEX(Program_01!$AN:$AN,MATCH($B48,Program_01!$A:$A,0)),INDEX(Program_01!$AY:$AY,MATCH($B48,Program_01!$A:$A,0))),"")</f>
        <v>1TB01009-009C12-AMA-LTR-0091</v>
      </c>
      <c r="AD48" s="181">
        <f>IFERROR(IF($I48="EOT",INDEX(Program_01!$AO:$AO,MATCH($B48,Program_01!$A:$A,0)),INDEX(Program_01!$AZ:$AZ,MATCH($B48,Program_01!$A:$A,0))),"")</f>
        <v>45764</v>
      </c>
      <c r="AE48" s="51"/>
      <c r="AF48" s="183"/>
      <c r="AG48" s="181"/>
      <c r="AH48" s="183">
        <f>IF(OR($D48="",$AS48="VO Issued",$AS48="Open"),"",IF(OR($AC48="Rejected",$AC48="Superseded",$AC48="Dealt Separately"),$AC48,IF($I48="EOT",INDEX(Program_01!$AR:$AR,MATCH($B48,Program_01!$A:$A,0)),INDEX(Program_01!$BB:$BB,MATCH($B48,Program_01!$A:$A,0)))))</f>
        <v>0</v>
      </c>
      <c r="AI48" s="181">
        <f>IF(OR($A48="",$B48="",$I48="",$AS48="VO Issued",$AS48="Open"),"",IF(OR($AD48="N/A"),$AD48,IF($I48="EOT",INDEX(Program_01!$AS:$AS,MATCH($B48,Program_01!$A:$A,0)),INDEX(Program_01!$BC:$BC,MATCH($B48,Program_01!$A:$A,0)))))</f>
        <v>0</v>
      </c>
      <c r="AJ48" s="183" t="str">
        <f>IF(OR($D48="",$I48="",$AS48="Determination Issued",$AS48="Rejected",$AS48="Open"),"",IF(OR($AH48="Rejected",$AH48="Dealt Separately",$AH48="Superseded",$AH48="Withdrawn"),"N/A",IF($I48="EOT",INDEX(Program_01!AR:AR,MATCH($B48,Program_01!A:A,0)),INDEX(Program_01!BB:BB,MATCH($B48,Program_01!A:A,0)))))</f>
        <v/>
      </c>
      <c r="AK48" s="181" t="str">
        <f>IF(OR($A48="",$B48="",$I48="",$AS48="Determination Issued",$AS48="Rejected",$AS48="Open"),"",IF($AJ48="N/A","N/A",IF($I48="EOT",INDEX(Program_01!AS:AS,MATCH($B48,Program_01!A:A,0)),INDEX(Program_01!BC:BC,MATCH($B48,Program_01!A:A,0)))))</f>
        <v/>
      </c>
      <c r="AL48" s="51"/>
      <c r="AM48" s="184">
        <f>IFERROR(INDEX(Program_01!$BT:$BT,MATCH($B48,Program_01!$A:$A,0)),"")</f>
        <v>0</v>
      </c>
      <c r="AN48" s="184" t="str">
        <f>IFERROR(INDEX(Program_01!$BU:$BU,MATCH($B48,Program_01!$A:$A,0)),"")</f>
        <v>Yes</v>
      </c>
      <c r="AO48" s="184">
        <f>IFERROR(INDEX(Program_01!$BV:$BV,MATCH($B48,Program_01!$A:$A,0)),"")</f>
        <v>0</v>
      </c>
      <c r="AP48" s="51" t="str">
        <f t="shared" si="12"/>
        <v>1</v>
      </c>
      <c r="AQ48" s="184">
        <f>IFERROR(INDEX(Program_01!$BN:$BN,MATCH($B48,Program_01!$A:$A,0)),"")</f>
        <v>0</v>
      </c>
      <c r="AR48" s="184" t="str">
        <f>IFERROR(INDEX(Program_01!$BO:$BO,MATCH($B48,Program_01!$A:$A,0)),"")</f>
        <v>Assessment Report Issued</v>
      </c>
      <c r="AS48" s="184" t="str">
        <f>IFERROR(INDEX(Program_01!$BP:$BP,MATCH($B48,Program_01!$A:$A,0)),"")</f>
        <v>Determination Issued</v>
      </c>
      <c r="AT48" s="185" t="str">
        <f>IFERROR(INDEX(Program_01!$BQ:$BQ,MATCH($B48,Program_01!$A:$A,0)),"")</f>
        <v>Closed</v>
      </c>
      <c r="AU48" s="179" t="str">
        <f>IFERROR(INDEX(Program_01!$BR:$BR,MATCH($B48,Program_01!$A:$A,0)),"")</f>
        <v>23 Feb 26: Response to NOD issued to Contractor. Ref - 1TB01009-009C12-AMA-LTR-0103 dated 15 Feb 26.
08 Mar 26: Ditto
06 Apr 26: Determination previously issued and response to NOD issued. No further action required from RSG at the moment 
20 Apr 26: Ditto
04 May 26: Ditto
18 May 26: Ditto
31 May 26: Ditto
04 Jun 26: Ditto
15 Jun 26: Commercial to issue a letter confirimg this claim to be closed in the absence of any response from the contractor till date
27 Jun 26: Final account negotiation is ongoing with the Contractor, including EOT claim, aiming to conclude the draft Final Statement and receive the final letter of discharge from the Contractor by 21 July 26
13 Jul 26: Ditto
25 Jul 26: Ditto. Expected by first week of 03 August 2026
10 Aug 26: Contractor to settle the outstanding Accommodation payments. Once completed, TOC and FAS shall be issued. Target date 20 Aug 26
22 Aug 26: No further action. Discharge letter from Contractor is being prepared and shall be received by 27 Aug 26 - This shall confirm agreement to EOT issued, waive off all prolongation and any further claims and close the Contract.
5 Sep 26: Through letter ref. 1TB01009-009C12-MEC-LTR-0061 dated 25 Aug 26 contractor has confirmed the closure of the Contract with the provided EOT duration and confirmed no prolongation cost
19 Sep 26: the Taking-Over Certificate (TOC) for the Contract is currently under internal review and approval. The target completion date is 03 October 2026</v>
      </c>
      <c r="AV48" s="186" t="str">
        <f t="shared" si="1"/>
        <v/>
      </c>
      <c r="AW48" s="186" t="str">
        <f t="shared" si="13"/>
        <v>CLOSED</v>
      </c>
      <c r="AX48" s="186" t="str">
        <f t="shared" si="2"/>
        <v>CLOSED</v>
      </c>
      <c r="AY48" s="181">
        <f t="shared" si="14"/>
        <v>45615</v>
      </c>
      <c r="AZ48" s="181">
        <f>IF($AD48=0,"",AD48)</f>
        <v>45764</v>
      </c>
      <c r="BA48" s="181">
        <f t="shared" si="4"/>
        <v>0</v>
      </c>
      <c r="BC48" s="181">
        <f>IFERROR(INDEX(Program_01!BF:BF,MATCH($B48,Program_01!$A:$A,0)),"")</f>
        <v>45615</v>
      </c>
      <c r="BD48" s="188" t="str">
        <f ca="1">IFERROR(INDEX(Program_01!BG:BG,MATCH($B48,Program_01!$A:$A,0)),"")</f>
        <v>N/A</v>
      </c>
      <c r="BE48" s="181">
        <f>IFERROR(INDEX(Program_01!BH:BH,MATCH($B48,Program_01!$A:$A,0)),"")</f>
        <v>0</v>
      </c>
      <c r="BF48" s="189">
        <f ca="1">IFERROR(INDEX(Program_01!BI:BI,MATCH($B48,Program_01!$A:$A,0)),"")</f>
        <v>0</v>
      </c>
      <c r="BG48" s="181">
        <f>IFERROR(INDEX(Program_01!BJ:BJ,MATCH($B48,Program_01!$A:$A,0)),"")</f>
        <v>0</v>
      </c>
      <c r="BH48" s="189">
        <f ca="1">IFERROR(INDEX(Program_01!BK:BK,MATCH($B48,Program_01!$A:$A,0)),"")</f>
        <v>0</v>
      </c>
      <c r="BI48" s="181">
        <f>IFERROR(INDEX(Program_01!BL:BL,MATCH($B48,Program_01!$A:$A,0)),"")</f>
        <v>0</v>
      </c>
      <c r="BK48" s="190">
        <f>IFERROR(IF(INDEX(Program_01!$BX:$BX,MATCH($B48,Program_01!$A:$A,0))=DATE(1900,1,0),"",INDEX(Program_01!$BX:$BX,MATCH($B48,Program_01!$A:$A,0))),"")</f>
        <v>45764</v>
      </c>
      <c r="BL48" s="190" t="str">
        <f>IFERROR(IF(INDEX(Program_01!$BY:$BY,MATCH($B48,Program_01!$A:$A,0))=DATE(1900,1,0),"",INDEX(Program_01!$BY:$BY,MATCH($B48,Program_01!$A:$A,0))),"")</f>
        <v/>
      </c>
      <c r="BM48" s="188">
        <f t="shared" ca="1" si="15"/>
        <v>149</v>
      </c>
      <c r="BN48" s="191">
        <f t="shared" ca="1" si="16"/>
        <v>149</v>
      </c>
      <c r="BO48" s="188">
        <f t="shared" ca="1" si="5"/>
        <v>149</v>
      </c>
      <c r="BP48" s="188" t="str">
        <f t="shared" si="6"/>
        <v>1</v>
      </c>
      <c r="BQ48" s="188" t="str">
        <f t="shared" ca="1" si="17"/>
        <v/>
      </c>
      <c r="BR48" s="181" t="str">
        <f ca="1">IF(BQ48="","","1")</f>
        <v/>
      </c>
      <c r="BT48" s="190" t="str">
        <f>IFERROR(IF(INDEX(Program_01!$BZ:$BZ,MATCH($B48,Program_01!$A:$A,0))=DATE(1900,1,0),"",INDEX(Program_01!$BZ:$BZ,MATCH($B48,Program_01!$A:$A,0))),"")</f>
        <v/>
      </c>
      <c r="BU48" s="182" t="str">
        <f t="shared" ca="1" si="22"/>
        <v/>
      </c>
      <c r="BV48" s="188" t="str">
        <f t="shared" ca="1" si="7"/>
        <v/>
      </c>
      <c r="BW48" s="188" t="str">
        <f t="shared" si="8"/>
        <v>1</v>
      </c>
      <c r="BX48" s="188" t="str">
        <f t="shared" ca="1" si="9"/>
        <v/>
      </c>
      <c r="BY48" s="181" t="str">
        <f ca="1">IF(BX48="","","1")</f>
        <v/>
      </c>
      <c r="CA48" s="192" t="str">
        <f t="shared" si="20"/>
        <v>Y</v>
      </c>
      <c r="CB48" s="192" t="str">
        <f t="shared" si="21"/>
        <v>Y</v>
      </c>
      <c r="CC48" s="193">
        <f>IFERROR(INDEX(Program_01!$CE:$CE,MATCH($B48,Program_01!$A:$A,0)),"")</f>
        <v>45487</v>
      </c>
      <c r="CD48" s="193">
        <f t="shared" si="26"/>
        <v>45487</v>
      </c>
      <c r="CG48" s="194">
        <f>IFERROR(INDEX(Program_01!$AT:$AT,MATCH($B48,Program_01!$A:$A,0)),"")</f>
        <v>0</v>
      </c>
      <c r="CH48" s="194">
        <f>IFERROR(INDEX(Program_01!$AX:$AX,MATCH($B48,Program_01!$A:$A,0)),"")</f>
        <v>0</v>
      </c>
    </row>
    <row r="49" spans="1:86" s="187" customFormat="1" ht="204">
      <c r="A49" s="174" t="s">
        <v>1</v>
      </c>
      <c r="B49" s="175">
        <v>31</v>
      </c>
      <c r="C49" s="176" t="str">
        <f>IFERROR(INDEX(Program_01!$B:$B,MATCH($B49,Program_01!$A:$A,0)),"")</f>
        <v>FULL TIA EAR</v>
      </c>
      <c r="D49" s="176" t="str">
        <f>IFERROR(INDEX(Program_01!$D:$D,MATCH($B49,Program_01!$A:$A,0)),"")</f>
        <v>1TB01031C02</v>
      </c>
      <c r="E49" s="176" t="str">
        <f>IFERROR(INDEX(Program_01!$E:$E,MATCH($B49,Program_01!$A:$A,0)),"")</f>
        <v>1.TB.01.031.01</v>
      </c>
      <c r="F49" s="176" t="str">
        <f>IFERROR(INDEX(Program_01!$F:$F,MATCH($B49,Program_01!$A:$A,0)),"")</f>
        <v>The Marina</v>
      </c>
      <c r="G49" s="176" t="str">
        <f>IFERROR(INDEX(Program_01!$G:$G,MATCH($B49,Program_01!$A:$A,0)),"")</f>
        <v>Triple Bay Marina Basin - Design and Build Main Contract</v>
      </c>
      <c r="H49" s="176" t="str">
        <f>IFERROR(INDEX(Program_01!$H:$H,MATCH($B49,Program_01!$A:$A,0)),"")</f>
        <v>Alsaad General Contracting Company</v>
      </c>
      <c r="I49" s="176" t="str">
        <f t="shared" si="11"/>
        <v>EOT</v>
      </c>
      <c r="J49" s="176">
        <f>IFERROR(INDEX(Program_01!$I:$I,MATCH($B49,Program_01!$A:$A,0)),"")</f>
        <v>1</v>
      </c>
      <c r="K49" s="176">
        <f>IFERROR(INDEX(Program_01!$J:$J,MATCH($B49,Program_01!$A:$A,0)),"")</f>
        <v>0</v>
      </c>
      <c r="L49" s="176">
        <f>IFERROR(INDEX(Program_01!$K:$K,MATCH($B49,Program_01!$A:$A,0)),"")</f>
        <v>0</v>
      </c>
      <c r="M49" s="176">
        <f>IFERROR(INDEX(Program_01!$L:$L,MATCH($B49,Program_01!$A:$A,0)),"")</f>
        <v>0</v>
      </c>
      <c r="N49" s="176">
        <f>IFERROR(INDEX(Program_01!$L:$L,MATCH($B49,Program_01!$A:$A,0)),"")</f>
        <v>0</v>
      </c>
      <c r="O49" s="176">
        <f>IFERROR(INDEX(Program_01!$N:$N,MATCH($B49,Program_01!$A:$A,0)),"")</f>
        <v>0</v>
      </c>
      <c r="P49" s="178"/>
      <c r="Q49" s="179" t="str">
        <f>IFERROR(INDEX(Program_01!$C:$C,MATCH($B49,Program_01!$A:$A,0)),"")</f>
        <v>Extension of time - Precast Elements for fixed jetties variation order</v>
      </c>
      <c r="R49" s="176" t="str">
        <f>IFERROR(INDEX(Program_01!$V:$V,MATCH($B49,Program_01!$A:$A,0)),"")</f>
        <v xml:space="preserve">ALS01031-GENCORR-000412 </v>
      </c>
      <c r="S49" s="180">
        <f>IFERROR(INDEX(Program_01!$W:$W,MATCH($B49,Program_01!$A:$A,0)),"")</f>
        <v>45479</v>
      </c>
      <c r="T49" s="178"/>
      <c r="U49" s="176" t="str">
        <f>IFERROR(INDEX(Program_01!$Z:$Z,MATCH($B49,Program_01!$A:$A,0)),"")</f>
        <v>AMA01031-GENCORR-000902</v>
      </c>
      <c r="V49" s="181">
        <f>IFERROR(INDEX(Program_01!$AA:$AA,MATCH($B49,Program_01!$A:$A,0)),"")</f>
        <v>45504</v>
      </c>
      <c r="W49" s="182">
        <f t="shared" ca="1" si="0"/>
        <v>25</v>
      </c>
      <c r="X49" s="51"/>
      <c r="Y49" s="179" t="str">
        <f>IFERROR(INDEX(Program_01!$BD:$BD,MATCH($B49,Program_01!$A:$A,0)),"")</f>
        <v>ALS01031-GENCORR-000412 dated 07 Jun 24
ALS01031-GENCORR-000416 dated 30 Jul 24
AMA01031-GENCORR-000902 dated 31 Jul 24
AMA01031-GENCORR-000907 dated 07 Aug 24
ALS01031-GENCORR-000419 dated 08 Aug 24</v>
      </c>
      <c r="Z49" s="51"/>
      <c r="AA49" s="183" t="str">
        <f>IFERROR(IF((INDEX(Program_01!$AD:$AD,MATCH($B49,Program_01!$A:$A,0))=""),INDEX(Program_01!$V:$V,MATCH($B49,Program_01!$A:$A,0)),INDEX(Program_01!$AD:$AD,MATCH($B49,Program_01!$A:$A,0))),"")</f>
        <v>ALS01031-GENCORR-000417 dated 30 Jul 24
ALS01031-GENCORR-000419</v>
      </c>
      <c r="AB49" s="147">
        <f>IFERROR(IF((INDEX(Program_01!$AE:$AE,MATCH($B49,Program_01!$A:$A,0))=""),INDEX(Program_01!$W:$W,MATCH($B49,Program_01!$A:$A,0)),INDEX(Program_01!$AE:$AE,MATCH($B49,Program_01!$A:$A,0))),"")</f>
        <v>45512</v>
      </c>
      <c r="AC49" s="183" t="str">
        <f>IFERROR(IF($I49="EOT",INDEX(Program_01!$AN:$AN,MATCH($B49,Program_01!$A:$A,0)),INDEX(Program_01!$AY:$AY,MATCH($B49,Program_01!$A:$A,0))),"")</f>
        <v>1TB01031-031C02-AMA-LTR-0028</v>
      </c>
      <c r="AD49" s="181">
        <f>IFERROR(IF($I49="EOT",INDEX(Program_01!$AO:$AO,MATCH($B49,Program_01!$A:$A,0)),INDEX(Program_01!$AZ:$AZ,MATCH($B49,Program_01!$A:$A,0))),"")</f>
        <v>45585</v>
      </c>
      <c r="AE49" s="51"/>
      <c r="AF49" s="183"/>
      <c r="AG49" s="181"/>
      <c r="AH49" s="183">
        <f>IF(OR($D49="",$AS49="VO Issued",$AS49="Open"),"",IF(OR($AC49="Rejected",$AC49="Superseded",$AC49="Dealt Separately"),$AC49,IF($I49="EOT",INDEX(Program_01!$AR:$AR,MATCH($B49,Program_01!$A:$A,0)),INDEX(Program_01!$BB:$BB,MATCH($B49,Program_01!$A:$A,0)))))</f>
        <v>0</v>
      </c>
      <c r="AI49" s="181">
        <f>IF(OR($A49="",$B49="",$I49="",$AS49="VO Issued",$AS49="Open"),"",IF(OR($AD49="N/A"),$AD49,IF($I49="EOT",INDEX(Program_01!$AS:$AS,MATCH($B49,Program_01!$A:$A,0)),INDEX(Program_01!$BC:$BC,MATCH($B49,Program_01!$A:$A,0)))))</f>
        <v>0</v>
      </c>
      <c r="AJ49" s="183" t="str">
        <f>IF(OR($D49="",$I49="",$AS49="Determination Issued",$AS49="Rejected",$AS49="Open"),"",IF(OR($AH49="Rejected",$AH49="Dealt Separately",$AH49="Superseded",$AH49="Withdrawn"),"N/A",IF($I49="EOT",INDEX(Program_01!AR:AR,MATCH($B49,Program_01!A:A,0)),INDEX(Program_01!BB:BB,MATCH($B49,Program_01!A:A,0)))))</f>
        <v/>
      </c>
      <c r="AK49" s="181" t="str">
        <f>IF(OR($A49="",$B49="",$I49="",$AS49="Determination Issued",$AS49="Rejected",$AS49="Open"),"",IF($AJ49="N/A","N/A",IF($I49="EOT",INDEX(Program_01!AS:AS,MATCH($B49,Program_01!A:A,0)),INDEX(Program_01!BC:BC,MATCH($B49,Program_01!A:A,0)))))</f>
        <v/>
      </c>
      <c r="AL49" s="51"/>
      <c r="AM49" s="184">
        <f>IFERROR(INDEX(Program_01!$BT:$BT,MATCH($B49,Program_01!$A:$A,0)),"")</f>
        <v>0</v>
      </c>
      <c r="AN49" s="184">
        <f>IFERROR(INDEX(Program_01!$BU:$BU,MATCH($B49,Program_01!$A:$A,0)),"")</f>
        <v>0</v>
      </c>
      <c r="AO49" s="184">
        <f>IFERROR(INDEX(Program_01!$BV:$BV,MATCH($B49,Program_01!$A:$A,0)),"")</f>
        <v>0</v>
      </c>
      <c r="AP49" s="51" t="str">
        <f t="shared" si="12"/>
        <v/>
      </c>
      <c r="AQ49" s="184">
        <f>IFERROR(INDEX(Program_01!$BN:$BN,MATCH($B49,Program_01!$A:$A,0)),"")</f>
        <v>0</v>
      </c>
      <c r="AR49" s="184" t="str">
        <f>IFERROR(INDEX(Program_01!$BO:$BO,MATCH($B49,Program_01!$A:$A,0)),"")</f>
        <v>Assessment Report Issued</v>
      </c>
      <c r="AS49" s="184" t="str">
        <f>IFERROR(INDEX(Program_01!$BP:$BP,MATCH($B49,Program_01!$A:$A,0)),"")</f>
        <v>Determination Issued</v>
      </c>
      <c r="AT49" s="185" t="str">
        <f>IFERROR(INDEX(Program_01!$BQ:$BQ,MATCH($B49,Program_01!$A:$A,0)),"")</f>
        <v>Closed</v>
      </c>
      <c r="AU49" s="179" t="str">
        <f>IFERROR(INDEX(Program_01!$BR:$BR,MATCH($B49,Program_01!$A:$A,0)),"")</f>
        <v>09 Sept 24 EOT-2 Employer report was put in WF for the Approval without claim's review, it got pulled back and currently getting reveiwed by Claims team
11 Sep 24: final draft report sent to commercial to put in for WF process
06 Oct 24: WF approval for Employer's EOT-02 report is in final stage of WF (1TB01031-031C02-AMA-RPT-PM-0001)
14 Oct 24: WF process completed, Commercial to prepare the cover letter &amp; issue the Assessment report to the contractor (WF-012007)
17 Oct 24: WF Approval for cover letter in its last stage, Targeted to issue the assessment to contractor this week
21 Oct 24: Assessment report issued to the contractor via letter ref 1TB01031-031C02-AMA-LTR-0028 on 20 Oct 24
4 Nov 24: P1 to update
20 Nov 24: Contractor confirmed acceptance of the assessment report (ALS01031-GENCORR-000430). Commercial team to prepare VO/PVO followed by a DVO for the fomral closure of the claim
04 Dec 24: VO/PVO in WF (WF ref to be provided)
15 Dec 24: No Cost hence no PVO VO DVO</v>
      </c>
      <c r="AV49" s="186" t="str">
        <f t="shared" si="1"/>
        <v/>
      </c>
      <c r="AW49" s="186" t="str">
        <f t="shared" si="13"/>
        <v>CLOSED</v>
      </c>
      <c r="AX49" s="186" t="str">
        <f t="shared" si="2"/>
        <v>CLOSED</v>
      </c>
      <c r="AY49" s="181">
        <f t="shared" si="14"/>
        <v>45512</v>
      </c>
      <c r="AZ49" s="181">
        <f>IF($AD49=0,"",AD49)</f>
        <v>45585</v>
      </c>
      <c r="BA49" s="181">
        <f t="shared" si="4"/>
        <v>0</v>
      </c>
      <c r="BC49" s="181">
        <f>IFERROR(INDEX(Program_01!BF:BF,MATCH($B49,Program_01!$A:$A,0)),"")</f>
        <v>45512</v>
      </c>
      <c r="BD49" s="188" t="str">
        <f ca="1">IFERROR(INDEX(Program_01!BG:BG,MATCH($B49,Program_01!$A:$A,0)),"")</f>
        <v>N/A</v>
      </c>
      <c r="BE49" s="181">
        <f>IFERROR(INDEX(Program_01!BH:BH,MATCH($B49,Program_01!$A:$A,0)),"")</f>
        <v>0</v>
      </c>
      <c r="BF49" s="189">
        <f ca="1">IFERROR(INDEX(Program_01!BI:BI,MATCH($B49,Program_01!$A:$A,0)),"")</f>
        <v>0</v>
      </c>
      <c r="BG49" s="181">
        <f>IFERROR(INDEX(Program_01!BJ:BJ,MATCH($B49,Program_01!$A:$A,0)),"")</f>
        <v>0</v>
      </c>
      <c r="BH49" s="189">
        <f ca="1">IFERROR(INDEX(Program_01!BK:BK,MATCH($B49,Program_01!$A:$A,0)),"")</f>
        <v>0</v>
      </c>
      <c r="BI49" s="181">
        <f>IFERROR(INDEX(Program_01!BL:BL,MATCH($B49,Program_01!$A:$A,0)),"")</f>
        <v>0</v>
      </c>
      <c r="BK49" s="190">
        <f>IFERROR(IF(INDEX(Program_01!$BX:$BX,MATCH($B49,Program_01!$A:$A,0))=DATE(1900,1,0),"",INDEX(Program_01!$BX:$BX,MATCH($B49,Program_01!$A:$A,0))),"")</f>
        <v>45585</v>
      </c>
      <c r="BL49" s="190" t="str">
        <f>IFERROR(IF(INDEX(Program_01!$BY:$BY,MATCH($B49,Program_01!$A:$A,0))=DATE(1900,1,0),"",INDEX(Program_01!$BY:$BY,MATCH($B49,Program_01!$A:$A,0))),"")</f>
        <v/>
      </c>
      <c r="BM49" s="188">
        <f t="shared" ca="1" si="15"/>
        <v>73</v>
      </c>
      <c r="BN49" s="191">
        <f t="shared" ca="1" si="16"/>
        <v>73</v>
      </c>
      <c r="BO49" s="188">
        <f t="shared" ca="1" si="5"/>
        <v>73</v>
      </c>
      <c r="BP49" s="188" t="str">
        <f t="shared" si="6"/>
        <v>1</v>
      </c>
      <c r="BQ49" s="188" t="str">
        <f t="shared" ca="1" si="17"/>
        <v/>
      </c>
      <c r="BR49" s="181" t="str">
        <f ca="1">IF(BQ49="","","1")</f>
        <v/>
      </c>
      <c r="BT49" s="190" t="str">
        <f>IFERROR(IF(INDEX(Program_01!$BZ:$BZ,MATCH($B49,Program_01!$A:$A,0))=DATE(1900,1,0),"",INDEX(Program_01!$BZ:$BZ,MATCH($B49,Program_01!$A:$A,0))),"")</f>
        <v/>
      </c>
      <c r="BU49" s="182" t="str">
        <f t="shared" ca="1" si="22"/>
        <v/>
      </c>
      <c r="BV49" s="188" t="str">
        <f t="shared" ca="1" si="7"/>
        <v/>
      </c>
      <c r="BW49" s="188" t="str">
        <f t="shared" si="8"/>
        <v>1</v>
      </c>
      <c r="BX49" s="188" t="str">
        <f t="shared" ca="1" si="9"/>
        <v/>
      </c>
      <c r="BY49" s="181" t="str">
        <f ca="1">IF(BX49="","","1")</f>
        <v/>
      </c>
      <c r="CA49" s="192" t="str">
        <f t="shared" si="20"/>
        <v>Y</v>
      </c>
      <c r="CB49" s="192" t="str">
        <f t="shared" si="21"/>
        <v>Y</v>
      </c>
      <c r="CC49" s="193">
        <f>IFERROR(INDEX(Program_01!$CE:$CE,MATCH($B49,Program_01!$A:$A,0)),"")</f>
        <v>45487</v>
      </c>
      <c r="CD49" s="193">
        <f t="shared" si="26"/>
        <v>45487</v>
      </c>
      <c r="CG49" s="194">
        <f>IFERROR(INDEX(Program_01!$AT:$AT,MATCH($B49,Program_01!$A:$A,0)),"")</f>
        <v>0</v>
      </c>
      <c r="CH49" s="194">
        <f>IFERROR(INDEX(Program_01!$AX:$AX,MATCH($B49,Program_01!$A:$A,0)),"")</f>
        <v>0</v>
      </c>
    </row>
    <row r="50" spans="1:86" s="187" customFormat="1" ht="365.25" customHeight="1">
      <c r="A50" s="174" t="s">
        <v>1</v>
      </c>
      <c r="B50" s="197">
        <v>32</v>
      </c>
      <c r="C50" s="176" t="str">
        <f>IFERROR(INDEX(Program_01!$B:$B,MATCH($B50,Program_01!$A:$A,0)),"")</f>
        <v>FULL TIA EAR</v>
      </c>
      <c r="D50" s="176" t="str">
        <f>IFERROR(INDEX(Program_01!$D:$D,MATCH($B50,Program_01!$A:$A,0)),"")</f>
        <v>1TB01100C04</v>
      </c>
      <c r="E50" s="176" t="str">
        <f>IFERROR(INDEX(Program_01!$E:$E,MATCH($B50,Program_01!$A:$A,0)),"")</f>
        <v>1.TB.01.100.00</v>
      </c>
      <c r="F50" s="176" t="str">
        <f>IFERROR(INDEX(Program_01!$F:$F,MATCH($B50,Program_01!$A:$A,0)),"")</f>
        <v>Marina Village - Wide</v>
      </c>
      <c r="G50" s="176" t="str">
        <f>IFERROR(INDEX(Program_01!$G:$G,MATCH($B50,Program_01!$A:$A,0)),"")</f>
        <v>2 Stage Convertible Construction Contract - Secondary Infrastructure Works</v>
      </c>
      <c r="H50" s="176" t="str">
        <f>IFERROR(INDEX(Program_01!$H:$H,MATCH($B50,Program_01!$A:$A,0)),"")</f>
        <v>Al Khonaini International Company</v>
      </c>
      <c r="I50" s="176" t="str">
        <f t="shared" si="11"/>
        <v>EOT</v>
      </c>
      <c r="J50" s="176">
        <f>IFERROR(INDEX(Program_01!$I:$I,MATCH($B50,Program_01!$A:$A,0)),"")</f>
        <v>1</v>
      </c>
      <c r="K50" s="176">
        <f>IFERROR(INDEX(Program_01!$J:$J,MATCH($B50,Program_01!$A:$A,0)),"")</f>
        <v>0</v>
      </c>
      <c r="L50" s="176">
        <f>IFERROR(INDEX(Program_01!$K:$K,MATCH($B50,Program_01!$A:$A,0)),"")</f>
        <v>0</v>
      </c>
      <c r="M50" s="176">
        <f>IFERROR(INDEX(Program_01!$L:$L,MATCH($B50,Program_01!$A:$A,0)),"")</f>
        <v>0</v>
      </c>
      <c r="N50" s="176">
        <f>IFERROR(INDEX(Program_01!$L:$L,MATCH($B50,Program_01!$A:$A,0)),"")</f>
        <v>0</v>
      </c>
      <c r="O50" s="176">
        <f>IFERROR(INDEX(Program_01!$N:$N,MATCH($B50,Program_01!$A:$A,0)),"")</f>
        <v>0</v>
      </c>
      <c r="P50" s="178"/>
      <c r="Q50" s="179" t="str">
        <f>IFERROR(INDEX(Program_01!$C:$C,MATCH($B50,Program_01!$A:$A,0)),"")</f>
        <v>Extension of time (EOT) Claim 1- Rev 1
(delay due to late access to the site)</v>
      </c>
      <c r="R50" s="176" t="str">
        <f>IFERROR(INDEX(Program_01!$V:$V,MATCH($B50,Program_01!$A:$A,0)),"")</f>
        <v>1TB01100-100C04-AIC-LTR-0007</v>
      </c>
      <c r="S50" s="180">
        <f>IFERROR(INDEX(Program_01!$W:$W,MATCH($B50,Program_01!$A:$A,0)),"")</f>
        <v>45490</v>
      </c>
      <c r="T50" s="178"/>
      <c r="U50" s="176" t="str">
        <f>IFERROR(INDEX(Program_01!$Z:$Z,MATCH($B50,Program_01!$A:$A,0)),"")</f>
        <v>1TB01100-100C04-AMA-LTR-0062</v>
      </c>
      <c r="V50" s="181">
        <f>IFERROR(INDEX(Program_01!$AA:$AA,MATCH($B50,Program_01!$A:$A,0)),"")</f>
        <v>45512</v>
      </c>
      <c r="W50" s="182">
        <f t="shared" ca="1" si="0"/>
        <v>22</v>
      </c>
      <c r="X50" s="51"/>
      <c r="Y50" s="179" t="str">
        <f>IFERROR(INDEX(Program_01!$BD:$BD,MATCH($B50,Program_01!$A:$A,0)),"")</f>
        <v>1TB01100-100C04-AIC-LTR-0007 dated 17 July 24
1TB01100-100C04-AMA-LTR-0062 dated 08 Aug 24
1TB01100-100C04-AMA-LTR-0068 25 Sep 24</v>
      </c>
      <c r="Z50" s="51"/>
      <c r="AA50" s="183" t="str">
        <f>IFERROR(IF((INDEX(Program_01!$AD:$AD,MATCH($B50,Program_01!$A:$A,0))=""),INDEX(Program_01!$V:$V,MATCH($B50,Program_01!$A:$A,0)),INDEX(Program_01!$AD:$AD,MATCH($B50,Program_01!$A:$A,0))),"")</f>
        <v>AIC01100-GENCORR-000077</v>
      </c>
      <c r="AB50" s="147">
        <f>IFERROR(IF((INDEX(Program_01!$AE:$AE,MATCH($B50,Program_01!$A:$A,0))=""),INDEX(Program_01!$W:$W,MATCH($B50,Program_01!$A:$A,0)),INDEX(Program_01!$AE:$AE,MATCH($B50,Program_01!$A:$A,0))),"")</f>
        <v>45589</v>
      </c>
      <c r="AC50" s="183" t="str">
        <f>IFERROR(IF($I50="EOT",INDEX(Program_01!$AN:$AN,MATCH($B50,Program_01!$A:$A,0)),INDEX(Program_01!$AY:$AY,MATCH($B50,Program_01!$A:$A,0))),"")</f>
        <v>1TB01100-100C04-AMA-LTR-0075</v>
      </c>
      <c r="AD50" s="181">
        <f>IFERROR(IF($I50="EOT",INDEX(Program_01!$AO:$AO,MATCH($B50,Program_01!$A:$A,0)),INDEX(Program_01!$AZ:$AZ,MATCH($B50,Program_01!$A:$A,0))),"")</f>
        <v>45734</v>
      </c>
      <c r="AE50" s="51"/>
      <c r="AF50" s="183"/>
      <c r="AG50" s="181"/>
      <c r="AH50" s="183">
        <f>IF(OR($D50="",$AS50="VO Issued",$AS50="Open"),"",IF(OR($AC50="Rejected",$AC50="Superseded",$AC50="Dealt Separately"),$AC50,IF($I50="EOT",INDEX(Program_01!$AR:$AR,MATCH($B50,Program_01!$A:$A,0)),INDEX(Program_01!$BB:$BB,MATCH($B50,Program_01!$A:$A,0)))))</f>
        <v>0</v>
      </c>
      <c r="AI50" s="181">
        <f>IF(OR($A50="",$B50="",$I50="",$AS50="VO Issued",$AS50="Open"),"",IF(OR($AD50="N/A"),$AD50,IF($I50="EOT",INDEX(Program_01!$AS:$AS,MATCH($B50,Program_01!$A:$A,0)),INDEX(Program_01!$BC:$BC,MATCH($B50,Program_01!$A:$A,0)))))</f>
        <v>0</v>
      </c>
      <c r="AJ50" s="183">
        <f>IF(OR($D50="",$I50="",$AS50="Determination Issued",$AS50="Rejected",$AS50="Open"),"",IF(OR($AH50="Rejected",$AH50="Dealt Separately",$AH50="Superseded",$AH50="Withdrawn"),"N/A",IF($I50="EOT",INDEX(Program_01!AR:AR,MATCH($B50,Program_01!A:A,0)),INDEX(Program_01!BB:BB,MATCH($B50,Program_01!A:A,0)))))</f>
        <v>0</v>
      </c>
      <c r="AK50" s="181">
        <f>IF(OR($A50="",$B50="",$I50="",$AS50="Determination Issued",$AS50="Rejected",$AS50="Open"),"",IF($AJ50="N/A","N/A",IF($I50="EOT",INDEX(Program_01!AS:AS,MATCH($B50,Program_01!A:A,0)),INDEX(Program_01!BC:BC,MATCH($B50,Program_01!A:A,0)))))</f>
        <v>0</v>
      </c>
      <c r="AL50" s="51"/>
      <c r="AM50" s="184">
        <f>IFERROR(INDEX(Program_01!$BT:$BT,MATCH($B50,Program_01!$A:$A,0)),"")</f>
        <v>0</v>
      </c>
      <c r="AN50" s="184">
        <f>IFERROR(INDEX(Program_01!$BU:$BU,MATCH($B50,Program_01!$A:$A,0)),"")</f>
        <v>0</v>
      </c>
      <c r="AO50" s="184">
        <f>IFERROR(INDEX(Program_01!$BV:$BV,MATCH($B50,Program_01!$A:$A,0)),"")</f>
        <v>0</v>
      </c>
      <c r="AP50" s="51" t="str">
        <f t="shared" si="12"/>
        <v/>
      </c>
      <c r="AQ50" s="184">
        <f>IFERROR(INDEX(Program_01!$BN:$BN,MATCH($B50,Program_01!$A:$A,0)),"")</f>
        <v>0</v>
      </c>
      <c r="AR50" s="184" t="str">
        <f>IFERROR(INDEX(Program_01!$BO:$BO,MATCH($B50,Program_01!$A:$A,0)),"")</f>
        <v>Assessment Report Issued</v>
      </c>
      <c r="AS50" s="184" t="str">
        <f>IFERROR(INDEX(Program_01!$BP:$BP,MATCH($B50,Program_01!$A:$A,0)),"")</f>
        <v>EI Issued</v>
      </c>
      <c r="AT50" s="185" t="str">
        <f>IFERROR(INDEX(Program_01!$BQ:$BQ,MATCH($B50,Program_01!$A:$A,0)),"")</f>
        <v>Closed</v>
      </c>
      <c r="AU50" s="179" t="str">
        <f>IFERROR(INDEX(Program_01!$BR:$BR,MATCH($B50,Program_01!$A:$A,0)),"")</f>
        <v>16 Feb 25: report sent back to commercial incorporating TIA.
17 Feb 25: report upated and reverted to planning for review and further inputs. Planning has approved the updates and now sent to claims team for approval
18 Feb 25: EAR approved by claims. commercial to intiate the WF process
23 Feb 25: EAR in WF (ref)
09 Mar 25: Assesment Report approved by GCEO. Cover letter to issue Assesment to Contractor in WF (WF-013133)
24 Mar 25: EAR issued to contractor on 81 Mar 25. awaiting acceptance from contractor
07 Apr 24: Ditto
09 Apr 25: Ditto
20 Apr 25: Ditto
22 Apr 25: recieved an email from contractor agreeing with our assessment on 21 Apr 25. Contractor to formally issue a letter via aconex
05 May 25: awaiting formal confirmation of EAR via Aconex
19 May 25: KIC issued confirmation by letter, however this was not submitted via ACONEX. KIC advised to submitt in ACONEX. 
02 Jun 25: Commercial Team preparing a EI for agreed EoT. KIC agreed with Employer assesment fo both Time and Cost i.e no Prolongation Costs claimed.
16 Jun 25: EI in the WF for approval WF-014884.
30 Jun 25: EI issued and acknowledged by Contractor. PVO under process in WF (RFC-000074) 
(1TB01100-100C04-AMA-EMIPM-0001)
NB- Commercial Team understands that the Contractor was required to demobilize off site by 30 September 2024 and thereby potentially putting RSG at risk since there was no formal Termination (only scope awarded to ASTRA is to be de-scoped as per PVO under process).
A VO is now approved and to be issued in retrospect, to cover the descoped works by 30 Sept 2024</v>
      </c>
      <c r="AV50" s="186" t="str">
        <f t="shared" si="1"/>
        <v/>
      </c>
      <c r="AW50" s="186" t="str">
        <f t="shared" si="13"/>
        <v>CLOSED</v>
      </c>
      <c r="AX50" s="186" t="str">
        <f t="shared" si="2"/>
        <v>CLOSED</v>
      </c>
      <c r="AY50" s="181">
        <f t="shared" si="14"/>
        <v>45589</v>
      </c>
      <c r="AZ50" s="181">
        <f t="shared" ref="AZ50:AZ92" si="27">IF($AD50=0,"",AD50)</f>
        <v>45734</v>
      </c>
      <c r="BA50" s="181">
        <f t="shared" si="4"/>
        <v>0</v>
      </c>
      <c r="BC50" s="181">
        <f>IFERROR(INDEX(Program_01!BF:BF,MATCH($B50,Program_01!$A:$A,0)),"")</f>
        <v>45589</v>
      </c>
      <c r="BD50" s="188" t="str">
        <f ca="1">IFERROR(INDEX(Program_01!BG:BG,MATCH($B50,Program_01!$A:$A,0)),"")</f>
        <v>N/A</v>
      </c>
      <c r="BE50" s="181">
        <f>IFERROR(INDEX(Program_01!BH:BH,MATCH($B50,Program_01!$A:$A,0)),"")</f>
        <v>0</v>
      </c>
      <c r="BF50" s="189">
        <f ca="1">IFERROR(INDEX(Program_01!BI:BI,MATCH($B50,Program_01!$A:$A,0)),"")</f>
        <v>0</v>
      </c>
      <c r="BG50" s="181">
        <f>IFERROR(INDEX(Program_01!BJ:BJ,MATCH($B50,Program_01!$A:$A,0)),"")</f>
        <v>0</v>
      </c>
      <c r="BH50" s="189">
        <f ca="1">IFERROR(INDEX(Program_01!BK:BK,MATCH($B50,Program_01!$A:$A,0)),"")</f>
        <v>0</v>
      </c>
      <c r="BI50" s="181">
        <f>IFERROR(INDEX(Program_01!BL:BL,MATCH($B50,Program_01!$A:$A,0)),"")</f>
        <v>0</v>
      </c>
      <c r="BK50" s="190">
        <f>IFERROR(IF(INDEX(Program_01!$BX:$BX,MATCH($B50,Program_01!$A:$A,0))=DATE(1900,1,0),"",INDEX(Program_01!$BX:$BX,MATCH($B50,Program_01!$A:$A,0))),"")</f>
        <v>45734</v>
      </c>
      <c r="BL50" s="190" t="str">
        <f>IFERROR(IF(INDEX(Program_01!$BY:$BY,MATCH($B50,Program_01!$A:$A,0))=DATE(1900,1,0),"",INDEX(Program_01!$BY:$BY,MATCH($B50,Program_01!$A:$A,0))),"")</f>
        <v/>
      </c>
      <c r="BM50" s="188">
        <f t="shared" ca="1" si="15"/>
        <v>145</v>
      </c>
      <c r="BN50" s="191">
        <f t="shared" ca="1" si="16"/>
        <v>145</v>
      </c>
      <c r="BO50" s="188">
        <f t="shared" ca="1" si="5"/>
        <v>145</v>
      </c>
      <c r="BP50" s="188" t="str">
        <f t="shared" si="6"/>
        <v>1</v>
      </c>
      <c r="BQ50" s="188" t="str">
        <f t="shared" ca="1" si="17"/>
        <v/>
      </c>
      <c r="BR50" s="181" t="str">
        <f t="shared" ref="BR50:BR92" ca="1" si="28">IF(BQ50="","","1")</f>
        <v/>
      </c>
      <c r="BT50" s="190" t="str">
        <f>IFERROR(IF(INDEX(Program_01!$BZ:$BZ,MATCH($B50,Program_01!$A:$A,0))=DATE(1900,1,0),"",INDEX(Program_01!$BZ:$BZ,MATCH($B50,Program_01!$A:$A,0))),"")</f>
        <v/>
      </c>
      <c r="BU50" s="182" t="str">
        <f t="shared" ca="1" si="22"/>
        <v/>
      </c>
      <c r="BV50" s="188" t="str">
        <f t="shared" si="7"/>
        <v/>
      </c>
      <c r="BW50" s="188" t="str">
        <f t="shared" si="8"/>
        <v>1</v>
      </c>
      <c r="BX50" s="188" t="str">
        <f t="shared" ca="1" si="9"/>
        <v/>
      </c>
      <c r="BY50" s="181" t="str">
        <f t="shared" ref="BY50:BY92" ca="1" si="29">IF(BX50="","","1")</f>
        <v/>
      </c>
      <c r="CA50" s="192" t="str">
        <f t="shared" si="20"/>
        <v>Y</v>
      </c>
      <c r="CB50" s="192" t="str">
        <f t="shared" si="21"/>
        <v>N</v>
      </c>
      <c r="CC50" s="193">
        <f>IFERROR(INDEX(Program_01!$CE:$CE,MATCH($B50,Program_01!$A:$A,0)),"")</f>
        <v>45487</v>
      </c>
      <c r="CD50" s="193">
        <f t="shared" si="26"/>
        <v>45490</v>
      </c>
      <c r="CG50" s="194">
        <f>IFERROR(INDEX(Program_01!$AT:$AT,MATCH($B50,Program_01!$A:$A,0)),"")</f>
        <v>0</v>
      </c>
      <c r="CH50" s="194">
        <f>IFERROR(INDEX(Program_01!$AX:$AX,MATCH($B50,Program_01!$A:$A,0)),"")</f>
        <v>0</v>
      </c>
    </row>
    <row r="51" spans="1:86" s="187" customFormat="1" ht="409" customHeight="1">
      <c r="A51" s="174" t="s">
        <v>1</v>
      </c>
      <c r="B51" s="175">
        <v>33</v>
      </c>
      <c r="C51" s="176" t="str">
        <f>IFERROR(INDEX(Program_01!$B:$B,MATCH($B51,Program_01!$A:$A,0)),"")</f>
        <v>FULL TIA EAR</v>
      </c>
      <c r="D51" s="176" t="str">
        <f>IFERROR(INDEX(Program_01!$D:$D,MATCH($B51,Program_01!$A:$A,0)),"")</f>
        <v>1TB01009C17</v>
      </c>
      <c r="E51" s="176" t="str">
        <f>IFERROR(INDEX(Program_01!$E:$E,MATCH($B51,Program_01!$A:$A,0)),"")</f>
        <v>1.TB.01.009.01</v>
      </c>
      <c r="F51" s="176" t="str">
        <f>IFERROR(INDEX(Program_01!$F:$F,MATCH($B51,Program_01!$A:$A,0)),"")</f>
        <v>Marina Hotel 3</v>
      </c>
      <c r="G51" s="176" t="str">
        <f>IFERROR(INDEX(Program_01!$G:$G,MATCH($B51,Program_01!$A:$A,0)),"")</f>
        <v>Secondary Infrastructure Works for Marina Hotel 3</v>
      </c>
      <c r="H51" s="176" t="str">
        <f>IFERROR(INDEX(Program_01!$H:$H,MATCH($B51,Program_01!$A:$A,0)),"")</f>
        <v>Hassan Allam Construction Saudi Limited</v>
      </c>
      <c r="I51" s="176" t="str">
        <f t="shared" si="11"/>
        <v>EOT</v>
      </c>
      <c r="J51" s="176">
        <f>IFERROR(INDEX(Program_01!$I:$I,MATCH($B51,Program_01!$A:$A,0)),"")</f>
        <v>1</v>
      </c>
      <c r="K51" s="176">
        <f>IFERROR(INDEX(Program_01!$J:$J,MATCH($B51,Program_01!$A:$A,0)),"")</f>
        <v>0</v>
      </c>
      <c r="L51" s="176">
        <f>IFERROR(INDEX(Program_01!$K:$K,MATCH($B51,Program_01!$A:$A,0)),"")</f>
        <v>0</v>
      </c>
      <c r="M51" s="176">
        <f>IFERROR(INDEX(Program_01!$L:$L,MATCH($B51,Program_01!$A:$A,0)),"")</f>
        <v>0</v>
      </c>
      <c r="N51" s="176">
        <f>IFERROR(INDEX(Program_01!$L:$L,MATCH($B51,Program_01!$A:$A,0)),"")</f>
        <v>0</v>
      </c>
      <c r="O51" s="176">
        <f>IFERROR(INDEX(Program_01!$N:$N,MATCH($B51,Program_01!$A:$A,0)),"")</f>
        <v>0</v>
      </c>
      <c r="P51" s="178"/>
      <c r="Q51" s="179" t="str">
        <f>IFERROR(INDEX(Program_01!$C:$C,MATCH($B51,Program_01!$A:$A,0)),"")</f>
        <v>Extension of Time Claim #01 – Interim Report #01 (Time Claim)</v>
      </c>
      <c r="R51" s="176" t="str">
        <f>IFERROR(INDEX(Program_01!$V:$V,MATCH($B51,Program_01!$A:$A,0)),"")</f>
        <v>1TB01009-009C17-HAM-LTR-0012</v>
      </c>
      <c r="S51" s="180">
        <f>IFERROR(INDEX(Program_01!$W:$W,MATCH($B51,Program_01!$A:$A,0)),"")</f>
        <v>45476</v>
      </c>
      <c r="T51" s="178"/>
      <c r="U51" s="176" t="str">
        <f>IFERROR(INDEX(Program_01!$Z:$Z,MATCH($B51,Program_01!$A:$A,0)),"")</f>
        <v>1TB01009-009C17-AMA-LTR-0023</v>
      </c>
      <c r="V51" s="181">
        <f>IFERROR(INDEX(Program_01!$AA:$AA,MATCH($B51,Program_01!$A:$A,0)),"")</f>
        <v>45503</v>
      </c>
      <c r="W51" s="182">
        <f t="shared" ca="1" si="0"/>
        <v>27</v>
      </c>
      <c r="X51" s="51"/>
      <c r="Y51" s="179" t="str">
        <f>IFERROR(INDEX(Program_01!$BD:$BD,MATCH($B51,Program_01!$A:$A,0)),"")</f>
        <v>Response requesting better and further particulars uploaded to WF on 24 July 24.
1TB01009-009C17-AMA-LTR-0033 dated 29 Aug 24
1TB01009-009C17-AMA-LTR-0051 on 13 Feb 25
AMA01009-GENCORR-004847 dated 14 May 25</v>
      </c>
      <c r="Z51" s="51"/>
      <c r="AA51" s="183" t="str">
        <f>IFERROR(IF((INDEX(Program_01!$AD:$AD,MATCH($B51,Program_01!$A:$A,0))=""),INDEX(Program_01!$V:$V,MATCH($B51,Program_01!$A:$A,0)),INDEX(Program_01!$AD:$AD,MATCH($B51,Program_01!$A:$A,0))),"")</f>
        <v>1TB01009-009C17-HAM-LTR-0016 dated 31 Jul 24
1TB01009-009C17-HAM-LTR-0029 dated 08 Oct 24
1TB01009-009C17-HAM-LTR-0068 13 Apr 25
1TB01009-009C17-HAM-LTR-0084 (EOT rev 06) received on 25 May 25
1TB01009-009C17-HAM-LTR-0103 on 21 Jan 26
1TB01009-009C17-HAM-LTR-0112</v>
      </c>
      <c r="AB51" s="147">
        <f>IFERROR(IF((INDEX(Program_01!$AE:$AE,MATCH($B51,Program_01!$A:$A,0))=""),INDEX(Program_01!$W:$W,MATCH($B51,Program_01!$A:$A,0)),INDEX(Program_01!$AE:$AE,MATCH($B51,Program_01!$A:$A,0))),"")</f>
        <v>46222</v>
      </c>
      <c r="AC51" s="183">
        <f>IFERROR(IF($I51="EOT",INDEX(Program_01!$AN:$AN,MATCH($B51,Program_01!$A:$A,0)),INDEX(Program_01!$AY:$AY,MATCH($B51,Program_01!$A:$A,0))),"")</f>
        <v>0</v>
      </c>
      <c r="AD51" s="181">
        <f>IFERROR(IF($I51="EOT",INDEX(Program_01!$AO:$AO,MATCH($B51,Program_01!$A:$A,0)),INDEX(Program_01!$AZ:$AZ,MATCH($B51,Program_01!$A:$A,0))),"")</f>
        <v>0</v>
      </c>
      <c r="AE51" s="51"/>
      <c r="AF51" s="183"/>
      <c r="AG51" s="181"/>
      <c r="AH51" s="183" t="str">
        <f>IF(OR($D51="",$AS51="VO Issued",$AS51="Open"),"",IF(OR($AC51="Rejected",$AC51="Superseded",$AC51="Dealt Separately"),$AC51,IF($I51="EOT",INDEX(Program_01!$AR:$AR,MATCH($B51,Program_01!$A:$A,0)),INDEX(Program_01!$BB:$BB,MATCH($B51,Program_01!$A:$A,0)))))</f>
        <v/>
      </c>
      <c r="AI51" s="181" t="str">
        <f>IF(OR($A51="",$B51="",$I51="",$AS51="VO Issued",$AS51="Open"),"",IF(OR($AD51="N/A"),$AD51,IF($I51="EOT",INDEX(Program_01!$AS:$AS,MATCH($B51,Program_01!$A:$A,0)),INDEX(Program_01!$BC:$BC,MATCH($B51,Program_01!$A:$A,0)))))</f>
        <v/>
      </c>
      <c r="AJ51" s="183" t="str">
        <f>IF(OR($D51="",$I51="",$AS51="Determination Issued",$AS51="Rejected",$AS51="Open"),"",IF(OR($AH51="Rejected",$AH51="Dealt Separately",$AH51="Superseded",$AH51="Withdrawn"),"N/A",IF($I51="EOT",INDEX(Program_01!AR:AR,MATCH($B51,Program_01!A:A,0)),INDEX(Program_01!BB:BB,MATCH($B51,Program_01!A:A,0)))))</f>
        <v/>
      </c>
      <c r="AK51" s="181" t="str">
        <f>IF(OR($A51="",$B51="",$I51="",$AS51="Determination Issued",$AS51="Rejected",$AS51="Open"),"",IF($AJ51="N/A","N/A",IF($I51="EOT",INDEX(Program_01!AS:AS,MATCH($B51,Program_01!A:A,0)),INDEX(Program_01!BC:BC,MATCH($B51,Program_01!A:A,0)))))</f>
        <v/>
      </c>
      <c r="AL51" s="51"/>
      <c r="AM51" s="184">
        <f>IFERROR(INDEX(Program_01!$BT:$BT,MATCH($B51,Program_01!$A:$A,0)),"")</f>
        <v>0</v>
      </c>
      <c r="AN51" s="184">
        <f>IFERROR(INDEX(Program_01!$BU:$BU,MATCH($B51,Program_01!$A:$A,0)),"")</f>
        <v>0</v>
      </c>
      <c r="AO51" s="184">
        <f>IFERROR(INDEX(Program_01!$BV:$BV,MATCH($B51,Program_01!$A:$A,0)),"")</f>
        <v>0</v>
      </c>
      <c r="AP51" s="51" t="str">
        <f t="shared" si="12"/>
        <v/>
      </c>
      <c r="AQ51" s="184">
        <f>IFERROR(INDEX(Program_01!$BN:$BN,MATCH($B51,Program_01!$A:$A,0)),"")</f>
        <v>0</v>
      </c>
      <c r="AR51" s="184" t="str">
        <f>IFERROR(INDEX(Program_01!$BO:$BO,MATCH($B51,Program_01!$A:$A,0)),"")</f>
        <v>Pending</v>
      </c>
      <c r="AS51" s="184" t="str">
        <f>IFERROR(INDEX(Program_01!$BP:$BP,MATCH($B51,Program_01!$A:$A,0)),"")</f>
        <v>Open</v>
      </c>
      <c r="AT51" s="185" t="str">
        <f>IFERROR(INDEX(Program_01!$BQ:$BQ,MATCH($B51,Program_01!$A:$A,0)),"")</f>
        <v>Commercial Team</v>
      </c>
      <c r="AU51" s="179" t="str">
        <f>IFERROR(INDEX(Program_01!$BR:$BR,MATCH($B51,Program_01!$A:$A,0)),"")</f>
        <v>13 Dec 25: Commerical will start preparing the EAR - Target 15 Jan 26
10 Jan 26: Meeting held with Contractor on 07 Jan 26. Contractor agreed to update and resubmit the EOT request.
21 Jan 26: Contractor resubmitted their EOT claim Ref. 1TB01009-009C17-HAM-LTR-0103 ON 21- Jan- 2026. 
27 Jan 26: Shall be reviewed and processed once their second stage is concluded. Target date - 25 Feb 26. 
09 Feb 26: Ditto
22 Feb 26: Ditto
07 Mar 26:  Shall be reviewed and processed once their second stage is concluded. Target date to conclude 2nd stage by 21 March 26. 
06 Apr 26: Second stage values has been agreed. Contractor is working on the revised Programme. 
20 Apr 26: Ditto
04 May 26: DItto
18 May 26: Contractor accepted Second Stage officially  ref. 1TB01009-009C17-HAM-LTR-0109 on 14 May-2026. Contractor still working on the revised Programme. // Commercial to write to the contractor to resubmit the claim based on teh revised programme
31 May 26: Contractor will resubmit the EOT incorporating the second stage changes.
04 Jun 26: Ditto
15 Jun 26:Action still with contractor revising the programme in relation to stage 2
29 Jun 26: General Correcpondence issued to the Contractor AMA01009-GENCORR-006373 on (24 Jun 26) stating to resubmit the revised claim incorporating the 2nd stage conversion
13 Jul 26: Awaiting Contractor's revised submission
25 Jul 26: Contractor's revised submission received (1TB01009-009C17-HAM-LTR-0112 on 19 Jul 26). Planning comments received. Initial response shall be prepared - 5 Aug 26
10 Aug 26: Planning has no comments. EAR is being prepared. Target date - 20 Aug 26
22 Aug 26: EAR is under preparation. Target date deferred to 10 Sep 26
5 Sep 26: Site access information requested from Contractor and the Contractor provided this information on 2 Sep 26. Currently under review with Delivery team. Once finalised, EAR shall be updated and issued. 
19 Sep 26: Currently under review with Delivery team. Once finalised, EAR shall be updated and issued. 
04 Oct 26: The Contractor has not provided the WIRs and clearance logs for the affected areas, despite these being requested on 06 September 2026.Also, the Contractor has revised and resubmitted its EOT 01 (1TB01009-009C17-HAM-LTR-0067 on 28 September 26) with updated cut-off date of 31 Aug 26.Accordingly, draft EAR for Merit &amp; Chronology (Pre-TIA) to be updated following the receipt of pending information and considering the revised cutoff date submission.</v>
      </c>
      <c r="AV51" s="186" t="str">
        <f t="shared" si="1"/>
        <v/>
      </c>
      <c r="AW51" s="186" t="str">
        <f t="shared" si="13"/>
        <v>OPEN</v>
      </c>
      <c r="AX51" s="186" t="str">
        <f t="shared" si="2"/>
        <v>OPEN</v>
      </c>
      <c r="AY51" s="181">
        <f t="shared" si="14"/>
        <v>46222</v>
      </c>
      <c r="AZ51" s="181" t="str">
        <f t="shared" si="27"/>
        <v/>
      </c>
      <c r="BA51" s="181" t="str">
        <f t="shared" si="4"/>
        <v/>
      </c>
      <c r="BC51" s="181">
        <f>IFERROR(INDEX(Program_01!BF:BF,MATCH($B51,Program_01!$A:$A,0)),"")</f>
        <v>46222</v>
      </c>
      <c r="BD51" s="188">
        <f ca="1">IFERROR(INDEX(Program_01!BG:BG,MATCH($B51,Program_01!$A:$A,0)),"")</f>
        <v>78</v>
      </c>
      <c r="BE51" s="181">
        <f>IFERROR(INDEX(Program_01!BH:BH,MATCH($B51,Program_01!$A:$A,0)),"")</f>
        <v>0</v>
      </c>
      <c r="BF51" s="189">
        <f ca="1">IFERROR(INDEX(Program_01!BI:BI,MATCH($B51,Program_01!$A:$A,0)),"")</f>
        <v>0</v>
      </c>
      <c r="BG51" s="181">
        <f>IFERROR(INDEX(Program_01!BJ:BJ,MATCH($B51,Program_01!$A:$A,0)),"")</f>
        <v>0</v>
      </c>
      <c r="BH51" s="189">
        <f ca="1">IFERROR(INDEX(Program_01!BK:BK,MATCH($B51,Program_01!$A:$A,0)),"")</f>
        <v>0</v>
      </c>
      <c r="BI51" s="181">
        <f>IFERROR(INDEX(Program_01!BL:BL,MATCH($B51,Program_01!$A:$A,0)),"")</f>
        <v>0</v>
      </c>
      <c r="BK51" s="190" t="str">
        <f>IFERROR(IF(INDEX(Program_01!$BX:$BX,MATCH($B51,Program_01!$A:$A,0))=DATE(1900,1,0),"",INDEX(Program_01!$BX:$BX,MATCH($B51,Program_01!$A:$A,0))),"")</f>
        <v/>
      </c>
      <c r="BL51" s="190" t="str">
        <f>IFERROR(IF(INDEX(Program_01!$BY:$BY,MATCH($B51,Program_01!$A:$A,0))=DATE(1900,1,0),"",INDEX(Program_01!$BY:$BY,MATCH($B51,Program_01!$A:$A,0))),"")</f>
        <v/>
      </c>
      <c r="BM51" s="188" t="str">
        <f t="shared" ca="1" si="15"/>
        <v/>
      </c>
      <c r="BN51" s="191">
        <f t="shared" ca="1" si="16"/>
        <v>78</v>
      </c>
      <c r="BO51" s="188" t="str">
        <f t="shared" si="5"/>
        <v/>
      </c>
      <c r="BP51" s="188" t="str">
        <f t="shared" si="6"/>
        <v/>
      </c>
      <c r="BQ51" s="188" t="str">
        <f t="shared" ca="1" si="17"/>
        <v/>
      </c>
      <c r="BR51" s="181" t="str">
        <f t="shared" ca="1" si="28"/>
        <v/>
      </c>
      <c r="BT51" s="190" t="str">
        <f>IFERROR(IF(INDEX(Program_01!$BZ:$BZ,MATCH($B51,Program_01!$A:$A,0))=DATE(1900,1,0),"",INDEX(Program_01!$BZ:$BZ,MATCH($B51,Program_01!$A:$A,0))),"")</f>
        <v/>
      </c>
      <c r="BU51" s="182" t="str">
        <f t="shared" ca="1" si="22"/>
        <v/>
      </c>
      <c r="BV51" s="188" t="str">
        <f t="shared" si="7"/>
        <v/>
      </c>
      <c r="BW51" s="188" t="str">
        <f t="shared" si="8"/>
        <v/>
      </c>
      <c r="BX51" s="188" t="str">
        <f t="shared" ca="1" si="9"/>
        <v/>
      </c>
      <c r="BY51" s="181" t="str">
        <f t="shared" ca="1" si="29"/>
        <v/>
      </c>
      <c r="CA51" s="192" t="str">
        <f t="shared" si="20"/>
        <v>N</v>
      </c>
      <c r="CB51" s="192" t="str">
        <f t="shared" si="21"/>
        <v>N</v>
      </c>
      <c r="CC51" s="193">
        <f>IFERROR(INDEX(Program_01!$CE:$CE,MATCH($B51,Program_01!$A:$A,0)),"")</f>
        <v>45487</v>
      </c>
      <c r="CD51" s="193">
        <f t="shared" si="26"/>
        <v>45487</v>
      </c>
      <c r="CG51" s="194">
        <f>IFERROR(INDEX(Program_01!$AT:$AT,MATCH($B51,Program_01!$A:$A,0)),"")</f>
        <v>0</v>
      </c>
      <c r="CH51" s="194">
        <f>IFERROR(INDEX(Program_01!$AX:$AX,MATCH($B51,Program_01!$A:$A,0)),"")</f>
        <v>0</v>
      </c>
    </row>
    <row r="52" spans="1:86" s="187" customFormat="1" ht="136">
      <c r="A52" s="174" t="s">
        <v>1</v>
      </c>
      <c r="B52" s="175">
        <v>34</v>
      </c>
      <c r="C52" s="176" t="str">
        <f>IFERROR(INDEX(Program_01!$B:$B,MATCH($B52,Program_01!$A:$A,0)),"")</f>
        <v>COST EAR</v>
      </c>
      <c r="D52" s="176" t="str">
        <f>IFERROR(INDEX(Program_01!$D:$D,MATCH($B52,Program_01!$A:$A,0)),"")</f>
        <v>1TB01009C17</v>
      </c>
      <c r="E52" s="176" t="str">
        <f>IFERROR(INDEX(Program_01!$E:$E,MATCH($B52,Program_01!$A:$A,0)),"")</f>
        <v>1.TB.01.009.01</v>
      </c>
      <c r="F52" s="176" t="str">
        <f>IFERROR(INDEX(Program_01!$F:$F,MATCH($B52,Program_01!$A:$A,0)),"")</f>
        <v>Marina Hotel 3</v>
      </c>
      <c r="G52" s="176" t="str">
        <f>IFERROR(INDEX(Program_01!$G:$G,MATCH($B52,Program_01!$A:$A,0)),"")</f>
        <v>Secondary Infrastructure Works for Marina Hotel 3</v>
      </c>
      <c r="H52" s="176" t="str">
        <f>IFERROR(INDEX(Program_01!$H:$H,MATCH($B52,Program_01!$A:$A,0)),"")</f>
        <v>Hassan Allam Construction Saudi Limited</v>
      </c>
      <c r="I52" s="176" t="str">
        <f t="shared" si="11"/>
        <v>Prolongation</v>
      </c>
      <c r="J52" s="176">
        <f>IFERROR(INDEX(Program_01!$I:$I,MATCH($B52,Program_01!$A:$A,0)),"")</f>
        <v>0</v>
      </c>
      <c r="K52" s="176">
        <f>IFERROR(INDEX(Program_01!$J:$J,MATCH($B52,Program_01!$A:$A,0)),"")</f>
        <v>1</v>
      </c>
      <c r="L52" s="176">
        <f>IFERROR(INDEX(Program_01!$K:$K,MATCH($B52,Program_01!$A:$A,0)),"")</f>
        <v>0</v>
      </c>
      <c r="M52" s="176">
        <f>IFERROR(INDEX(Program_01!$L:$L,MATCH($B52,Program_01!$A:$A,0)),"")</f>
        <v>0</v>
      </c>
      <c r="N52" s="176">
        <f>IFERROR(INDEX(Program_01!$L:$L,MATCH($B52,Program_01!$A:$A,0)),"")</f>
        <v>0</v>
      </c>
      <c r="O52" s="176">
        <f>IFERROR(INDEX(Program_01!$N:$N,MATCH($B52,Program_01!$A:$A,0)),"")</f>
        <v>0</v>
      </c>
      <c r="P52" s="178"/>
      <c r="Q52" s="179" t="str">
        <f>IFERROR(INDEX(Program_01!$C:$C,MATCH($B52,Program_01!$A:$A,0)),"")</f>
        <v>Extension of Time Claim #01 – Interim Report #01 (Prolongation)</v>
      </c>
      <c r="R52" s="176" t="str">
        <f>IFERROR(INDEX(Program_01!$V:$V,MATCH($B52,Program_01!$A:$A,0)),"")</f>
        <v>1TB01009-009C17-HAM-LTR-0012</v>
      </c>
      <c r="S52" s="180">
        <f>IFERROR(INDEX(Program_01!$W:$W,MATCH($B52,Program_01!$A:$A,0)),"")</f>
        <v>45476</v>
      </c>
      <c r="T52" s="178"/>
      <c r="U52" s="176" t="str">
        <f>IFERROR(INDEX(Program_01!$Z:$Z,MATCH($B52,Program_01!$A:$A,0)),"")</f>
        <v>1TB01009-009C17-AMA-LTR-0023</v>
      </c>
      <c r="V52" s="181">
        <f>IFERROR(INDEX(Program_01!$AA:$AA,MATCH($B52,Program_01!$A:$A,0)),"")</f>
        <v>45503</v>
      </c>
      <c r="W52" s="182">
        <f t="shared" ca="1" si="0"/>
        <v>27</v>
      </c>
      <c r="X52" s="51"/>
      <c r="Y52" s="179">
        <f>IFERROR(INDEX(Program_01!$BD:$BD,MATCH($B52,Program_01!$A:$A,0)),"")</f>
        <v>0</v>
      </c>
      <c r="Z52" s="51"/>
      <c r="AA52" s="183" t="str">
        <f>IFERROR(IF((INDEX(Program_01!$AD:$AD,MATCH($B52,Program_01!$A:$A,0))=""),INDEX(Program_01!$V:$V,MATCH($B52,Program_01!$A:$A,0)),INDEX(Program_01!$AD:$AD,MATCH($B52,Program_01!$A:$A,0))),"")</f>
        <v>1TB01009-009C17-HAM-LTR-0016</v>
      </c>
      <c r="AB52" s="147">
        <f>IFERROR(IF((INDEX(Program_01!$AE:$AE,MATCH($B52,Program_01!$A:$A,0))=""),INDEX(Program_01!$W:$W,MATCH($B52,Program_01!$A:$A,0)),INDEX(Program_01!$AE:$AE,MATCH($B52,Program_01!$A:$A,0))),"")</f>
        <v>45504</v>
      </c>
      <c r="AC52" s="183">
        <f>IFERROR(IF($I52="EOT",INDEX(Program_01!$AN:$AN,MATCH($B52,Program_01!$A:$A,0)),INDEX(Program_01!$AY:$AY,MATCH($B52,Program_01!$A:$A,0))),"")</f>
        <v>0</v>
      </c>
      <c r="AD52" s="181">
        <f>IFERROR(IF($I52="EOT",INDEX(Program_01!$AO:$AO,MATCH($B52,Program_01!$A:$A,0)),INDEX(Program_01!$AZ:$AZ,MATCH($B52,Program_01!$A:$A,0))),"")</f>
        <v>0</v>
      </c>
      <c r="AE52" s="51"/>
      <c r="AF52" s="183"/>
      <c r="AG52" s="181"/>
      <c r="AH52" s="183" t="str">
        <f>IF(OR($D52="",$AS52="VO Issued",$AS52="Open"),"",IF(OR($AC52="Rejected",$AC52="Superseded",$AC52="Dealt Separately"),$AC52,IF($I52="EOT",INDEX(Program_01!$AR:$AR,MATCH($B52,Program_01!$A:$A,0)),INDEX(Program_01!$BB:$BB,MATCH($B52,Program_01!$A:$A,0)))))</f>
        <v/>
      </c>
      <c r="AI52" s="181" t="str">
        <f>IF(OR($A52="",$B52="",$I52="",$AS52="VO Issued",$AS52="Open"),"",IF(OR($AD52="N/A"),$AD52,IF($I52="EOT",INDEX(Program_01!$AS:$AS,MATCH($B52,Program_01!$A:$A,0)),INDEX(Program_01!$BC:$BC,MATCH($B52,Program_01!$A:$A,0)))))</f>
        <v/>
      </c>
      <c r="AJ52" s="183" t="str">
        <f>IF(OR($D52="",$I52="",$AS52="Determination Issued",$AS52="Rejected",$AS52="Open"),"",IF(OR($AH52="Rejected",$AH52="Dealt Separately",$AH52="Superseded",$AH52="Withdrawn"),"N/A",IF($I52="EOT",INDEX(Program_01!AR:AR,MATCH($B52,Program_01!A:A,0)),INDEX(Program_01!BB:BB,MATCH($B52,Program_01!A:A,0)))))</f>
        <v/>
      </c>
      <c r="AK52" s="181" t="str">
        <f>IF(OR($A52="",$B52="",$I52="",$AS52="Determination Issued",$AS52="Rejected",$AS52="Open"),"",IF($AJ52="N/A","N/A",IF($I52="EOT",INDEX(Program_01!AS:AS,MATCH($B52,Program_01!A:A,0)),INDEX(Program_01!BC:BC,MATCH($B52,Program_01!A:A,0)))))</f>
        <v/>
      </c>
      <c r="AL52" s="51"/>
      <c r="AM52" s="184">
        <f>IFERROR(INDEX(Program_01!$BT:$BT,MATCH($B52,Program_01!$A:$A,0)),"")</f>
        <v>0</v>
      </c>
      <c r="AN52" s="184">
        <f>IFERROR(INDEX(Program_01!$BU:$BU,MATCH($B52,Program_01!$A:$A,0)),"")</f>
        <v>0</v>
      </c>
      <c r="AO52" s="184">
        <f>IFERROR(INDEX(Program_01!$BV:$BV,MATCH($B52,Program_01!$A:$A,0)),"")</f>
        <v>0</v>
      </c>
      <c r="AP52" s="51" t="str">
        <f t="shared" si="12"/>
        <v/>
      </c>
      <c r="AQ52" s="184">
        <f>IFERROR(INDEX(Program_01!$BN:$BN,MATCH($B52,Program_01!$A:$A,0)),"")</f>
        <v>0</v>
      </c>
      <c r="AR52" s="184" t="str">
        <f>IFERROR(INDEX(Program_01!$BO:$BO,MATCH($B52,Program_01!$A:$A,0)),"")</f>
        <v>Pending</v>
      </c>
      <c r="AS52" s="184" t="str">
        <f>IFERROR(INDEX(Program_01!$BP:$BP,MATCH($B52,Program_01!$A:$A,0)),"")</f>
        <v>Open</v>
      </c>
      <c r="AT52" s="185" t="str">
        <f>IFERROR(INDEX(Program_01!$BQ:$BQ,MATCH($B52,Program_01!$A:$A,0)),"")</f>
        <v>Awaiting conclusion of EoT</v>
      </c>
      <c r="AU52" s="179" t="str">
        <f>IFERROR(INDEX(Program_01!$BR:$BR,MATCH($B52,Program_01!$A:$A,0)),"")</f>
        <v>14 Jul 24: Initial response is being prepared. 
29 Jul 24: initial response in  WF-010318
12 Aug 24: Initial response issued to the contractor on 30 Jul 24 to revise &amp; resubmit contractor submitted the interim report 2 on 31 Jul 24. Commercial to review &amp; respond
26 Aug 24: assosiated with above line item
08 Sep 24: Ditto
07 Oct 24: awaiting response from contractor
11 Feb 25 - 21 Sep 26: Ditto</v>
      </c>
      <c r="AV52" s="186" t="str">
        <f t="shared" si="1"/>
        <v/>
      </c>
      <c r="AW52" s="186" t="str">
        <f t="shared" si="13"/>
        <v>OPEN</v>
      </c>
      <c r="AX52" s="186" t="str">
        <f t="shared" si="2"/>
        <v>OPEN</v>
      </c>
      <c r="AY52" s="181">
        <f t="shared" si="14"/>
        <v>45504</v>
      </c>
      <c r="AZ52" s="181" t="str">
        <f t="shared" si="27"/>
        <v/>
      </c>
      <c r="BA52" s="181" t="str">
        <f t="shared" si="4"/>
        <v/>
      </c>
      <c r="BC52" s="181">
        <f>IFERROR(INDEX(Program_01!BF:BF,MATCH($B52,Program_01!$A:$A,0)),"")</f>
        <v>45504</v>
      </c>
      <c r="BD52" s="188">
        <f ca="1">IFERROR(INDEX(Program_01!BG:BG,MATCH($B52,Program_01!$A:$A,0)),"")</f>
        <v>0</v>
      </c>
      <c r="BE52" s="181">
        <f>IFERROR(INDEX(Program_01!BH:BH,MATCH($B52,Program_01!$A:$A,0)),"")</f>
        <v>0</v>
      </c>
      <c r="BF52" s="189" t="str">
        <f ca="1">IFERROR(INDEX(Program_01!BI:BI,MATCH($B52,Program_01!$A:$A,0)),"")</f>
        <v>N/A</v>
      </c>
      <c r="BG52" s="181">
        <f>IFERROR(INDEX(Program_01!BJ:BJ,MATCH($B52,Program_01!$A:$A,0)),"")</f>
        <v>0</v>
      </c>
      <c r="BH52" s="189">
        <f ca="1">IFERROR(INDEX(Program_01!BK:BK,MATCH($B52,Program_01!$A:$A,0)),"")</f>
        <v>0</v>
      </c>
      <c r="BI52" s="181">
        <f>IFERROR(INDEX(Program_01!BL:BL,MATCH($B52,Program_01!$A:$A,0)),"")</f>
        <v>0</v>
      </c>
      <c r="BK52" s="190" t="str">
        <f>IFERROR(IF(INDEX(Program_01!$BX:$BX,MATCH($B52,Program_01!$A:$A,0))=DATE(1900,1,0),"",INDEX(Program_01!$BX:$BX,MATCH($B52,Program_01!$A:$A,0))),"")</f>
        <v/>
      </c>
      <c r="BL52" s="190" t="str">
        <f>IFERROR(IF(INDEX(Program_01!$BY:$BY,MATCH($B52,Program_01!$A:$A,0))=DATE(1900,1,0),"",INDEX(Program_01!$BY:$BY,MATCH($B52,Program_01!$A:$A,0))),"")</f>
        <v/>
      </c>
      <c r="BM52" s="188" t="str">
        <f t="shared" ca="1" si="15"/>
        <v/>
      </c>
      <c r="BN52" s="191">
        <f t="shared" ca="1" si="16"/>
        <v>0</v>
      </c>
      <c r="BO52" s="188" t="str">
        <f t="shared" si="5"/>
        <v/>
      </c>
      <c r="BP52" s="188" t="str">
        <f t="shared" si="6"/>
        <v/>
      </c>
      <c r="BQ52" s="188" t="str">
        <f t="shared" ca="1" si="17"/>
        <v/>
      </c>
      <c r="BR52" s="181" t="str">
        <f t="shared" ca="1" si="28"/>
        <v/>
      </c>
      <c r="BT52" s="190" t="str">
        <f>IFERROR(IF(INDEX(Program_01!$BZ:$BZ,MATCH($B52,Program_01!$A:$A,0))=DATE(1900,1,0),"",INDEX(Program_01!$BZ:$BZ,MATCH($B52,Program_01!$A:$A,0))),"")</f>
        <v/>
      </c>
      <c r="BU52" s="182" t="str">
        <f t="shared" ca="1" si="22"/>
        <v/>
      </c>
      <c r="BV52" s="188" t="str">
        <f t="shared" si="7"/>
        <v/>
      </c>
      <c r="BW52" s="188" t="str">
        <f t="shared" si="8"/>
        <v/>
      </c>
      <c r="BX52" s="188" t="str">
        <f t="shared" ca="1" si="9"/>
        <v/>
      </c>
      <c r="BY52" s="181" t="str">
        <f t="shared" ca="1" si="29"/>
        <v/>
      </c>
      <c r="CA52" s="192" t="str">
        <f t="shared" si="20"/>
        <v>N</v>
      </c>
      <c r="CB52" s="192" t="str">
        <f t="shared" si="21"/>
        <v>N</v>
      </c>
      <c r="CC52" s="193">
        <f>IFERROR(INDEX(Program_01!$CE:$CE,MATCH($B52,Program_01!$A:$A,0)),"")</f>
        <v>45487</v>
      </c>
      <c r="CD52" s="193">
        <f t="shared" si="26"/>
        <v>45487</v>
      </c>
      <c r="CG52" s="194">
        <f>IFERROR(INDEX(Program_01!$AT:$AT,MATCH($B52,Program_01!$A:$A,0)),"")</f>
        <v>2750341.6</v>
      </c>
      <c r="CH52" s="194">
        <f>IFERROR(INDEX(Program_01!$AX:$AX,MATCH($B52,Program_01!$A:$A,0)),"")</f>
        <v>0</v>
      </c>
    </row>
    <row r="53" spans="1:86" s="187" customFormat="1" ht="408.75" customHeight="1">
      <c r="A53" s="174" t="s">
        <v>1</v>
      </c>
      <c r="B53" s="175">
        <v>35</v>
      </c>
      <c r="C53" s="176" t="str">
        <f>IFERROR(INDEX(Program_01!$B:$B,MATCH($B53,Program_01!$A:$A,0)),"")</f>
        <v>FULL TIA EAR</v>
      </c>
      <c r="D53" s="176" t="str">
        <f>IFERROR(INDEX(Program_01!$D:$D,MATCH($B53,Program_01!$A:$A,0)),"")</f>
        <v>1TB01005C18</v>
      </c>
      <c r="E53" s="176" t="str">
        <f>IFERROR(INDEX(Program_01!$E:$E,MATCH($B53,Program_01!$A:$A,0)),"")</f>
        <v>1.TB.01.005.01</v>
      </c>
      <c r="F53" s="176" t="str">
        <f>IFERROR(INDEX(Program_01!$F:$F,MATCH($B53,Program_01!$A:$A,0)),"")</f>
        <v>Red Sea Marine Life Institute</v>
      </c>
      <c r="G53" s="176" t="str">
        <f>IFERROR(INDEX(Program_01!$G:$G,MATCH($B53,Program_01!$A:$A,0)),"")</f>
        <v>Primary Steel Structure Contract</v>
      </c>
      <c r="H53" s="176" t="str">
        <f>IFERROR(INDEX(Program_01!$H:$H,MATCH($B53,Program_01!$A:$A,0)),"")</f>
        <v>Zamil Structural Steel Company (LTD)</v>
      </c>
      <c r="I53" s="176" t="str">
        <f t="shared" si="11"/>
        <v>EOT</v>
      </c>
      <c r="J53" s="176">
        <f>IFERROR(INDEX(Program_01!$I:$I,MATCH($B53,Program_01!$A:$A,0)),"")</f>
        <v>1</v>
      </c>
      <c r="K53" s="176">
        <f>IFERROR(INDEX(Program_01!$J:$J,MATCH($B53,Program_01!$A:$A,0)),"")</f>
        <v>0</v>
      </c>
      <c r="L53" s="176">
        <f>IFERROR(INDEX(Program_01!$K:$K,MATCH($B53,Program_01!$A:$A,0)),"")</f>
        <v>0</v>
      </c>
      <c r="M53" s="176">
        <f>IFERROR(INDEX(Program_01!$L:$L,MATCH($B53,Program_01!$A:$A,0)),"")</f>
        <v>0</v>
      </c>
      <c r="N53" s="176">
        <f>IFERROR(INDEX(Program_01!$L:$L,MATCH($B53,Program_01!$A:$A,0)),"")</f>
        <v>0</v>
      </c>
      <c r="O53" s="176">
        <f>IFERROR(INDEX(Program_01!$N:$N,MATCH($B53,Program_01!$A:$A,0)),"")</f>
        <v>0</v>
      </c>
      <c r="P53" s="178"/>
      <c r="Q53" s="179" t="str">
        <f>IFERROR(INDEX(Program_01!$C:$C,MATCH($B53,Program_01!$A:$A,0)),"")</f>
        <v>Delays suffered by the Contractor</v>
      </c>
      <c r="R53" s="176" t="str">
        <f>IFERROR(INDEX(Program_01!$V:$V,MATCH($B53,Program_01!$A:$A,0)),"")</f>
        <v>1TB01005-005C18-ZSS-LTR-0025</v>
      </c>
      <c r="S53" s="180">
        <f>IFERROR(INDEX(Program_01!$W:$W,MATCH($B53,Program_01!$A:$A,0)),"")</f>
        <v>45483</v>
      </c>
      <c r="T53" s="178"/>
      <c r="U53" s="176" t="str">
        <f>IFERROR(INDEX(Program_01!$Z:$Z,MATCH($B53,Program_01!$A:$A,0)),"")</f>
        <v>1TB01005-005C18-AMA-LTR-0058</v>
      </c>
      <c r="V53" s="181">
        <f>IFERROR(INDEX(Program_01!$AA:$AA,MATCH($B53,Program_01!$A:$A,0)),"")</f>
        <v>45522</v>
      </c>
      <c r="W53" s="182">
        <f t="shared" ca="1" si="0"/>
        <v>39</v>
      </c>
      <c r="X53" s="51"/>
      <c r="Y53" s="179" t="str">
        <f>IFERROR(INDEX(Program_01!$BD:$BD,MATCH($B53,Program_01!$A:$A,0)),"")</f>
        <v>-	Contractor has submitted a delay notice which includes a chronology of events, Contract clause references for entitlement and alleged reasons for entitlement. The Contractor’s alleged reasons are design changes / delays, addition of secondary steelwork to scope and delayed information from the façade contractor. 
-	The Contractor has stated they are preparing an EoT claim which will include the details above and that they will submit this shortly.
-	Project team are undertaking a review of the delay notice and will prepare a draft response for internal review</v>
      </c>
      <c r="Z53" s="51"/>
      <c r="AA53" s="183" t="str">
        <f>IFERROR(IF((INDEX(Program_01!$AD:$AD,MATCH($B53,Program_01!$A:$A,0))=""),INDEX(Program_01!$V:$V,MATCH($B53,Program_01!$A:$A,0)),INDEX(Program_01!$AD:$AD,MATCH($B53,Program_01!$A:$A,0))),"")</f>
        <v xml:space="preserve">1TB01005-005C18-ZSS-LTR-0037 dated 03 Oct 24
1TB01005-005C18-ZSS-LTR-0043 on 10 Nov 24
1TB01005-005C18-ZSS-LTR-0054 </v>
      </c>
      <c r="AB53" s="147">
        <f>IFERROR(IF((INDEX(Program_01!$AE:$AE,MATCH($B53,Program_01!$A:$A,0))=""),INDEX(Program_01!$W:$W,MATCH($B53,Program_01!$A:$A,0)),INDEX(Program_01!$AE:$AE,MATCH($B53,Program_01!$A:$A,0))),"")</f>
        <v>45742</v>
      </c>
      <c r="AC53" s="183" t="str">
        <f>IFERROR(IF($I53="EOT",INDEX(Program_01!$AN:$AN,MATCH($B53,Program_01!$A:$A,0)),INDEX(Program_01!$AY:$AY,MATCH($B53,Program_01!$A:$A,0))),"")</f>
        <v>1TB01005-005C18-AMA-LTR-0094 (1TB01005-005C18-AMA-EMI-PM-0007)</v>
      </c>
      <c r="AD53" s="181">
        <f>IFERROR(IF($I53="EOT",INDEX(Program_01!$AO:$AO,MATCH($B53,Program_01!$A:$A,0)),INDEX(Program_01!$AZ:$AZ,MATCH($B53,Program_01!$A:$A,0))),"")</f>
        <v>45978</v>
      </c>
      <c r="AE53" s="51"/>
      <c r="AF53" s="183"/>
      <c r="AG53" s="181"/>
      <c r="AH53" s="183" t="str">
        <f>IF(OR($D53="",$AS53="VO Issued",$AS53="Open"),"",IF(OR($AC53="Rejected",$AC53="Superseded",$AC53="Dealt Separately"),$AC53,IF($I53="EOT",INDEX(Program_01!$AR:$AR,MATCH($B53,Program_01!$A:$A,0)),INDEX(Program_01!$BB:$BB,MATCH($B53,Program_01!$A:$A,0)))))</f>
        <v/>
      </c>
      <c r="AI53" s="181" t="str">
        <f>IF(OR($A53="",$B53="",$I53="",$AS53="VO Issued",$AS53="Open"),"",IF(OR($AD53="N/A"),$AD53,IF($I53="EOT",INDEX(Program_01!$AS:$AS,MATCH($B53,Program_01!$A:$A,0)),INDEX(Program_01!$BC:$BC,MATCH($B53,Program_01!$A:$A,0)))))</f>
        <v/>
      </c>
      <c r="AJ53" s="183" t="str">
        <f>IF(OR($D53="",$I53="",$AS53="Determination Issued",$AS53="Rejected",$AS53="Open"),"",IF(OR($AH53="Rejected",$AH53="Dealt Separately",$AH53="Superseded",$AH53="Withdrawn"),"N/A",IF($I53="EOT",INDEX(Program_01!AR:AR,MATCH($B53,Program_01!A:A,0)),INDEX(Program_01!BB:BB,MATCH($B53,Program_01!A:A,0)))))</f>
        <v/>
      </c>
      <c r="AK53" s="181" t="str">
        <f>IF(OR($A53="",$B53="",$I53="",$AS53="Determination Issued",$AS53="Rejected",$AS53="Open"),"",IF($AJ53="N/A","N/A",IF($I53="EOT",INDEX(Program_01!AS:AS,MATCH($B53,Program_01!A:A,0)),INDEX(Program_01!BC:BC,MATCH($B53,Program_01!A:A,0)))))</f>
        <v/>
      </c>
      <c r="AL53" s="51"/>
      <c r="AM53" s="184">
        <f>IFERROR(INDEX(Program_01!$BT:$BT,MATCH($B53,Program_01!$A:$A,0)),"")</f>
        <v>0</v>
      </c>
      <c r="AN53" s="184">
        <f>IFERROR(INDEX(Program_01!$BU:$BU,MATCH($B53,Program_01!$A:$A,0)),"")</f>
        <v>0</v>
      </c>
      <c r="AO53" s="184">
        <f>IFERROR(INDEX(Program_01!$BV:$BV,MATCH($B53,Program_01!$A:$A,0)),"")</f>
        <v>0</v>
      </c>
      <c r="AP53" s="51" t="str">
        <f t="shared" si="12"/>
        <v/>
      </c>
      <c r="AQ53" s="184">
        <f>IFERROR(INDEX(Program_01!$BN:$BN,MATCH($B53,Program_01!$A:$A,0)),"")</f>
        <v>0</v>
      </c>
      <c r="AR53" s="184" t="str">
        <f>IFERROR(INDEX(Program_01!$BO:$BO,MATCH($B53,Program_01!$A:$A,0)),"")</f>
        <v>Not Applicable</v>
      </c>
      <c r="AS53" s="184" t="s">
        <v>20</v>
      </c>
      <c r="AT53" s="185" t="str">
        <f>IFERROR(INDEX(Program_01!$BQ:$BQ,MATCH($B53,Program_01!$A:$A,0)),"")</f>
        <v>Closed</v>
      </c>
      <c r="AU53" s="179" t="str">
        <f>IFERROR(INDEX(Program_01!$BR:$BR,MATCH($B53,Program_01!$A:$A,0)),"")</f>
        <v>28 Jul 25: commercial to proceed with the assessment report preperation
12 Aug 25: commercial report prepartion on-going, target to issed to Claims by 19 August 
24 Aug 25: EAR under process, will be issued today. Project team have agreed a value for the return visit and propose to resubmit the DVO for approval extending the Completion date as per the Taking Over Date. EAR Targeted to issue to claims by EOD
25 Aug 25: Draft EAR report sent to claims for review with no entitlement as the contractor has agreed to withdraw the EOT claim based on the agreement that VO-05 provides an excusable, non-compensable extension of the Time for Completion and that the return visit would extend the Time for Completion to cover the period required to finalize the Works. Hence the start date for this claim has been considered as the contractor letter 1TB01005-005C18-ZSS-LTR-0054 received on 26 Mar 25
30 Aug 25: Draft Report sent back to commercial with comments to be addressed
03 Sep 25: Draft EAR sent to planning for TIA
08 Sep 25: Comm to confirm the dates with Planning
06 Sep 25: with Planning for TIA
07 Oct 25: TIA concluded and sent back to commercial &amp; Draft EAR sent to claims team for review
20 Oct 25: targeted to revert by 23 Oct 25
23 Oct 25: Draft EAR approved and sent to commercial to initiate WF
26 Oct 25: WF initiated under ref WF-035797
31 Oct 25: EAR internal WF approval with planning /Shaju(WF-035797)
XX Nov 25: EI for the EOT issued to contractor via 1TB01005-005C18-AMA-LTR-0094 (1TB01005-005C18-AMA-EMI-PM-0007)
17 Nov 25: Internal EAR approved (AMA01005-WTRAN-069109) on 11 Nov 25. EI going through WF approvals (WF-036420 - Ref  1TB01005-005C18-AMA-EMI-PM-0007. Item can be closed? Works completed and Project team working to agree Final Statement
EI approved in WF, but still not issued to contractor
17 Nov 25: EI issued to contractor
PS: this EAR is being prepared for internal purpose and will not be issued to the contractor</v>
      </c>
      <c r="AV53" s="186" t="str">
        <f t="shared" si="1"/>
        <v/>
      </c>
      <c r="AW53" s="186" t="str">
        <f t="shared" si="13"/>
        <v>OPEN</v>
      </c>
      <c r="AX53" s="186" t="str">
        <f t="shared" si="2"/>
        <v>OPEN</v>
      </c>
      <c r="AY53" s="181">
        <f t="shared" si="14"/>
        <v>45742</v>
      </c>
      <c r="AZ53" s="181">
        <f t="shared" si="27"/>
        <v>45978</v>
      </c>
      <c r="BA53" s="181" t="str">
        <f t="shared" si="4"/>
        <v/>
      </c>
      <c r="BC53" s="181">
        <f>IFERROR(INDEX(Program_01!BF:BF,MATCH($B53,Program_01!$A:$A,0)),"")</f>
        <v>45742</v>
      </c>
      <c r="BD53" s="188" t="str">
        <f ca="1">IFERROR(INDEX(Program_01!BG:BG,MATCH($B53,Program_01!$A:$A,0)),"")</f>
        <v>N/A</v>
      </c>
      <c r="BE53" s="181">
        <f>IFERROR(INDEX(Program_01!BH:BH,MATCH($B53,Program_01!$A:$A,0)),"")</f>
        <v>0</v>
      </c>
      <c r="BF53" s="189">
        <f ca="1">IFERROR(INDEX(Program_01!BI:BI,MATCH($B53,Program_01!$A:$A,0)),"")</f>
        <v>0</v>
      </c>
      <c r="BG53" s="181">
        <f>IFERROR(INDEX(Program_01!BJ:BJ,MATCH($B53,Program_01!$A:$A,0)),"")</f>
        <v>0</v>
      </c>
      <c r="BH53" s="189">
        <f ca="1">IFERROR(INDEX(Program_01!BK:BK,MATCH($B53,Program_01!$A:$A,0)),"")</f>
        <v>0</v>
      </c>
      <c r="BI53" s="181">
        <f>IFERROR(INDEX(Program_01!BL:BL,MATCH($B53,Program_01!$A:$A,0)),"")</f>
        <v>0</v>
      </c>
      <c r="BK53" s="190">
        <f>IFERROR(IF(INDEX(Program_01!$BX:$BX,MATCH($B53,Program_01!$A:$A,0))=DATE(1900,1,0),"",INDEX(Program_01!$BX:$BX,MATCH($B53,Program_01!$A:$A,0))),"")</f>
        <v>45978</v>
      </c>
      <c r="BL53" s="190" t="str">
        <f>IFERROR(IF(INDEX(Program_01!$BY:$BY,MATCH($B53,Program_01!$A:$A,0))=DATE(1900,1,0),"",INDEX(Program_01!$BY:$BY,MATCH($B53,Program_01!$A:$A,0))),"")</f>
        <v/>
      </c>
      <c r="BM53" s="188">
        <f t="shared" ca="1" si="15"/>
        <v>236</v>
      </c>
      <c r="BN53" s="191">
        <f t="shared" ca="1" si="16"/>
        <v>0</v>
      </c>
      <c r="BO53" s="188" t="str">
        <f t="shared" si="5"/>
        <v/>
      </c>
      <c r="BP53" s="188" t="str">
        <f t="shared" si="6"/>
        <v>1</v>
      </c>
      <c r="BQ53" s="188" t="str">
        <f t="shared" ca="1" si="17"/>
        <v/>
      </c>
      <c r="BR53" s="181" t="str">
        <f t="shared" ca="1" si="28"/>
        <v/>
      </c>
      <c r="BT53" s="190" t="str">
        <f>IFERROR(IF(INDEX(Program_01!$BZ:$BZ,MATCH($B53,Program_01!$A:$A,0))=DATE(1900,1,0),"",INDEX(Program_01!$BZ:$BZ,MATCH($B53,Program_01!$A:$A,0))),"")</f>
        <v/>
      </c>
      <c r="BU53" s="182" t="str">
        <f t="shared" ca="1" si="22"/>
        <v/>
      </c>
      <c r="BV53" s="188" t="str">
        <f t="shared" si="7"/>
        <v/>
      </c>
      <c r="BW53" s="188" t="str">
        <f t="shared" si="8"/>
        <v>1</v>
      </c>
      <c r="BX53" s="188" t="str">
        <f t="shared" ca="1" si="9"/>
        <v/>
      </c>
      <c r="BY53" s="181" t="str">
        <f t="shared" ca="1" si="29"/>
        <v/>
      </c>
      <c r="CA53" s="192" t="str">
        <f t="shared" si="20"/>
        <v>N</v>
      </c>
      <c r="CB53" s="192" t="str">
        <f t="shared" si="21"/>
        <v>N</v>
      </c>
      <c r="CC53" s="193">
        <f>IFERROR(INDEX(Program_01!$CE:$CE,MATCH($B53,Program_01!$A:$A,0)),"")</f>
        <v>45502</v>
      </c>
      <c r="CD53" s="193">
        <f t="shared" si="26"/>
        <v>45502</v>
      </c>
      <c r="CG53" s="194">
        <f>IFERROR(INDEX(Program_01!$AT:$AT,MATCH($B53,Program_01!$A:$A,0)),"")</f>
        <v>0</v>
      </c>
      <c r="CH53" s="194">
        <f>IFERROR(INDEX(Program_01!$AX:$AX,MATCH($B53,Program_01!$A:$A,0)),"")</f>
        <v>0</v>
      </c>
    </row>
    <row r="54" spans="1:86" s="187" customFormat="1" ht="409.5" customHeight="1">
      <c r="A54" s="174" t="s">
        <v>1</v>
      </c>
      <c r="B54" s="175">
        <v>36</v>
      </c>
      <c r="C54" s="176" t="str">
        <f>IFERROR(INDEX(Program_01!$B:$B,MATCH($B54,Program_01!$A:$A,0)),"")</f>
        <v>FULL TIA EAR</v>
      </c>
      <c r="D54" s="176" t="str">
        <f>IFERROR(INDEX(Program_01!$D:$D,MATCH($B54,Program_01!$A:$A,0)),"")</f>
        <v>1TB01002C07</v>
      </c>
      <c r="E54" s="176" t="str">
        <f>IFERROR(INDEX(Program_01!$E:$E,MATCH($B54,Program_01!$A:$A,0)),"")</f>
        <v>1.TB.01.002.99</v>
      </c>
      <c r="F54" s="176" t="str">
        <f>IFERROR(INDEX(Program_01!$F:$F,MATCH($B54,Program_01!$A:$A,0)),"")</f>
        <v>Marina Lifestyle Hotel &amp; Village</v>
      </c>
      <c r="G54" s="176" t="str">
        <f>IFERROR(INDEX(Program_01!$G:$G,MATCH($B54,Program_01!$A:$A,0)),"")</f>
        <v>Kitchen &amp; Laundry Works for Marina Lifestyle Hotel</v>
      </c>
      <c r="H54" s="176" t="str">
        <f>IFERROR(INDEX(Program_01!$H:$H,MATCH($B54,Program_01!$A:$A,0)),"")</f>
        <v>Abdulaziz Al Raqtan and Partners Company for Trading and Industry Company</v>
      </c>
      <c r="I54" s="176" t="str">
        <f t="shared" si="11"/>
        <v>EOT</v>
      </c>
      <c r="J54" s="176">
        <f>IFERROR(INDEX(Program_01!$I:$I,MATCH($B54,Program_01!$A:$A,0)),"")</f>
        <v>1</v>
      </c>
      <c r="K54" s="176">
        <f>IFERROR(INDEX(Program_01!$J:$J,MATCH($B54,Program_01!$A:$A,0)),"")</f>
        <v>0</v>
      </c>
      <c r="L54" s="176">
        <f>IFERROR(INDEX(Program_01!$K:$K,MATCH($B54,Program_01!$A:$A,0)),"")</f>
        <v>0</v>
      </c>
      <c r="M54" s="176">
        <f>IFERROR(INDEX(Program_01!$L:$L,MATCH($B54,Program_01!$A:$A,0)),"")</f>
        <v>0</v>
      </c>
      <c r="N54" s="176">
        <f>IFERROR(INDEX(Program_01!$L:$L,MATCH($B54,Program_01!$A:$A,0)),"")</f>
        <v>0</v>
      </c>
      <c r="O54" s="176">
        <f>IFERROR(INDEX(Program_01!$N:$N,MATCH($B54,Program_01!$A:$A,0)),"")</f>
        <v>0</v>
      </c>
      <c r="P54" s="178"/>
      <c r="Q54" s="179" t="str">
        <f>IFERROR(INDEX(Program_01!$C:$C,MATCH($B54,Program_01!$A:$A,0)),"")</f>
        <v>Extension of Time Claim No 1</v>
      </c>
      <c r="R54" s="176" t="str">
        <f>IFERROR(INDEX(Program_01!$V:$V,MATCH($B54,Program_01!$A:$A,0)),"")</f>
        <v>Raqtan-CLM-000001</v>
      </c>
      <c r="S54" s="180">
        <f>IFERROR(INDEX(Program_01!$W:$W,MATCH($B54,Program_01!$A:$A,0)),"")</f>
        <v>45512</v>
      </c>
      <c r="T54" s="178"/>
      <c r="U54" s="176" t="str">
        <f>IFERROR(INDEX(Program_01!$Z:$Z,MATCH($B54,Program_01!$A:$A,0)),"")</f>
        <v>1TB01002-002C07-AMA-LTR-0011</v>
      </c>
      <c r="V54" s="181">
        <f>IFERROR(INDEX(Program_01!$AA:$AA,MATCH($B54,Program_01!$A:$A,0)),"")</f>
        <v>45532</v>
      </c>
      <c r="W54" s="182">
        <f t="shared" ca="1" si="0"/>
        <v>20</v>
      </c>
      <c r="X54" s="51"/>
      <c r="Y54" s="179" t="str">
        <f>IFERROR(INDEX(Program_01!$BD:$BD,MATCH($B54,Program_01!$A:$A,0)),"")</f>
        <v>The Contractor has submitted the Extension of Time as a submittal. The Contractor to submit the Extension of Time through a letter. 
The Contractor has generalized the impact of issuance of revised IFCs as it is impacting full scope and all engineering submission activities. 
The Employer recommends conducting a workshop or a presentation prior to submission of Extension of Time request.
1TB01002-002C07-RQN-FRM-PM-0001 (Raqtan-TRANSMIT-000064) dated 03 Sep 24 - Contractor aknowleded employers letter and confirms resubmission of claim
Raqtan- CLM-000003 "MLH EOT Claim Request" , EOT rev 01, dated 03 Nov 2024. 
1TB01002-002C07-AMA-LTR-0016 dated 29 Dec 24
1TB01002-002C07-RQN-FRM-PM-0003[C0] dated 18 Jan 25
AMA01002-GENCORR-002290 issued on 30 Jan 2025.</v>
      </c>
      <c r="Z54" s="51"/>
      <c r="AA54" s="183" t="str">
        <f>IFERROR(IF((INDEX(Program_01!$AD:$AD,MATCH($B54,Program_01!$A:$A,0))=""),INDEX(Program_01!$V:$V,MATCH($B54,Program_01!$A:$A,0)),INDEX(Program_01!$AD:$AD,MATCH($B54,Program_01!$A:$A,0))),"")</f>
        <v>Raqtan-CLM-000003 dated 02 Nov 24
 1TB01002-002C07-RQN-FRM-PM-0003 18 Jan 25
Raqtan-CLM-000005 on 21 Oct 25
Raqtan-CLM-000006 on 30 Dec 25
Raqtan-CLM-000007 11 Mar 26
Raqtan-CLM-000008</v>
      </c>
      <c r="AB54" s="147">
        <f>IFERROR(IF((INDEX(Program_01!$AE:$AE,MATCH($B54,Program_01!$A:$A,0))=""),INDEX(Program_01!$W:$W,MATCH($B54,Program_01!$A:$A,0)),INDEX(Program_01!$AE:$AE,MATCH($B54,Program_01!$A:$A,0))),"")</f>
        <v>46183</v>
      </c>
      <c r="AC54" s="183">
        <f>IFERROR(IF($I54="EOT",INDEX(Program_01!$AN:$AN,MATCH($B54,Program_01!$A:$A,0)),INDEX(Program_01!$AY:$AY,MATCH($B54,Program_01!$A:$A,0))),"")</f>
        <v>0</v>
      </c>
      <c r="AD54" s="181">
        <f>IFERROR(IF($I54="EOT",INDEX(Program_01!$AO:$AO,MATCH($B54,Program_01!$A:$A,0)),INDEX(Program_01!$AZ:$AZ,MATCH($B54,Program_01!$A:$A,0))),"")</f>
        <v>0</v>
      </c>
      <c r="AE54" s="51"/>
      <c r="AF54" s="183"/>
      <c r="AG54" s="181"/>
      <c r="AH54" s="183" t="str">
        <f>IF(OR($D54="",$AS54="VO Issued",$AS54="Open"),"",IF(OR($AC54="Rejected",$AC54="Superseded",$AC54="Dealt Separately"),$AC54,IF($I54="EOT",INDEX(Program_01!$AR:$AR,MATCH($B54,Program_01!$A:$A,0)),INDEX(Program_01!$BB:$BB,MATCH($B54,Program_01!$A:$A,0)))))</f>
        <v/>
      </c>
      <c r="AI54" s="181" t="str">
        <f>IF(OR($A54="",$B54="",$I54="",$AS54="VO Issued",$AS54="Open"),"",IF(OR($AD54="N/A"),$AD54,IF($I54="EOT",INDEX(Program_01!$AS:$AS,MATCH($B54,Program_01!$A:$A,0)),INDEX(Program_01!$BC:$BC,MATCH($B54,Program_01!$A:$A,0)))))</f>
        <v/>
      </c>
      <c r="AJ54" s="183" t="str">
        <f>IF(OR($D54="",$I54="",$AS54="Determination Issued",$AS54="Rejected",$AS54="Open"),"",IF(OR($AH54="Rejected",$AH54="Dealt Separately",$AH54="Superseded",$AH54="Withdrawn"),"N/A",IF($I54="EOT",INDEX(Program_01!AR:AR,MATCH($B54,Program_01!A:A,0)),INDEX(Program_01!BB:BB,MATCH($B54,Program_01!A:A,0)))))</f>
        <v/>
      </c>
      <c r="AK54" s="181" t="str">
        <f>IF(OR($A54="",$B54="",$I54="",$AS54="Determination Issued",$AS54="Rejected",$AS54="Open"),"",IF($AJ54="N/A","N/A",IF($I54="EOT",INDEX(Program_01!AS:AS,MATCH($B54,Program_01!A:A,0)),INDEX(Program_01!BC:BC,MATCH($B54,Program_01!A:A,0)))))</f>
        <v/>
      </c>
      <c r="AL54" s="51"/>
      <c r="AM54" s="184">
        <f>IFERROR(INDEX(Program_01!$BT:$BT,MATCH($B54,Program_01!$A:$A,0)),"")</f>
        <v>0</v>
      </c>
      <c r="AN54" s="184">
        <f>IFERROR(INDEX(Program_01!$BU:$BU,MATCH($B54,Program_01!$A:$A,0)),"")</f>
        <v>0</v>
      </c>
      <c r="AO54" s="184">
        <f>IFERROR(INDEX(Program_01!$BV:$BV,MATCH($B54,Program_01!$A:$A,0)),"")</f>
        <v>0</v>
      </c>
      <c r="AP54" s="51" t="str">
        <f t="shared" si="12"/>
        <v/>
      </c>
      <c r="AQ54" s="184">
        <f>IFERROR(INDEX(Program_01!$BN:$BN,MATCH($B54,Program_01!$A:$A,0)),"")</f>
        <v>0</v>
      </c>
      <c r="AR54" s="184" t="str">
        <f>IFERROR(INDEX(Program_01!$BO:$BO,MATCH($B54,Program_01!$A:$A,0)),"")</f>
        <v>Pending</v>
      </c>
      <c r="AS54" s="184" t="str">
        <f>IFERROR(INDEX(Program_01!$BP:$BP,MATCH($B54,Program_01!$A:$A,0)),"")</f>
        <v>Open</v>
      </c>
      <c r="AT54" s="185" t="str">
        <f>IFERROR(INDEX(Program_01!$BQ:$BQ,MATCH($B54,Program_01!$A:$A,0)),"")</f>
        <v>Commercial Team</v>
      </c>
      <c r="AU54" s="179" t="str">
        <f>IFERROR(INDEX(Program_01!$BR:$BR,MATCH($B54,Program_01!$A:$A,0)),"")</f>
        <v>06 Apr 26: Ditto, under review with commercial, Targeted to submit the EAR to claims team for review by (TBC), commercial to clarify with the contractor whether they indend to claim cost, if no cost, then to be proceeded as HLEAR 
20 April 26 : Under Commercial review. Awaiting feedback from Raqtan team for the waiver of the cost claim.
04 May 26: Under Commercial review. EAR targeted to be finalised by 21 May 26
18 May 26: Under Commercial review. EAR targeted to be finalised by 31 May 26
31 May 26 : Pending clarification from RQN since 20 May 26. A workshop scheduled with RQN for jutification related to ROA Delay Event. Draft EAR under finalization. EAR targeted to be finalized by 15 June 26
04 Jun 26: Ditto
10 Jun 26: Contractor submitted updated claim via Raqtan-CLM-000008 dated 10 Jun 26
15 Jun 26:under process with commercial, targete date TBC
29 June 26: Draft EAR target to complete by 07 July 26 for claims review
05 Jul 26: Acknowledgment letter to RAQTAN-CLM-000008 issued to contractor via 1TB01002-002C07-AMA-LTR-0045, Claim currently under review with commercial
12 Jul 26: under review with commercial team (Rufino)
13 Jul 26: under review with commercial, Targeted to submit to claims team by  16 Jul 26
27 July 26: Under review with Rufino, target to send to Claims team on 28 July 26 
30 Jul 26: updated Draft EAR sent to claims team for review
03 Aug 26: EAR sent back to commercial with comments
04 Aug 26: Draft EAR sent to claims team for final review prior to TIA
05 Aug 26: Draft EAR sent to planning for TIA
10 Aug 26: Ditto, Targeted to conclude TIA by 17 Aug 26
18 Aug 26: TIA targeted date moved to 19 Aug 26
23 Aug 26: TIA concluded, however planning identified issues concerning the access delays considered in the EAR that could materially affect the findings and conclusions of the assessment, seeking advice from Claims.  Draft EAR under review with claims.
24 Aug 26:  Commercial to consider access delay not included in EOT.  Target 01 Sept 26
06-Sep-26 Under commercial team updates based on the DEOT. Updated EAR to be shared with the Claims team on or before 10 September 2026. - TIA to be redone - 21-Sep-26.
21-Sep-26 : Commercial team yet to share the updated EAR based on DEOT. Revised Target date to share the EAR : on or before 30-Sep-26.
05 Oct 26: Commercial team to share the updated EAR to Claims / Planning team on 8 Oct 2026</v>
      </c>
      <c r="AV54" s="186" t="str">
        <f t="shared" si="1"/>
        <v/>
      </c>
      <c r="AW54" s="186" t="str">
        <f t="shared" si="13"/>
        <v>OPEN</v>
      </c>
      <c r="AX54" s="186" t="str">
        <f t="shared" si="2"/>
        <v>OPEN</v>
      </c>
      <c r="AY54" s="181">
        <f t="shared" si="14"/>
        <v>46183</v>
      </c>
      <c r="AZ54" s="181" t="str">
        <f t="shared" si="27"/>
        <v/>
      </c>
      <c r="BA54" s="181" t="str">
        <f t="shared" si="4"/>
        <v/>
      </c>
      <c r="BC54" s="181">
        <f>IFERROR(INDEX(Program_01!BF:BF,MATCH($B54,Program_01!$A:$A,0)),"")</f>
        <v>46183</v>
      </c>
      <c r="BD54" s="188">
        <f ca="1">IFERROR(INDEX(Program_01!BG:BG,MATCH($B54,Program_01!$A:$A,0)),"")</f>
        <v>56</v>
      </c>
      <c r="BE54" s="181">
        <f>IFERROR(INDEX(Program_01!BH:BH,MATCH($B54,Program_01!$A:$A,0)),"")</f>
        <v>46239</v>
      </c>
      <c r="BF54" s="189">
        <f ca="1">IFERROR(INDEX(Program_01!BI:BI,MATCH($B54,Program_01!$A:$A,0)),"")</f>
        <v>61</v>
      </c>
      <c r="BG54" s="181">
        <f>IFERROR(INDEX(Program_01!BJ:BJ,MATCH($B54,Program_01!$A:$A,0)),"")</f>
        <v>0</v>
      </c>
      <c r="BH54" s="189">
        <f ca="1">IFERROR(INDEX(Program_01!BK:BK,MATCH($B54,Program_01!$A:$A,0)),"")</f>
        <v>0</v>
      </c>
      <c r="BI54" s="181">
        <f>IFERROR(INDEX(Program_01!BL:BL,MATCH($B54,Program_01!$A:$A,0)),"")</f>
        <v>0</v>
      </c>
      <c r="BK54" s="190" t="str">
        <f>IFERROR(IF(INDEX(Program_01!$BX:$BX,MATCH($B54,Program_01!$A:$A,0))=DATE(1900,1,0),"",INDEX(Program_01!$BX:$BX,MATCH($B54,Program_01!$A:$A,0))),"")</f>
        <v/>
      </c>
      <c r="BL54" s="190" t="str">
        <f>IFERROR(IF(INDEX(Program_01!$BY:$BY,MATCH($B54,Program_01!$A:$A,0))=DATE(1900,1,0),"",INDEX(Program_01!$BY:$BY,MATCH($B54,Program_01!$A:$A,0))),"")</f>
        <v/>
      </c>
      <c r="BM54" s="188" t="str">
        <f t="shared" ca="1" si="15"/>
        <v/>
      </c>
      <c r="BN54" s="191">
        <f t="shared" ca="1" si="16"/>
        <v>117</v>
      </c>
      <c r="BO54" s="188" t="str">
        <f t="shared" si="5"/>
        <v/>
      </c>
      <c r="BP54" s="188" t="str">
        <f t="shared" si="6"/>
        <v/>
      </c>
      <c r="BQ54" s="188" t="str">
        <f t="shared" ca="1" si="17"/>
        <v/>
      </c>
      <c r="BR54" s="181" t="str">
        <f t="shared" ca="1" si="28"/>
        <v/>
      </c>
      <c r="BT54" s="190" t="str">
        <f>IFERROR(IF(INDEX(Program_01!$BZ:$BZ,MATCH($B54,Program_01!$A:$A,0))=DATE(1900,1,0),"",INDEX(Program_01!$BZ:$BZ,MATCH($B54,Program_01!$A:$A,0))),"")</f>
        <v/>
      </c>
      <c r="BU54" s="182" t="str">
        <f t="shared" ca="1" si="22"/>
        <v/>
      </c>
      <c r="BV54" s="188" t="str">
        <f t="shared" si="7"/>
        <v/>
      </c>
      <c r="BW54" s="188" t="str">
        <f t="shared" si="8"/>
        <v/>
      </c>
      <c r="BX54" s="188" t="str">
        <f t="shared" ca="1" si="9"/>
        <v/>
      </c>
      <c r="BY54" s="181" t="str">
        <f t="shared" ca="1" si="29"/>
        <v/>
      </c>
      <c r="CA54" s="192" t="str">
        <f t="shared" si="20"/>
        <v>N</v>
      </c>
      <c r="CB54" s="192" t="str">
        <f t="shared" si="21"/>
        <v>N</v>
      </c>
      <c r="CC54" s="193">
        <f>IFERROR(INDEX(Program_01!$CE:$CE,MATCH($B54,Program_01!$A:$A,0)),"")</f>
        <v>45515</v>
      </c>
      <c r="CD54" s="193">
        <f t="shared" si="26"/>
        <v>45515</v>
      </c>
      <c r="CG54" s="194">
        <f>IFERROR(INDEX(Program_01!$AT:$AT,MATCH($B54,Program_01!$A:$A,0)),"")</f>
        <v>0</v>
      </c>
      <c r="CH54" s="194">
        <f>IFERROR(INDEX(Program_01!$AX:$AX,MATCH($B54,Program_01!$A:$A,0)),"")</f>
        <v>0</v>
      </c>
    </row>
    <row r="55" spans="1:86" s="187" customFormat="1" ht="119">
      <c r="A55" s="174" t="s">
        <v>1</v>
      </c>
      <c r="B55" s="175">
        <v>37</v>
      </c>
      <c r="C55" s="176" t="str">
        <f>IFERROR(INDEX(Program_01!$B:$B,MATCH($B55,Program_01!$A:$A,0)),"")</f>
        <v>COST EAR</v>
      </c>
      <c r="D55" s="176" t="str">
        <f>IFERROR(INDEX(Program_01!$D:$D,MATCH($B55,Program_01!$A:$A,0)),"")</f>
        <v>1TB01002C07</v>
      </c>
      <c r="E55" s="176" t="str">
        <f>IFERROR(INDEX(Program_01!$E:$E,MATCH($B55,Program_01!$A:$A,0)),"")</f>
        <v>1.TB.01.002.99</v>
      </c>
      <c r="F55" s="176" t="str">
        <f>IFERROR(INDEX(Program_01!$F:$F,MATCH($B55,Program_01!$A:$A,0)),"")</f>
        <v>Marina Lifestyle Hotel &amp; Village</v>
      </c>
      <c r="G55" s="176" t="str">
        <f>IFERROR(INDEX(Program_01!$G:$G,MATCH($B55,Program_01!$A:$A,0)),"")</f>
        <v>Kitchen &amp; Laundry Works for Marina Lifestyle Hotel</v>
      </c>
      <c r="H55" s="176" t="str">
        <f>IFERROR(INDEX(Program_01!$H:$H,MATCH($B55,Program_01!$A:$A,0)),"")</f>
        <v>Abdulaziz Al Raqtan and Partners Company for Trading and Industry Company</v>
      </c>
      <c r="I55" s="176" t="str">
        <f t="shared" si="11"/>
        <v>Prolongation</v>
      </c>
      <c r="J55" s="176">
        <f>IFERROR(INDEX(Program_01!$I:$I,MATCH($B55,Program_01!$A:$A,0)),"")</f>
        <v>0</v>
      </c>
      <c r="K55" s="176">
        <f>IFERROR(INDEX(Program_01!$J:$J,MATCH($B55,Program_01!$A:$A,0)),"")</f>
        <v>1</v>
      </c>
      <c r="L55" s="176">
        <f>IFERROR(INDEX(Program_01!$K:$K,MATCH($B55,Program_01!$A:$A,0)),"")</f>
        <v>0</v>
      </c>
      <c r="M55" s="176">
        <f>IFERROR(INDEX(Program_01!$L:$L,MATCH($B55,Program_01!$A:$A,0)),"")</f>
        <v>0</v>
      </c>
      <c r="N55" s="176">
        <f>IFERROR(INDEX(Program_01!$L:$L,MATCH($B55,Program_01!$A:$A,0)),"")</f>
        <v>0</v>
      </c>
      <c r="O55" s="176">
        <f>IFERROR(INDEX(Program_01!$N:$N,MATCH($B55,Program_01!$A:$A,0)),"")</f>
        <v>0</v>
      </c>
      <c r="P55" s="178"/>
      <c r="Q55" s="179" t="str">
        <f>IFERROR(INDEX(Program_01!$C:$C,MATCH($B55,Program_01!$A:$A,0)),"")</f>
        <v>Extension of Time Claim No 1</v>
      </c>
      <c r="R55" s="176" t="str">
        <f>IFERROR(INDEX(Program_01!$V:$V,MATCH($B55,Program_01!$A:$A,0)),"")</f>
        <v>Raqtan-CLM-000001</v>
      </c>
      <c r="S55" s="180">
        <f>IFERROR(INDEX(Program_01!$W:$W,MATCH($B55,Program_01!$A:$A,0)),"")</f>
        <v>45512</v>
      </c>
      <c r="T55" s="178"/>
      <c r="U55" s="176" t="str">
        <f>IFERROR(INDEX(Program_01!$Z:$Z,MATCH($B55,Program_01!$A:$A,0)),"")</f>
        <v>1TB01002-002C07-AMA-LTR-0011</v>
      </c>
      <c r="V55" s="181">
        <f>IFERROR(INDEX(Program_01!$AA:$AA,MATCH($B55,Program_01!$A:$A,0)),"")</f>
        <v>45532</v>
      </c>
      <c r="W55" s="182">
        <f t="shared" ca="1" si="0"/>
        <v>20</v>
      </c>
      <c r="X55" s="51"/>
      <c r="Y55" s="179">
        <f>IFERROR(INDEX(Program_01!$BD:$BD,MATCH($B55,Program_01!$A:$A,0)),"")</f>
        <v>0</v>
      </c>
      <c r="Z55" s="51"/>
      <c r="AA55" s="183" t="str">
        <f>IFERROR(IF((INDEX(Program_01!$AD:$AD,MATCH($B55,Program_01!$A:$A,0))=""),INDEX(Program_01!$V:$V,MATCH($B55,Program_01!$A:$A,0)),INDEX(Program_01!$AD:$AD,MATCH($B55,Program_01!$A:$A,0))),"")</f>
        <v>Raqtan-CLM-000001</v>
      </c>
      <c r="AB55" s="147">
        <f>IFERROR(IF((INDEX(Program_01!$AE:$AE,MATCH($B55,Program_01!$A:$A,0))=""),INDEX(Program_01!$W:$W,MATCH($B55,Program_01!$A:$A,0)),INDEX(Program_01!$AE:$AE,MATCH($B55,Program_01!$A:$A,0))),"")</f>
        <v>45512</v>
      </c>
      <c r="AC55" s="183">
        <f>IFERROR(IF($I55="EOT",INDEX(Program_01!$AN:$AN,MATCH($B55,Program_01!$A:$A,0)),INDEX(Program_01!$AY:$AY,MATCH($B55,Program_01!$A:$A,0))),"")</f>
        <v>0</v>
      </c>
      <c r="AD55" s="181" t="str">
        <f>IFERROR(IF($I55="EOT",INDEX(Program_01!$AO:$AO,MATCH($B55,Program_01!$A:$A,0)),INDEX(Program_01!$AZ:$AZ,MATCH($B55,Program_01!$A:$A,0))),"")</f>
        <v>N/A</v>
      </c>
      <c r="AE55" s="51"/>
      <c r="AF55" s="183"/>
      <c r="AG55" s="181"/>
      <c r="AH55" s="183">
        <f>IF(OR($D55="",$AS55="VO Issued",$AS55="Open"),"",IF(OR($AC55="Rejected",$AC55="Superseded",$AC55="Dealt Separately"),$AC55,IF($I55="EOT",INDEX(Program_01!$AR:$AR,MATCH($B55,Program_01!$A:$A,0)),INDEX(Program_01!$BB:$BB,MATCH($B55,Program_01!$A:$A,0)))))</f>
        <v>0</v>
      </c>
      <c r="AI55" s="181" t="str">
        <f>IF(OR($A55="",$B55="",$I55="",$AS55="VO Issued",$AS55="Open"),"",IF(OR($AD55="N/A"),$AD55,IF($I55="EOT",INDEX(Program_01!$AS:$AS,MATCH($B55,Program_01!$A:$A,0)),INDEX(Program_01!$BC:$BC,MATCH($B55,Program_01!$A:$A,0)))))</f>
        <v>N/A</v>
      </c>
      <c r="AJ55" s="183">
        <f>IF(OR($D55="",$I55="",$AS55="Determination Issued",$AS55="Rejected",$AS55="Open"),"",IF(OR($AH55="Rejected",$AH55="Dealt Separately",$AH55="Superseded",$AH55="Withdrawn"),"N/A",IF($I55="EOT",INDEX(Program_01!AR:AR,MATCH($B55,Program_01!A:A,0)),INDEX(Program_01!BB:BB,MATCH($B55,Program_01!A:A,0)))))</f>
        <v>0</v>
      </c>
      <c r="AK55" s="181" t="str">
        <f>IF(OR($A55="",$B55="",$I55="",$AS55="Determination Issued",$AS55="Rejected",$AS55="Open"),"",IF($AJ55="N/A","N/A",IF($I55="EOT",INDEX(Program_01!AS:AS,MATCH($B55,Program_01!A:A,0)),INDEX(Program_01!BC:BC,MATCH($B55,Program_01!A:A,0)))))</f>
        <v>N/A</v>
      </c>
      <c r="AL55" s="51"/>
      <c r="AM55" s="184">
        <f>IFERROR(INDEX(Program_01!$BT:$BT,MATCH($B55,Program_01!$A:$A,0)),"")</f>
        <v>0</v>
      </c>
      <c r="AN55" s="184">
        <f>IFERROR(INDEX(Program_01!$BU:$BU,MATCH($B55,Program_01!$A:$A,0)),"")</f>
        <v>0</v>
      </c>
      <c r="AO55" s="184">
        <f>IFERROR(INDEX(Program_01!$BV:$BV,MATCH($B55,Program_01!$A:$A,0)),"")</f>
        <v>0</v>
      </c>
      <c r="AP55" s="51" t="str">
        <f t="shared" si="12"/>
        <v/>
      </c>
      <c r="AQ55" s="184">
        <f>IFERROR(INDEX(Program_01!$BN:$BN,MATCH($B55,Program_01!$A:$A,0)),"")</f>
        <v>0</v>
      </c>
      <c r="AR55" s="184" t="str">
        <f>IFERROR(INDEX(Program_01!$BO:$BO,MATCH($B55,Program_01!$A:$A,0)),"")</f>
        <v>Canceled</v>
      </c>
      <c r="AS55" s="184" t="str">
        <f>IFERROR(INDEX(Program_01!$BP:$BP,MATCH($B55,Program_01!$A:$A,0)),"")</f>
        <v>Canceled</v>
      </c>
      <c r="AT55" s="185" t="str">
        <f>IFERROR(INDEX(Program_01!$BQ:$BQ,MATCH($B55,Program_01!$A:$A,0)),"")</f>
        <v>Closed</v>
      </c>
      <c r="AU55" s="179" t="str">
        <f>IFERROR(INDEX(Program_01!$BR:$BR,MATCH($B55,Program_01!$A:$A,0)),"")</f>
        <v>11 Aug 24: EOT received on 08-August. Planning initial review ready. The response for fomral submission through letter to be issued during the day. Commercial to review and respond to contractor within 21 days.
25 Aug 24: Same as above
10 Nov 24: Contractor submitted revised submission on 02 Nov 24 wide Raqtan-CLM-000003
13 July 25: Ditto
01 Dec 25: Ditto
22 Apr 25: This line item has been cancelled as the contractor hasnt yet submitted a cost figure and is subject to sumbit upon finalising the EOT claim</v>
      </c>
      <c r="AV55" s="186" t="str">
        <f t="shared" si="1"/>
        <v/>
      </c>
      <c r="AW55" s="186" t="str">
        <f t="shared" si="13"/>
        <v>CLOSED</v>
      </c>
      <c r="AX55" s="186" t="str">
        <f t="shared" si="2"/>
        <v>CLOSED</v>
      </c>
      <c r="AY55" s="181">
        <f t="shared" si="14"/>
        <v>45512</v>
      </c>
      <c r="AZ55" s="181" t="str">
        <f t="shared" si="27"/>
        <v>N/A</v>
      </c>
      <c r="BA55" s="181" t="str">
        <f t="shared" si="4"/>
        <v>N/A</v>
      </c>
      <c r="BC55" s="181">
        <f>IFERROR(INDEX(Program_01!BF:BF,MATCH($B55,Program_01!$A:$A,0)),"")</f>
        <v>45512</v>
      </c>
      <c r="BD55" s="188" t="str">
        <f ca="1">IFERROR(INDEX(Program_01!BG:BG,MATCH($B55,Program_01!$A:$A,0)),"")</f>
        <v>N/A</v>
      </c>
      <c r="BE55" s="181">
        <f>IFERROR(INDEX(Program_01!BH:BH,MATCH($B55,Program_01!$A:$A,0)),"")</f>
        <v>0</v>
      </c>
      <c r="BF55" s="189" t="str">
        <f ca="1">IFERROR(INDEX(Program_01!BI:BI,MATCH($B55,Program_01!$A:$A,0)),"")</f>
        <v>N/A</v>
      </c>
      <c r="BG55" s="181">
        <f>IFERROR(INDEX(Program_01!BJ:BJ,MATCH($B55,Program_01!$A:$A,0)),"")</f>
        <v>0</v>
      </c>
      <c r="BH55" s="189">
        <f ca="1">IFERROR(INDEX(Program_01!BK:BK,MATCH($B55,Program_01!$A:$A,0)),"")</f>
        <v>0</v>
      </c>
      <c r="BI55" s="181">
        <f>IFERROR(INDEX(Program_01!BL:BL,MATCH($B55,Program_01!$A:$A,0)),"")</f>
        <v>0</v>
      </c>
      <c r="BK55" s="190">
        <f>IFERROR(IF(INDEX(Program_01!$BX:$BX,MATCH($B55,Program_01!$A:$A,0))=DATE(1900,1,0),"",INDEX(Program_01!$BX:$BX,MATCH($B55,Program_01!$A:$A,0))),"")</f>
        <v>46113</v>
      </c>
      <c r="BL55" s="190" t="str">
        <f>IFERROR(IF(INDEX(Program_01!$BY:$BY,MATCH($B55,Program_01!$A:$A,0))=DATE(1900,1,0),"",INDEX(Program_01!$BY:$BY,MATCH($B55,Program_01!$A:$A,0))),"")</f>
        <v/>
      </c>
      <c r="BM55" s="188" t="str">
        <f t="shared" ca="1" si="15"/>
        <v/>
      </c>
      <c r="BN55" s="191">
        <f t="shared" ca="1" si="16"/>
        <v>0</v>
      </c>
      <c r="BO55" s="188" t="str">
        <f t="shared" si="5"/>
        <v/>
      </c>
      <c r="BP55" s="188" t="str">
        <f t="shared" si="6"/>
        <v>1</v>
      </c>
      <c r="BQ55" s="188" t="str">
        <f t="shared" ca="1" si="17"/>
        <v/>
      </c>
      <c r="BR55" s="181" t="str">
        <f t="shared" ca="1" si="28"/>
        <v/>
      </c>
      <c r="BT55" s="190" t="str">
        <f>IFERROR(IF(INDEX(Program_01!$BZ:$BZ,MATCH($B55,Program_01!$A:$A,0))=DATE(1900,1,0),"",INDEX(Program_01!$BZ:$BZ,MATCH($B55,Program_01!$A:$A,0))),"")</f>
        <v/>
      </c>
      <c r="BU55" s="182" t="str">
        <f t="shared" ca="1" si="22"/>
        <v/>
      </c>
      <c r="BV55" s="188" t="str">
        <f t="shared" si="7"/>
        <v/>
      </c>
      <c r="BW55" s="188" t="str">
        <f t="shared" si="8"/>
        <v>1</v>
      </c>
      <c r="BX55" s="188" t="str">
        <f t="shared" ca="1" si="9"/>
        <v/>
      </c>
      <c r="BY55" s="181" t="str">
        <f t="shared" ca="1" si="29"/>
        <v/>
      </c>
      <c r="CA55" s="192" t="str">
        <f t="shared" si="20"/>
        <v>N</v>
      </c>
      <c r="CB55" s="192" t="str">
        <f t="shared" si="21"/>
        <v>N</v>
      </c>
      <c r="CC55" s="193">
        <f>IFERROR(INDEX(Program_01!$CE:$CE,MATCH($B55,Program_01!$A:$A,0)),"")</f>
        <v>45515</v>
      </c>
      <c r="CD55" s="193">
        <f t="shared" si="26"/>
        <v>45515</v>
      </c>
      <c r="CG55" s="194" t="str">
        <f>IFERROR(INDEX(Program_01!$AT:$AT,MATCH($B55,Program_01!$A:$A,0)),"")</f>
        <v>N/A</v>
      </c>
      <c r="CH55" s="194">
        <f>IFERROR(INDEX(Program_01!$AX:$AX,MATCH($B55,Program_01!$A:$A,0)),"")</f>
        <v>0</v>
      </c>
    </row>
    <row r="56" spans="1:86" s="187" customFormat="1" ht="409.6">
      <c r="A56" s="174" t="s">
        <v>1</v>
      </c>
      <c r="B56" s="175">
        <v>38</v>
      </c>
      <c r="C56" s="176" t="str">
        <f>IFERROR(INDEX(Program_01!$B:$B,MATCH($B56,Program_01!$A:$A,0)),"")</f>
        <v>FULL TIA EAR</v>
      </c>
      <c r="D56" s="176" t="str">
        <f>IFERROR(INDEX(Program_01!$D:$D,MATCH($B56,Program_01!$A:$A,0)),"")</f>
        <v>1TB01002C22</v>
      </c>
      <c r="E56" s="176" t="str">
        <f>IFERROR(INDEX(Program_01!$E:$E,MATCH($B56,Program_01!$A:$A,0)),"")</f>
        <v>1.TB.01.002.99</v>
      </c>
      <c r="F56" s="176" t="str">
        <f>IFERROR(INDEX(Program_01!$F:$F,MATCH($B56,Program_01!$A:$A,0)),"")</f>
        <v>Marina Lifestyle Hotel &amp; Village</v>
      </c>
      <c r="G56" s="176" t="str">
        <f>IFERROR(INDEX(Program_01!$G:$G,MATCH($B56,Program_01!$A:$A,0)),"")</f>
        <v>Structural Steel Works</v>
      </c>
      <c r="H56" s="176" t="str">
        <f>IFERROR(INDEX(Program_01!$H:$H,MATCH($B56,Program_01!$A:$A,0)),"")</f>
        <v>Cleveland Bridge Steel Co. LTD</v>
      </c>
      <c r="I56" s="176" t="str">
        <f t="shared" si="11"/>
        <v>EOT</v>
      </c>
      <c r="J56" s="176">
        <f>IFERROR(INDEX(Program_01!$I:$I,MATCH($B56,Program_01!$A:$A,0)),"")</f>
        <v>1</v>
      </c>
      <c r="K56" s="176">
        <f>IFERROR(INDEX(Program_01!$J:$J,MATCH($B56,Program_01!$A:$A,0)),"")</f>
        <v>0</v>
      </c>
      <c r="L56" s="176">
        <f>IFERROR(INDEX(Program_01!$K:$K,MATCH($B56,Program_01!$A:$A,0)),"")</f>
        <v>0</v>
      </c>
      <c r="M56" s="176">
        <f>IFERROR(INDEX(Program_01!$L:$L,MATCH($B56,Program_01!$A:$A,0)),"")</f>
        <v>0</v>
      </c>
      <c r="N56" s="176">
        <f>IFERROR(INDEX(Program_01!$L:$L,MATCH($B56,Program_01!$A:$A,0)),"")</f>
        <v>0</v>
      </c>
      <c r="O56" s="176">
        <f>IFERROR(INDEX(Program_01!$N:$N,MATCH($B56,Program_01!$A:$A,0)),"")</f>
        <v>0</v>
      </c>
      <c r="P56" s="178"/>
      <c r="Q56" s="179" t="str">
        <f>IFERROR(INDEX(Program_01!$C:$C,MATCH($B56,Program_01!$A:$A,0)),"")</f>
        <v>Notification of Extension of Time (EOT - 01) </v>
      </c>
      <c r="R56" s="176" t="str">
        <f>IFERROR(INDEX(Program_01!$V:$V,MATCH($B56,Program_01!$A:$A,0)),"")</f>
        <v>CBE01002-GENCORR-000028</v>
      </c>
      <c r="S56" s="180">
        <f>IFERROR(INDEX(Program_01!$W:$W,MATCH($B56,Program_01!$A:$A,0)),"")</f>
        <v>45515</v>
      </c>
      <c r="T56" s="178"/>
      <c r="U56" s="176" t="str">
        <f>IFERROR(INDEX(Program_01!$Z:$Z,MATCH($B56,Program_01!$A:$A,0)),"")</f>
        <v>1TB01002-002C22-AMA-LTR-0036</v>
      </c>
      <c r="V56" s="181">
        <f>IFERROR(INDEX(Program_01!$AA:$AA,MATCH($B56,Program_01!$A:$A,0)),"")</f>
        <v>45532</v>
      </c>
      <c r="W56" s="182">
        <f t="shared" ca="1" si="0"/>
        <v>17</v>
      </c>
      <c r="X56" s="51"/>
      <c r="Y56" s="179" t="str">
        <f>IFERROR(INDEX(Program_01!$BD:$BD,MATCH($B56,Program_01!$A:$A,0)),"")</f>
        <v>Under review. Time claim only.
1TB01002-002C22-AMA-LTR-0039 dated 06 Oct 24
CBE01002-GENCORR-000041 dated 16 Jan 24
CBE01002-GENCORR-000042 dated 25 Feb 25
1TB01002-002C22-AMA-LTR-0048 dated 14 Apr 25</v>
      </c>
      <c r="Z56" s="51"/>
      <c r="AA56" s="183" t="str">
        <f>IFERROR(IF((INDEX(Program_01!$AD:$AD,MATCH($B56,Program_01!$A:$A,0))=""),INDEX(Program_01!$V:$V,MATCH($B56,Program_01!$A:$A,0)),INDEX(Program_01!$AD:$AD,MATCH($B56,Program_01!$A:$A,0))),"")</f>
        <v>CBE01002-GENCORR-000029 dated 12 Sep 24
CBE01002-GENCORR-000032 dated 17 Nov 24
CBE01002-GENCORR-000034 06 Dec 24
1TB01002-002C22-CBE-LTR-0008
CBE01002-GENCORR-000042 25 Feb 2025
1TB01002-002C22-CBE-LTR-0012 (CBE01002-GENCORR-000046) on 02 Jul 25
1TB01002-002C22-CBE-LTR-0015
CBE01002-GENCORR-000047 on 05 Aug 25
CBE01002-GENCORR-000049 on 21 Aug 25
CBE01002-GENCORR-000051</v>
      </c>
      <c r="AB56" s="147">
        <f>IFERROR(IF((INDEX(Program_01!$AE:$AE,MATCH($B56,Program_01!$A:$A,0))=""),INDEX(Program_01!$W:$W,MATCH($B56,Program_01!$A:$A,0)),INDEX(Program_01!$AE:$AE,MATCH($B56,Program_01!$A:$A,0))),"")</f>
        <v>45938</v>
      </c>
      <c r="AC56" s="183" t="str">
        <f>IFERROR(IF($I56="EOT",INDEX(Program_01!$AN:$AN,MATCH($B56,Program_01!$A:$A,0)),INDEX(Program_01!$AY:$AY,MATCH($B56,Program_01!$A:$A,0))),"")</f>
        <v>1TB01002-002C22-AMA-RPT-PM-0002
report put in workflow via WF -036980 on 09 Feb 26
1TB01002-002C22-AMA-LTR-0056 on 05-Mar-2026</v>
      </c>
      <c r="AD56" s="181">
        <f>IFERROR(IF($I56="EOT",INDEX(Program_01!$AO:$AO,MATCH($B56,Program_01!$A:$A,0)),INDEX(Program_01!$AZ:$AZ,MATCH($B56,Program_01!$A:$A,0))),"")</f>
        <v>46069</v>
      </c>
      <c r="AE56" s="51"/>
      <c r="AF56" s="183"/>
      <c r="AG56" s="181"/>
      <c r="AH56" s="183">
        <f>IF(OR($D56="",$AS56="VO Issued",$AS56="Open"),"",IF(OR($AC56="Rejected",$AC56="Superseded",$AC56="Dealt Separately"),$AC56,IF($I56="EOT",INDEX(Program_01!$AR:$AR,MATCH($B56,Program_01!$A:$A,0)),INDEX(Program_01!$BB:$BB,MATCH($B56,Program_01!$A:$A,0)))))</f>
        <v>0</v>
      </c>
      <c r="AI56" s="181">
        <f>IF(OR($A56="",$B56="",$I56="",$AS56="VO Issued",$AS56="Open"),"",IF(OR($AD56="N/A"),$AD56,IF($I56="EOT",INDEX(Program_01!$AS:$AS,MATCH($B56,Program_01!$A:$A,0)),INDEX(Program_01!$BC:$BC,MATCH($B56,Program_01!$A:$A,0)))))</f>
        <v>0</v>
      </c>
      <c r="AJ56" s="183">
        <f>IF(OR($D56="",$I56="",$AS56="Determination Issued",$AS56="Rejected",$AS56="Open"),"",IF(OR($AH56="Rejected",$AH56="Dealt Separately",$AH56="Superseded",$AH56="Withdrawn"),"N/A",IF($I56="EOT",INDEX(Program_01!AR:AR,MATCH($B56,Program_01!A:A,0)),INDEX(Program_01!BB:BB,MATCH($B56,Program_01!A:A,0)))))</f>
        <v>0</v>
      </c>
      <c r="AK56" s="181">
        <f>IF(OR($A56="",$B56="",$I56="",$AS56="Determination Issued",$AS56="Rejected",$AS56="Open"),"",IF($AJ56="N/A","N/A",IF($I56="EOT",INDEX(Program_01!AS:AS,MATCH($B56,Program_01!A:A,0)),INDEX(Program_01!BC:BC,MATCH($B56,Program_01!A:A,0)))))</f>
        <v>0</v>
      </c>
      <c r="AL56" s="51"/>
      <c r="AM56" s="184">
        <f>IFERROR(INDEX(Program_01!$BT:$BT,MATCH($B56,Program_01!$A:$A,0)),"")</f>
        <v>0</v>
      </c>
      <c r="AN56" s="184">
        <f>IFERROR(INDEX(Program_01!$BU:$BU,MATCH($B56,Program_01!$A:$A,0)),"")</f>
        <v>0</v>
      </c>
      <c r="AO56" s="184">
        <f>IFERROR(INDEX(Program_01!$BV:$BV,MATCH($B56,Program_01!$A:$A,0)),"")</f>
        <v>0</v>
      </c>
      <c r="AP56" s="51" t="str">
        <f t="shared" si="12"/>
        <v/>
      </c>
      <c r="AQ56" s="184">
        <f>IFERROR(INDEX(Program_01!$BN:$BN,MATCH($B56,Program_01!$A:$A,0)),"")</f>
        <v>0</v>
      </c>
      <c r="AR56" s="184" t="str">
        <f>IFERROR(INDEX(Program_01!$BO:$BO,MATCH($B56,Program_01!$A:$A,0)),"")</f>
        <v>Assessment Report Issued</v>
      </c>
      <c r="AS56" s="184" t="str">
        <f>IFERROR(INDEX(Program_01!$BP:$BP,MATCH($B56,Program_01!$A:$A,0)),"")</f>
        <v>EI Issued</v>
      </c>
      <c r="AT56" s="185" t="str">
        <f>IFERROR(INDEX(Program_01!$BQ:$BQ,MATCH($B56,Program_01!$A:$A,0)),"")</f>
        <v>Closed</v>
      </c>
      <c r="AU56" s="179" t="str">
        <f>IFERROR(INDEX(Program_01!$BR:$BR,MATCH($B56,Program_01!$A:$A,0)),"")</f>
        <v>07 Feb 26:  EAR sent back to Claims team with updtaed TIA .
08 Feb 26: Approved and sent to commercial to initiate WF process
21 Feb 26: EAR for EOT 01 is under RSG's management  approval via WF -036980
05 Mar 26: EAR for EOT 01 was issued to the Contracor  via letter ref. 1TB01002-002C22-AMA-LTR-0056
10 MAr 26: Contractor responded rejecting the report via CBE01002-GENCORR-000058
28 Mar 26: letter sent to Planning for their comments
06 Apr 26: The Contractor has responded to RSG's letter via ref CBE01002-GENCORR-000058 (1TB01002-002C22-CBE-LTR-0029) dated 11-Mar-26, and provided addendum for the claim for RSG's review. Under Review by Planning.
13 Apr 26: Planning team targeted to provide comments on the response by 14 Apr 26
16 Apr 26: Planning provided their input in response to contractors letter
20 April 26: Letter in the WF (WF-039246)
04 May 26: RSG response to Contractor's comments to EAR was issued via letter ref: 1TB01002-002C22-AMA-LTR-0060 on 27- April-26 incorporating comments from planning to the contractor's concerns / dissatisfaction
18 May  26: the Contractor responded to the Employer's letter via  1TB01002-002C22-CBE-LTR-0034  on 06 May 2026. Contractor requested the Employer's review in the Final EOT submitted (EOT #2) - Comm to discuss with planning if all action can be closed under EOT 2 // if agreed, comm to responde to the contractor with the same 
31 May 26 : Pending confirmation from the Contractor for close-out of EOT #1 EAR considering the associated Delay Events have been addressed within the EOT 2 EAR. Draft EAR related to EOT # 2 shared with Claims team on 30 May 2026 for review and comments.
04 Jun 26: Claims responded to Commercial on 1 Jun 26.  Commercial to revise and resubmit.
15 Jun 26: under process with commercial to revise and resubmit addressing the commentsfrom claims team
28 June 26: Commercial to discuss with Contractor to close EOT 01 as the further particulars submitted by the Contractor is included and will be assessed under EOT 02.  After agreement with Contractor, Commercial will issue the EI for EOT 01, target date to complete this process by 06 July 26.
12 Jul 26: Based on the confirmation received from the Contractor's Project Director, EI related to EOT 1 under approval. Target date to issue to the Contractor 15 July 2026. (Provide EI ref / WF ref etc) - - WF still not initiated
26 July26: Letter and EI issued on 23 July 26 (Ref. 1TB01002-002C22-AMA-LTR-0062, 1TB01002-002C22-AMA-EMI-PM-0007)</v>
      </c>
      <c r="AV56" s="186" t="str">
        <f t="shared" si="1"/>
        <v/>
      </c>
      <c r="AW56" s="186" t="str">
        <f t="shared" si="13"/>
        <v>CLOSED</v>
      </c>
      <c r="AX56" s="186" t="str">
        <f t="shared" si="2"/>
        <v>CLOSED</v>
      </c>
      <c r="AY56" s="181">
        <f t="shared" si="14"/>
        <v>45938</v>
      </c>
      <c r="AZ56" s="181">
        <f t="shared" si="27"/>
        <v>46069</v>
      </c>
      <c r="BA56" s="181">
        <f t="shared" si="4"/>
        <v>0</v>
      </c>
      <c r="BC56" s="181">
        <f>IFERROR(INDEX(Program_01!BF:BF,MATCH($B56,Program_01!$A:$A,0)),"")</f>
        <v>45938</v>
      </c>
      <c r="BD56" s="188" t="str">
        <f ca="1">IFERROR(INDEX(Program_01!BG:BG,MATCH($B56,Program_01!$A:$A,0)),"")</f>
        <v>N/A</v>
      </c>
      <c r="BE56" s="181">
        <f>IFERROR(INDEX(Program_01!BH:BH,MATCH($B56,Program_01!$A:$A,0)),"")</f>
        <v>0</v>
      </c>
      <c r="BF56" s="189">
        <f ca="1">IFERROR(INDEX(Program_01!BI:BI,MATCH($B56,Program_01!$A:$A,0)),"")</f>
        <v>0</v>
      </c>
      <c r="BG56" s="181">
        <f>IFERROR(INDEX(Program_01!BJ:BJ,MATCH($B56,Program_01!$A:$A,0)),"")</f>
        <v>0</v>
      </c>
      <c r="BH56" s="189">
        <f ca="1">IFERROR(INDEX(Program_01!BK:BK,MATCH($B56,Program_01!$A:$A,0)),"")</f>
        <v>0</v>
      </c>
      <c r="BI56" s="181">
        <f>IFERROR(INDEX(Program_01!BL:BL,MATCH($B56,Program_01!$A:$A,0)),"")</f>
        <v>0</v>
      </c>
      <c r="BK56" s="190">
        <f>IFERROR(IF(INDEX(Program_01!$BX:$BX,MATCH($B56,Program_01!$A:$A,0))=DATE(1900,1,0),"",INDEX(Program_01!$BX:$BX,MATCH($B56,Program_01!$A:$A,0))),"")</f>
        <v>46082</v>
      </c>
      <c r="BL56" s="190" t="str">
        <f>IFERROR(IF(INDEX(Program_01!$BY:$BY,MATCH($B56,Program_01!$A:$A,0))=DATE(1900,1,0),"",INDEX(Program_01!$BY:$BY,MATCH($B56,Program_01!$A:$A,0))),"")</f>
        <v/>
      </c>
      <c r="BM56" s="188">
        <f t="shared" ca="1" si="15"/>
        <v>131</v>
      </c>
      <c r="BN56" s="191">
        <f t="shared" ca="1" si="16"/>
        <v>131</v>
      </c>
      <c r="BO56" s="188">
        <f t="shared" ca="1" si="5"/>
        <v>131</v>
      </c>
      <c r="BP56" s="188" t="str">
        <f t="shared" si="6"/>
        <v>1</v>
      </c>
      <c r="BQ56" s="188" t="str">
        <f t="shared" ca="1" si="17"/>
        <v/>
      </c>
      <c r="BR56" s="181" t="str">
        <f t="shared" ca="1" si="28"/>
        <v/>
      </c>
      <c r="BT56" s="190" t="str">
        <f>IFERROR(IF(INDEX(Program_01!$BZ:$BZ,MATCH($B56,Program_01!$A:$A,0))=DATE(1900,1,0),"",INDEX(Program_01!$BZ:$BZ,MATCH($B56,Program_01!$A:$A,0))),"")</f>
        <v/>
      </c>
      <c r="BU56" s="182" t="str">
        <f t="shared" ca="1" si="22"/>
        <v/>
      </c>
      <c r="BV56" s="188" t="str">
        <f t="shared" si="7"/>
        <v/>
      </c>
      <c r="BW56" s="188" t="str">
        <f t="shared" si="8"/>
        <v>1</v>
      </c>
      <c r="BX56" s="188" t="str">
        <f t="shared" ca="1" si="9"/>
        <v/>
      </c>
      <c r="BY56" s="181" t="str">
        <f t="shared" ca="1" si="29"/>
        <v/>
      </c>
      <c r="CA56" s="192" t="str">
        <f t="shared" si="20"/>
        <v>Y</v>
      </c>
      <c r="CB56" s="192" t="str">
        <f t="shared" si="21"/>
        <v>N</v>
      </c>
      <c r="CC56" s="193">
        <f>IFERROR(INDEX(Program_01!$CE:$CE,MATCH($B56,Program_01!$A:$A,0)),"")</f>
        <v>45515</v>
      </c>
      <c r="CD56" s="193">
        <f t="shared" si="26"/>
        <v>45515</v>
      </c>
      <c r="CG56" s="194">
        <f>IFERROR(INDEX(Program_01!$AT:$AT,MATCH($B56,Program_01!$A:$A,0)),"")</f>
        <v>0</v>
      </c>
      <c r="CH56" s="194">
        <f>IFERROR(INDEX(Program_01!$AX:$AX,MATCH($B56,Program_01!$A:$A,0)),"")</f>
        <v>0</v>
      </c>
    </row>
    <row r="57" spans="1:86" s="187" customFormat="1" ht="289">
      <c r="A57" s="174" t="s">
        <v>1</v>
      </c>
      <c r="B57" s="175">
        <v>39</v>
      </c>
      <c r="C57" s="176" t="str">
        <f>IFERROR(INDEX(Program_01!$B:$B,MATCH($B57,Program_01!$A:$A,0)),"")</f>
        <v>FULL TIA EAR</v>
      </c>
      <c r="D57" s="176" t="str">
        <f>IFERROR(INDEX(Program_01!$D:$D,MATCH($B57,Program_01!$A:$A,0)),"")</f>
        <v>1TB01006C20</v>
      </c>
      <c r="E57" s="176" t="str">
        <f>IFERROR(INDEX(Program_01!$E:$E,MATCH($B57,Program_01!$A:$A,0)),"")</f>
        <v>1.TB.01.006.99</v>
      </c>
      <c r="F57" s="176" t="str">
        <f>IFERROR(INDEX(Program_01!$F:$F,MATCH($B57,Program_01!$A:$A,0)),"")</f>
        <v>Village Boutique Hotel</v>
      </c>
      <c r="G57" s="176" t="str">
        <f>IFERROR(INDEX(Program_01!$G:$G,MATCH($B57,Program_01!$A:$A,0)),"")</f>
        <v>Structural Steel Works for Village Boutique Hotel</v>
      </c>
      <c r="H57" s="176" t="str">
        <f>IFERROR(INDEX(Program_01!$H:$H,MATCH($B57,Program_01!$A:$A,0)),"")</f>
        <v>Cleveland Bridge Steel Co. LTD</v>
      </c>
      <c r="I57" s="176" t="str">
        <f t="shared" si="11"/>
        <v>EOT</v>
      </c>
      <c r="J57" s="176">
        <f>IFERROR(INDEX(Program_01!$I:$I,MATCH($B57,Program_01!$A:$A,0)),"")</f>
        <v>1</v>
      </c>
      <c r="K57" s="176">
        <f>IFERROR(INDEX(Program_01!$J:$J,MATCH($B57,Program_01!$A:$A,0)),"")</f>
        <v>0</v>
      </c>
      <c r="L57" s="176">
        <f>IFERROR(INDEX(Program_01!$K:$K,MATCH($B57,Program_01!$A:$A,0)),"")</f>
        <v>0</v>
      </c>
      <c r="M57" s="176">
        <f>IFERROR(INDEX(Program_01!$L:$L,MATCH($B57,Program_01!$A:$A,0)),"")</f>
        <v>0</v>
      </c>
      <c r="N57" s="176">
        <f>IFERROR(INDEX(Program_01!$L:$L,MATCH($B57,Program_01!$A:$A,0)),"")</f>
        <v>0</v>
      </c>
      <c r="O57" s="176">
        <f>IFERROR(INDEX(Program_01!$N:$N,MATCH($B57,Program_01!$A:$A,0)),"")</f>
        <v>0</v>
      </c>
      <c r="P57" s="178"/>
      <c r="Q57" s="179" t="str">
        <f>IFERROR(INDEX(Program_01!$C:$C,MATCH($B57,Program_01!$A:$A,0)),"")</f>
        <v>EOT Claim No. 01 - 7 Delay Events Due to the late response to RFIs</v>
      </c>
      <c r="R57" s="176" t="str">
        <f>IFERROR(INDEX(Program_01!$V:$V,MATCH($B57,Program_01!$A:$A,0)),"")</f>
        <v>CBE01006-WTRAN-000409
1TB01006-006C20-CBE-PLN-SM-0002</v>
      </c>
      <c r="S57" s="180">
        <f>IFERROR(INDEX(Program_01!$W:$W,MATCH($B57,Program_01!$A:$A,0)),"")</f>
        <v>45431</v>
      </c>
      <c r="T57" s="178"/>
      <c r="U57" s="176" t="str">
        <f>IFERROR(INDEX(Program_01!$Z:$Z,MATCH($B57,Program_01!$A:$A,0)),"")</f>
        <v>1TB01006-006C20-AMA-LTR-0035</v>
      </c>
      <c r="V57" s="181">
        <f>IFERROR(INDEX(Program_01!$AA:$AA,MATCH($B57,Program_01!$A:$A,0)),"")</f>
        <v>45450</v>
      </c>
      <c r="W57" s="182">
        <f t="shared" ca="1" si="0"/>
        <v>19</v>
      </c>
      <c r="X57" s="51"/>
      <c r="Y57" s="179" t="str">
        <f>IFERROR(INDEX(Program_01!$BD:$BD,MATCH($B57,Program_01!$A:$A,0)),"")</f>
        <v>1TB01006-006C20-AMA-LTR-0044 dated 19 Sep 24
1TB01006-006C20-CBE-LTR-0003 dated 11 Jan 25
AMA01006-GENCORR-002731 dated 02 Feb 25</v>
      </c>
      <c r="Z57" s="51"/>
      <c r="AA57" s="183" t="str">
        <f>IFERROR(IF((INDEX(Program_01!$AD:$AD,MATCH($B57,Program_01!$A:$A,0))=""),INDEX(Program_01!$V:$V,MATCH($B57,Program_01!$A:$A,0)),INDEX(Program_01!$AD:$AD,MATCH($B57,Program_01!$A:$A,0))),"")</f>
        <v>CBE01006-GENCORR-000033 dated 11 Aug 24
1TB01006-006C20-CBE-LTR-0003
(CBE01006-GENCORR-000047) dated 11 Jan 25
CBE01006-GENCORR-000049 date 05 Mar 25
1TB01006-006C20-CBE-LTR-0009
CBE01006-GENCORR-000051</v>
      </c>
      <c r="AB57" s="147">
        <f>IFERROR(IF((INDEX(Program_01!$AE:$AE,MATCH($B57,Program_01!$A:$A,0))=""),INDEX(Program_01!$W:$W,MATCH($B57,Program_01!$A:$A,0)),INDEX(Program_01!$AE:$AE,MATCH($B57,Program_01!$A:$A,0))),"")</f>
        <v>45844</v>
      </c>
      <c r="AC57" s="183" t="str">
        <f>IFERROR(IF($I57="EOT",INDEX(Program_01!$AN:$AN,MATCH($B57,Program_01!$A:$A,0)),INDEX(Program_01!$AY:$AY,MATCH($B57,Program_01!$A:$A,0))),"")</f>
        <v>1TB01006-006C20-AMA-LTR-0055</v>
      </c>
      <c r="AD57" s="181">
        <f>IFERROR(IF($I57="EOT",INDEX(Program_01!$AO:$AO,MATCH($B57,Program_01!$A:$A,0)),INDEX(Program_01!$AZ:$AZ,MATCH($B57,Program_01!$A:$A,0))),"")</f>
        <v>45914</v>
      </c>
      <c r="AE57" s="51"/>
      <c r="AF57" s="183"/>
      <c r="AG57" s="181"/>
      <c r="AH57" s="183">
        <f>IF(OR($D57="",$AS57="VO Issued",$AS57="Open"),"",IF(OR($AC57="Rejected",$AC57="Superseded",$AC57="Dealt Separately"),$AC57,IF($I57="EOT",INDEX(Program_01!$AR:$AR,MATCH($B57,Program_01!$A:$A,0)),INDEX(Program_01!$BB:$BB,MATCH($B57,Program_01!$A:$A,0)))))</f>
        <v>0</v>
      </c>
      <c r="AI57" s="181">
        <f>IF(OR($A57="",$B57="",$I57="",$AS57="VO Issued",$AS57="Open"),"",IF(OR($AD57="N/A"),$AD57,IF($I57="EOT",INDEX(Program_01!$AS:$AS,MATCH($B57,Program_01!$A:$A,0)),INDEX(Program_01!$BC:$BC,MATCH($B57,Program_01!$A:$A,0)))))</f>
        <v>0</v>
      </c>
      <c r="AJ57" s="183">
        <f>IF(OR($D57="",$I57="",$AS57="Determination Issued",$AS57="Rejected",$AS57="Open"),"",IF(OR($AH57="Rejected",$AH57="Dealt Separately",$AH57="Superseded",$AH57="Withdrawn"),"N/A",IF($I57="EOT",INDEX(Program_01!AR:AR,MATCH($B57,Program_01!A:A,0)),INDEX(Program_01!BB:BB,MATCH($B57,Program_01!A:A,0)))))</f>
        <v>0</v>
      </c>
      <c r="AK57" s="181">
        <f>IF(OR($A57="",$B57="",$I57="",$AS57="Determination Issued",$AS57="Rejected",$AS57="Open"),"",IF($AJ57="N/A","N/A",IF($I57="EOT",INDEX(Program_01!AS:AS,MATCH($B57,Program_01!A:A,0)),INDEX(Program_01!BC:BC,MATCH($B57,Program_01!A:A,0)))))</f>
        <v>0</v>
      </c>
      <c r="AL57" s="51"/>
      <c r="AM57" s="184">
        <f>IFERROR(INDEX(Program_01!$BT:$BT,MATCH($B57,Program_01!$A:$A,0)),"")</f>
        <v>0</v>
      </c>
      <c r="AN57" s="184">
        <f>IFERROR(INDEX(Program_01!$BU:$BU,MATCH($B57,Program_01!$A:$A,0)),"")</f>
        <v>0</v>
      </c>
      <c r="AO57" s="184">
        <f>IFERROR(INDEX(Program_01!$BV:$BV,MATCH($B57,Program_01!$A:$A,0)),"")</f>
        <v>0</v>
      </c>
      <c r="AP57" s="51" t="str">
        <f t="shared" si="12"/>
        <v/>
      </c>
      <c r="AQ57" s="184">
        <f>IFERROR(INDEX(Program_01!$BN:$BN,MATCH($B57,Program_01!$A:$A,0)),"")</f>
        <v>0</v>
      </c>
      <c r="AR57" s="184" t="str">
        <f>IFERROR(INDEX(Program_01!$BO:$BO,MATCH($B57,Program_01!$A:$A,0)),"")</f>
        <v>Assessment Report Issued</v>
      </c>
      <c r="AS57" s="184" t="str">
        <f>IFERROR(INDEX(Program_01!$BP:$BP,MATCH($B57,Program_01!$A:$A,0)),"")</f>
        <v>EI Issued</v>
      </c>
      <c r="AT57" s="185" t="str">
        <f>IFERROR(INDEX(Program_01!$BQ:$BQ,MATCH($B57,Program_01!$A:$A,0)),"")</f>
        <v>Closed</v>
      </c>
      <c r="AU57" s="179" t="str">
        <f>IFERROR(INDEX(Program_01!$BR:$BR,MATCH($B57,Program_01!$A:$A,0)),"")</f>
        <v>20 Oct 25: Comm to write back to contractor addressing their comments &amp; issue a determination and ask them to submit revised claim as EOT 2, 
23 Oct 25: the abovementioned letter has been issued to contractor, Commercial to proceed with Determination
03 Nov 25: comm targeted to issue the determination by next week
17 Nov 25: letter requesting the contractor formally accept the EOT report to be put in WF, following to that Commercial to issue determination by 27 Nov 25
29 Nov 25 - letter issued requesting the Contractor to formally accept EOT Ass Report (ref.  1TB01006-006C20-AMA-LTR-0059). Contractor responded however the response does not focus on the EAR but just updated submissin. A meeting was held on 25  Nov 25 to discuss the way forward. Contractor will respond to the EAR and will submit an EOT 02 (FINAL) covering all delay events from EOT 01 cut-off date of 27 June 2025. 
02 Dec 25: contractor issued a letter disagreeing with the employer's response and further rejected EAR for EOT-01 due to a revision they issued before our EAR, Commercial seeks advice from claims team on whether to revise EAR for EOT-01.
06 Dec 25: Claim team suggested issuing a determination for EOT one and to address DE17 (additional event) in EOT 2 and further requested confirmation with planning
07 Dec 25: Planning confirmed on proceeding with the same
08 Dec 25: response letter clarifying the suggesion along with teh determination put in Workflow (WF-38973)
15 Dec 25: Determination letter  in the Workflow (WF-38973). We will issue an EI following the letter. // determination issued via 1TB01006-006C20-AMA-LTR-0061
21 Dec 25: EI Issued to contractor via AMA01006-EMPI-000040</v>
      </c>
      <c r="AV57" s="186" t="str">
        <f t="shared" si="1"/>
        <v/>
      </c>
      <c r="AW57" s="186" t="str">
        <f t="shared" si="13"/>
        <v>CLOSED</v>
      </c>
      <c r="AX57" s="186" t="str">
        <f t="shared" si="2"/>
        <v>CLOSED</v>
      </c>
      <c r="AY57" s="181">
        <f t="shared" si="14"/>
        <v>45844</v>
      </c>
      <c r="AZ57" s="181">
        <f t="shared" si="27"/>
        <v>45914</v>
      </c>
      <c r="BA57" s="181">
        <f t="shared" si="4"/>
        <v>0</v>
      </c>
      <c r="BC57" s="181">
        <f>IFERROR(INDEX(Program_01!BF:BF,MATCH($B57,Program_01!$A:$A,0)),"")</f>
        <v>45844</v>
      </c>
      <c r="BD57" s="188" t="str">
        <f ca="1">IFERROR(INDEX(Program_01!BG:BG,MATCH($B57,Program_01!$A:$A,0)),"")</f>
        <v>N/A</v>
      </c>
      <c r="BE57" s="181">
        <f>IFERROR(INDEX(Program_01!BH:BH,MATCH($B57,Program_01!$A:$A,0)),"")</f>
        <v>0</v>
      </c>
      <c r="BF57" s="189">
        <f ca="1">IFERROR(INDEX(Program_01!BI:BI,MATCH($B57,Program_01!$A:$A,0)),"")</f>
        <v>0</v>
      </c>
      <c r="BG57" s="181">
        <f>IFERROR(INDEX(Program_01!BJ:BJ,MATCH($B57,Program_01!$A:$A,0)),"")</f>
        <v>0</v>
      </c>
      <c r="BH57" s="189">
        <f ca="1">IFERROR(INDEX(Program_01!BK:BK,MATCH($B57,Program_01!$A:$A,0)),"")</f>
        <v>0</v>
      </c>
      <c r="BI57" s="181">
        <f>IFERROR(INDEX(Program_01!BL:BL,MATCH($B57,Program_01!$A:$A,0)),"")</f>
        <v>0</v>
      </c>
      <c r="BK57" s="190">
        <f>IFERROR(IF(INDEX(Program_01!$BX:$BX,MATCH($B57,Program_01!$A:$A,0))=DATE(1900,1,0),"",INDEX(Program_01!$BX:$BX,MATCH($B57,Program_01!$A:$A,0))),"")</f>
        <v>45914</v>
      </c>
      <c r="BL57" s="190" t="str">
        <f>IFERROR(IF(INDEX(Program_01!$BY:$BY,MATCH($B57,Program_01!$A:$A,0))=DATE(1900,1,0),"",INDEX(Program_01!$BY:$BY,MATCH($B57,Program_01!$A:$A,0))),"")</f>
        <v/>
      </c>
      <c r="BM57" s="188">
        <f t="shared" ca="1" si="15"/>
        <v>70</v>
      </c>
      <c r="BN57" s="191">
        <f t="shared" ca="1" si="16"/>
        <v>70</v>
      </c>
      <c r="BO57" s="188">
        <f t="shared" ca="1" si="5"/>
        <v>70</v>
      </c>
      <c r="BP57" s="188" t="str">
        <f t="shared" si="6"/>
        <v>1</v>
      </c>
      <c r="BQ57" s="188" t="str">
        <f t="shared" ca="1" si="17"/>
        <v/>
      </c>
      <c r="BR57" s="181" t="str">
        <f t="shared" ca="1" si="28"/>
        <v/>
      </c>
      <c r="BT57" s="190" t="str">
        <f>IFERROR(IF(INDEX(Program_01!$BZ:$BZ,MATCH($B57,Program_01!$A:$A,0))=DATE(1900,1,0),"",INDEX(Program_01!$BZ:$BZ,MATCH($B57,Program_01!$A:$A,0))),"")</f>
        <v/>
      </c>
      <c r="BU57" s="182" t="str">
        <f t="shared" ca="1" si="22"/>
        <v/>
      </c>
      <c r="BV57" s="188" t="str">
        <f t="shared" si="7"/>
        <v/>
      </c>
      <c r="BW57" s="188" t="str">
        <f t="shared" si="8"/>
        <v>1</v>
      </c>
      <c r="BX57" s="188" t="str">
        <f t="shared" ca="1" si="9"/>
        <v/>
      </c>
      <c r="BY57" s="181" t="str">
        <f t="shared" ca="1" si="29"/>
        <v/>
      </c>
      <c r="CA57" s="192" t="str">
        <f t="shared" si="20"/>
        <v>Y</v>
      </c>
      <c r="CB57" s="192" t="str">
        <f t="shared" si="21"/>
        <v>N</v>
      </c>
      <c r="CC57" s="193">
        <f>IFERROR(INDEX(Program_01!$CE:$CE,MATCH($B57,Program_01!$A:$A,0)),"")</f>
        <v>45530</v>
      </c>
      <c r="CD57" s="193">
        <f t="shared" si="26"/>
        <v>45530</v>
      </c>
      <c r="CG57" s="194">
        <f>IFERROR(INDEX(Program_01!$AT:$AT,MATCH($B57,Program_01!$A:$A,0)),"")</f>
        <v>0</v>
      </c>
      <c r="CH57" s="194">
        <f>IFERROR(INDEX(Program_01!$AX:$AX,MATCH($B57,Program_01!$A:$A,0)),"")</f>
        <v>0</v>
      </c>
    </row>
    <row r="58" spans="1:86" s="187" customFormat="1" ht="409.5" customHeight="1">
      <c r="A58" s="174" t="s">
        <v>1</v>
      </c>
      <c r="B58" s="199">
        <v>40</v>
      </c>
      <c r="C58" s="176" t="str">
        <f>IFERROR(INDEX(Program_01!$B:$B,MATCH($B58,Program_01!$A:$A,0)),"")</f>
        <v>FULL TIA EAR</v>
      </c>
      <c r="D58" s="176" t="str">
        <f>IFERROR(INDEX(Program_01!$D:$D,MATCH($B58,Program_01!$A:$A,0)),"")</f>
        <v>1TB01002C04</v>
      </c>
      <c r="E58" s="176" t="str">
        <f>IFERROR(INDEX(Program_01!$E:$E,MATCH($B58,Program_01!$A:$A,0)),"")</f>
        <v>1.TB.01.002.99</v>
      </c>
      <c r="F58" s="176" t="str">
        <f>IFERROR(INDEX(Program_01!$F:$F,MATCH($B58,Program_01!$A:$A,0)),"")</f>
        <v>Marina Lifestyle Hotel &amp; Village</v>
      </c>
      <c r="G58" s="176" t="str">
        <f>IFERROR(INDEX(Program_01!$G:$G,MATCH($B58,Program_01!$A:$A,0)),"")</f>
        <v>MEP &amp; ICT / ELV Works for Marina Lifestyle Hotel</v>
      </c>
      <c r="H58" s="176" t="str">
        <f>IFERROR(INDEX(Program_01!$H:$H,MATCH($B58,Program_01!$A:$A,0)),"")</f>
        <v>Shapoorji Pallonji Mideast LLC</v>
      </c>
      <c r="I58" s="176" t="str">
        <f t="shared" si="11"/>
        <v>EOT</v>
      </c>
      <c r="J58" s="176">
        <f>IFERROR(INDEX(Program_01!$I:$I,MATCH($B58,Program_01!$A:$A,0)),"")</f>
        <v>1</v>
      </c>
      <c r="K58" s="176">
        <f>IFERROR(INDEX(Program_01!$J:$J,MATCH($B58,Program_01!$A:$A,0)),"")</f>
        <v>0</v>
      </c>
      <c r="L58" s="176">
        <f>IFERROR(INDEX(Program_01!$K:$K,MATCH($B58,Program_01!$A:$A,0)),"")</f>
        <v>0</v>
      </c>
      <c r="M58" s="176">
        <f>IFERROR(INDEX(Program_01!$L:$L,MATCH($B58,Program_01!$A:$A,0)),"")</f>
        <v>0</v>
      </c>
      <c r="N58" s="176">
        <f>IFERROR(INDEX(Program_01!$L:$L,MATCH($B58,Program_01!$A:$A,0)),"")</f>
        <v>0</v>
      </c>
      <c r="O58" s="176">
        <f>IFERROR(INDEX(Program_01!$N:$N,MATCH($B58,Program_01!$A:$A,0)),"")</f>
        <v>0</v>
      </c>
      <c r="P58" s="178"/>
      <c r="Q58" s="179" t="str">
        <f>IFERROR(INDEX(Program_01!$C:$C,MATCH($B58,Program_01!$A:$A,0)),"")</f>
        <v>Extension of Time Claim No 1</v>
      </c>
      <c r="R58" s="176" t="str">
        <f>IFERROR(INDEX(Program_01!$V:$V,MATCH($B58,Program_01!$A:$A,0)),"")</f>
        <v>1TB01002-002C04-SPM-LTR-0139</v>
      </c>
      <c r="S58" s="180">
        <f>IFERROR(INDEX(Program_01!$W:$W,MATCH($B58,Program_01!$A:$A,0)),"")</f>
        <v>45586</v>
      </c>
      <c r="T58" s="178"/>
      <c r="U58" s="176" t="str">
        <f>IFERROR(INDEX(Program_01!$Z:$Z,MATCH($B58,Program_01!$A:$A,0)),"")</f>
        <v>1TB01002-002C04-AMA-LTR-0140</v>
      </c>
      <c r="V58" s="181">
        <f>IFERROR(INDEX(Program_01!$AA:$AA,MATCH($B58,Program_01!$A:$A,0)),"")</f>
        <v>45657</v>
      </c>
      <c r="W58" s="182">
        <f t="shared" ca="1" si="0"/>
        <v>71</v>
      </c>
      <c r="X58" s="51"/>
      <c r="Y58" s="179" t="str">
        <f>IFERROR(INDEX(Program_01!$BD:$BD,MATCH($B58,Program_01!$A:$A,0)),"")</f>
        <v xml:space="preserve">The Contractor to submit the Extension of Time through a letter. 
A feedback on methodology given to Contract in a  workshop lead by HO planning department on 30 Sep 2024.  
Response will be  drafted based on the workshop comments. 
</v>
      </c>
      <c r="Z58" s="51"/>
      <c r="AA58" s="183" t="str">
        <f>IFERROR(IF((INDEX(Program_01!$AD:$AD,MATCH($B58,Program_01!$A:$A,0))=""),INDEX(Program_01!$V:$V,MATCH($B58,Program_01!$A:$A,0)),INDEX(Program_01!$AD:$AD,MATCH($B58,Program_01!$A:$A,0))),"")</f>
        <v>1TB01002-002C04-SPM-LTR-0166 on 30 Jan 25
1TB01002-002C04-SPM-LTR-0187 on 28 May 25
1TB01002-002C04-SPM-LTR-0198 03 Aug 25
SPM01002-GENCORR-000438 on 08 Sep 25
SPM01002-GENCORR-000478 on 16 Oct 25
Additional particulars submitted via internal Email on 13 Nov 25
SPM01002-GENCORR-00050 on 13 Dec 25
Email dated 23 February 2026 with additional particulars related to DE-03 
Email dated 02 April 2026, with additional particulars related to DE-05, DE-06 and DE-7 requested by the Employer, linking the Claim chronology to impacted activities in Contractor’s TIA (Appendix DE-05, Appendix DE-06, Appendix DE-07)</v>
      </c>
      <c r="AB58" s="147">
        <f>IFERROR(IF((INDEX(Program_01!$AE:$AE,MATCH($B58,Program_01!$A:$A,0))=""),INDEX(Program_01!$W:$W,MATCH($B58,Program_01!$A:$A,0)),INDEX(Program_01!$AE:$AE,MATCH($B58,Program_01!$A:$A,0))),"")</f>
        <v>46114</v>
      </c>
      <c r="AC58" s="183" t="str">
        <f>IFERROR(IF($I58="EOT",INDEX(Program_01!$AN:$AN,MATCH($B58,Program_01!$A:$A,0)),INDEX(Program_01!$AY:$AY,MATCH($B58,Program_01!$A:$A,0))),"")</f>
        <v>Currently in WF-040529 initiated on 02 Jun 26
1TB01002-002C04-AMA-RPT-PM-0002
30 Jun 26: EAR issued to contractor via 1TB01002-002C04-AMA-LTR-0270</v>
      </c>
      <c r="AD58" s="181">
        <f>IFERROR(IF($I58="EOT",INDEX(Program_01!$AO:$AO,MATCH($B58,Program_01!$A:$A,0)),INDEX(Program_01!$AZ:$AZ,MATCH($B58,Program_01!$A:$A,0))),"")</f>
        <v>46182</v>
      </c>
      <c r="AE58" s="51"/>
      <c r="AF58" s="183"/>
      <c r="AG58" s="181"/>
      <c r="AH58" s="183" t="str">
        <f>IF(OR($D58="",$AS58="VO Issued",$AS58="Open"),"",IF(OR($AC58="Rejected",$AC58="Superseded",$AC58="Dealt Separately"),$AC58,IF($I58="EOT",INDEX(Program_01!$AR:$AR,MATCH($B58,Program_01!$A:$A,0)),INDEX(Program_01!$BB:$BB,MATCH($B58,Program_01!$A:$A,0)))))</f>
        <v/>
      </c>
      <c r="AI58" s="181" t="str">
        <f>IF(OR($A58="",$B58="",$I58="",$AS58="VO Issued",$AS58="Open"),"",IF(OR($AD58="N/A"),$AD58,IF($I58="EOT",INDEX(Program_01!$AS:$AS,MATCH($B58,Program_01!$A:$A,0)),INDEX(Program_01!$BC:$BC,MATCH($B58,Program_01!$A:$A,0)))))</f>
        <v/>
      </c>
      <c r="AJ58" s="183" t="str">
        <f>IF(OR($D58="",$I58="",$AS58="Determination Issued",$AS58="Rejected",$AS58="Open"),"",IF(OR($AH58="Rejected",$AH58="Dealt Separately",$AH58="Superseded",$AH58="Withdrawn"),"N/A",IF($I58="EOT",INDEX(Program_01!AR:AR,MATCH($B58,Program_01!A:A,0)),INDEX(Program_01!BB:BB,MATCH($B58,Program_01!A:A,0)))))</f>
        <v/>
      </c>
      <c r="AK58" s="181" t="str">
        <f>IF(OR($A58="",$B58="",$I58="",$AS58="Determination Issued",$AS58="Rejected",$AS58="Open"),"",IF($AJ58="N/A","N/A",IF($I58="EOT",INDEX(Program_01!AS:AS,MATCH($B58,Program_01!A:A,0)),INDEX(Program_01!BC:BC,MATCH($B58,Program_01!A:A,0)))))</f>
        <v/>
      </c>
      <c r="AL58" s="51"/>
      <c r="AM58" s="184">
        <f>IFERROR(INDEX(Program_01!$BT:$BT,MATCH($B58,Program_01!$A:$A,0)),"")</f>
        <v>0</v>
      </c>
      <c r="AN58" s="184">
        <f>IFERROR(INDEX(Program_01!$BU:$BU,MATCH($B58,Program_01!$A:$A,0)),"")</f>
        <v>0</v>
      </c>
      <c r="AO58" s="184">
        <f>IFERROR(INDEX(Program_01!$BV:$BV,MATCH($B58,Program_01!$A:$A,0)),"")</f>
        <v>0</v>
      </c>
      <c r="AP58" s="51" t="str">
        <f t="shared" si="12"/>
        <v/>
      </c>
      <c r="AQ58" s="184">
        <f>IFERROR(INDEX(Program_01!$BN:$BN,MATCH($B58,Program_01!$A:$A,0)),"")</f>
        <v>0</v>
      </c>
      <c r="AR58" s="184" t="str">
        <f>IFERROR(INDEX(Program_01!$BO:$BO,MATCH($B58,Program_01!$A:$A,0)),"")</f>
        <v>Assessment Report Issued</v>
      </c>
      <c r="AS58" s="184" t="str">
        <f>IFERROR(INDEX(Program_01!$BP:$BP,MATCH($B58,Program_01!$A:$A,0)),"")</f>
        <v>Open</v>
      </c>
      <c r="AT58" s="185" t="str">
        <f>IFERROR(INDEX(Program_01!$BQ:$BQ,MATCH($B58,Program_01!$A:$A,0)),"")</f>
        <v>Commercial Team</v>
      </c>
      <c r="AU58" s="179" t="str">
        <f>IFERROR(INDEX(Program_01!$BR:$BR,MATCH($B58,Program_01!$A:$A,0)),"")</f>
        <v>11 May 26: Ditto
18 May 26: Under review by  the Planning  team (Shaju to update)
20 May 26: TIA incorporated and sent to commercial for finalisation // Final Draft sent to claims team for pre-approval prior to WF
01 Jun 26: EAR approved by claims team and sent to commercial for WF initiation
02 Jun 26: Currently in WF-040529
15 Jun 26: Ditto, in WF
25 Jun 26: cover letter 1TB01002-002C04-AMA-LTR-0270 in WF-041145 
28 June 26: Ditto
30 Jun 26: EAR issued to contractor via 1TB01002-002C04-AMA-LTR-0270
09 Jul 26: Contractor responded to employer's report 1TB01002-002C04-SPM-LTR-0266 dated 9 July 2026 wherein the Contractor agreed the EAR in principle but disagree with the several window analysis, critical path impactsm fragnet durations, etc., 
12 Jul 26: Contractor's response forwaded to forensic planning team for review 
13 July 26 : Ditto, Planning team targeted to revert by 30 Jul 2026
20 Jul 26: Ditto
27 July 26: Ditto
03 Aug 26: Targeted to revert by 06 Aug 26
10 Aug 26: Planning reverted with thier input to respond to contractor's response
23 Aug 26: Employer's response to the Contractor's queries under WF (WF-042999). In principle, the Employer's position remains same. 
06 Sep 26: Employer's response to SPM queries issued on 31 Aug 26 via 1TB01002-002C04-AMA-LTR-0285. EI to grant the EOT#1 is under prepareation. WF to be initiated on or before 8 Sep 26. 
21 Sep 26: No further concerns received from SPM related to EOT -1. EI is currently under workflow (WF-044121).
04 Oct 26 : EI approved and to be issued to be issued to the Contractor on 5 October 2026</v>
      </c>
      <c r="AV58" s="186" t="str">
        <f t="shared" si="1"/>
        <v/>
      </c>
      <c r="AW58" s="186" t="str">
        <f t="shared" si="13"/>
        <v>OPEN</v>
      </c>
      <c r="AX58" s="186" t="str">
        <f t="shared" si="2"/>
        <v>OPEN</v>
      </c>
      <c r="AY58" s="181">
        <f t="shared" si="14"/>
        <v>46114</v>
      </c>
      <c r="AZ58" s="181">
        <f t="shared" si="27"/>
        <v>46182</v>
      </c>
      <c r="BA58" s="181" t="str">
        <f t="shared" si="4"/>
        <v/>
      </c>
      <c r="BC58" s="181">
        <f>IFERROR(INDEX(Program_01!BF:BF,MATCH($B58,Program_01!$A:$A,0)),"")</f>
        <v>46114</v>
      </c>
      <c r="BD58" s="188">
        <f ca="1">IFERROR(INDEX(Program_01!BG:BG,MATCH($B58,Program_01!$A:$A,0)),"")</f>
        <v>6</v>
      </c>
      <c r="BE58" s="181">
        <f>IFERROR(INDEX(Program_01!BH:BH,MATCH($B58,Program_01!$A:$A,0)),"")</f>
        <v>46120</v>
      </c>
      <c r="BF58" s="189">
        <f ca="1">IFERROR(INDEX(Program_01!BI:BI,MATCH($B58,Program_01!$A:$A,0)),"")</f>
        <v>42</v>
      </c>
      <c r="BG58" s="181">
        <f>IFERROR(INDEX(Program_01!BJ:BJ,MATCH($B58,Program_01!$A:$A,0)),"")</f>
        <v>46162</v>
      </c>
      <c r="BH58" s="189">
        <f ca="1">IFERROR(INDEX(Program_01!BK:BK,MATCH($B58,Program_01!$A:$A,0)),"")</f>
        <v>13</v>
      </c>
      <c r="BI58" s="181">
        <f>IFERROR(INDEX(Program_01!BL:BL,MATCH($B58,Program_01!$A:$A,0)),"")</f>
        <v>46175</v>
      </c>
      <c r="BK58" s="190">
        <f>IFERROR(IF(INDEX(Program_01!$BX:$BX,MATCH($B58,Program_01!$A:$A,0))=DATE(1900,1,0),"",INDEX(Program_01!$BX:$BX,MATCH($B58,Program_01!$A:$A,0))),"")</f>
        <v>46174</v>
      </c>
      <c r="BL58" s="190" t="str">
        <f>IFERROR(IF(INDEX(Program_01!$BY:$BY,MATCH($B58,Program_01!$A:$A,0))=DATE(1900,1,0),"",INDEX(Program_01!$BY:$BY,MATCH($B58,Program_01!$A:$A,0))),"")</f>
        <v/>
      </c>
      <c r="BM58" s="188">
        <f t="shared" ca="1" si="15"/>
        <v>68</v>
      </c>
      <c r="BN58" s="191">
        <f t="shared" ca="1" si="16"/>
        <v>68</v>
      </c>
      <c r="BO58" s="188">
        <f t="shared" ca="1" si="5"/>
        <v>68</v>
      </c>
      <c r="BP58" s="188" t="str">
        <f t="shared" si="6"/>
        <v>1</v>
      </c>
      <c r="BQ58" s="188" t="str">
        <f t="shared" ca="1" si="17"/>
        <v/>
      </c>
      <c r="BR58" s="181" t="str">
        <f t="shared" ca="1" si="28"/>
        <v/>
      </c>
      <c r="BT58" s="190" t="str">
        <f>IFERROR(IF(INDEX(Program_01!$BZ:$BZ,MATCH($B58,Program_01!$A:$A,0))=DATE(1900,1,0),"",INDEX(Program_01!$BZ:$BZ,MATCH($B58,Program_01!$A:$A,0))),"")</f>
        <v/>
      </c>
      <c r="BU58" s="182" t="str">
        <f t="shared" ca="1" si="22"/>
        <v/>
      </c>
      <c r="BV58" s="188" t="str">
        <f t="shared" si="7"/>
        <v/>
      </c>
      <c r="BW58" s="188" t="str">
        <f t="shared" si="8"/>
        <v/>
      </c>
      <c r="BX58" s="188" t="str">
        <f t="shared" ca="1" si="9"/>
        <v/>
      </c>
      <c r="BY58" s="181" t="str">
        <f t="shared" ca="1" si="29"/>
        <v/>
      </c>
      <c r="CA58" s="192" t="str">
        <f t="shared" si="20"/>
        <v>Y</v>
      </c>
      <c r="CB58" s="192" t="str">
        <f t="shared" si="21"/>
        <v>N</v>
      </c>
      <c r="CC58" s="193">
        <f>IFERROR(INDEX(Program_01!$CE:$CE,MATCH($B58,Program_01!$A:$A,0)),"")</f>
        <v>45599</v>
      </c>
      <c r="CD58" s="193">
        <f t="shared" si="26"/>
        <v>45599</v>
      </c>
      <c r="CG58" s="194">
        <f>IFERROR(INDEX(Program_01!$AT:$AT,MATCH($B58,Program_01!$A:$A,0)),"")</f>
        <v>0</v>
      </c>
      <c r="CH58" s="194">
        <f>IFERROR(INDEX(Program_01!$AX:$AX,MATCH($B58,Program_01!$A:$A,0)),"")</f>
        <v>0</v>
      </c>
    </row>
    <row r="59" spans="1:86" s="187" customFormat="1" ht="409.5" customHeight="1">
      <c r="A59" s="174" t="s">
        <v>1</v>
      </c>
      <c r="B59" s="199">
        <v>41</v>
      </c>
      <c r="C59" s="176" t="str">
        <f>IFERROR(INDEX(Program_01!$B:$B,MATCH($B59,Program_01!$A:$A,0)),"")</f>
        <v>FULL TIA EAR</v>
      </c>
      <c r="D59" s="176" t="str">
        <f>IFERROR(INDEX(Program_01!$D:$D,MATCH($B59,Program_01!$A:$A,0)),"")</f>
        <v>1TB01006C15</v>
      </c>
      <c r="E59" s="176" t="str">
        <f>IFERROR(INDEX(Program_01!$E:$E,MATCH($B59,Program_01!$A:$A,0)),"")</f>
        <v>1.TB.01.006.99</v>
      </c>
      <c r="F59" s="176" t="str">
        <f>IFERROR(INDEX(Program_01!$F:$F,MATCH($B59,Program_01!$A:$A,0)),"")</f>
        <v>Village Boutique Hotel</v>
      </c>
      <c r="G59" s="176" t="str">
        <f>IFERROR(INDEX(Program_01!$G:$G,MATCH($B59,Program_01!$A:$A,0)),"")</f>
        <v>MEP &amp; ICT / ELV Works for Village Boutique Hotel</v>
      </c>
      <c r="H59" s="176" t="str">
        <f>IFERROR(INDEX(Program_01!$H:$H,MATCH($B59,Program_01!$A:$A,0)),"")</f>
        <v>Shapoorji Pallonji Mideast LLC</v>
      </c>
      <c r="I59" s="176" t="str">
        <f t="shared" si="11"/>
        <v>EOT</v>
      </c>
      <c r="J59" s="176">
        <f>IFERROR(INDEX(Program_01!$I:$I,MATCH($B59,Program_01!$A:$A,0)),"")</f>
        <v>1</v>
      </c>
      <c r="K59" s="176">
        <f>IFERROR(INDEX(Program_01!$J:$J,MATCH($B59,Program_01!$A:$A,0)),"")</f>
        <v>0</v>
      </c>
      <c r="L59" s="176">
        <f>IFERROR(INDEX(Program_01!$K:$K,MATCH($B59,Program_01!$A:$A,0)),"")</f>
        <v>0</v>
      </c>
      <c r="M59" s="176">
        <f>IFERROR(INDEX(Program_01!$L:$L,MATCH($B59,Program_01!$A:$A,0)),"")</f>
        <v>0</v>
      </c>
      <c r="N59" s="176">
        <f>IFERROR(INDEX(Program_01!$L:$L,MATCH($B59,Program_01!$A:$A,0)),"")</f>
        <v>0</v>
      </c>
      <c r="O59" s="176">
        <f>IFERROR(INDEX(Program_01!$N:$N,MATCH($B59,Program_01!$A:$A,0)),"")</f>
        <v>0</v>
      </c>
      <c r="P59" s="178"/>
      <c r="Q59" s="179" t="str">
        <f>IFERROR(INDEX(Program_01!$C:$C,MATCH($B59,Program_01!$A:$A,0)),"")</f>
        <v>Interim Extension of Time Claim No. 1 up to a cut-off date of 31 July 2024</v>
      </c>
      <c r="R59" s="176" t="str">
        <f>IFERROR(INDEX(Program_01!$V:$V,MATCH($B59,Program_01!$A:$A,0)),"")</f>
        <v>1TB01006-006C15-SPM-LTR-0159</v>
      </c>
      <c r="S59" s="180">
        <f>IFERROR(INDEX(Program_01!$W:$W,MATCH($B59,Program_01!$A:$A,0)),"")</f>
        <v>45598</v>
      </c>
      <c r="T59" s="178"/>
      <c r="U59" s="176" t="str">
        <f>IFERROR(INDEX(Program_01!$Z:$Z,MATCH($B59,Program_01!$A:$A,0)),"")</f>
        <v>1Tb01006-006C15-AMA-LTR-0140</v>
      </c>
      <c r="V59" s="181">
        <f>IFERROR(INDEX(Program_01!$AA:$AA,MATCH($B59,Program_01!$A:$A,0)),"")</f>
        <v>45680</v>
      </c>
      <c r="W59" s="182">
        <f t="shared" ca="1" si="0"/>
        <v>82</v>
      </c>
      <c r="X59" s="51"/>
      <c r="Y59" s="179">
        <f>IFERROR(INDEX(Program_01!$BD:$BD,MATCH($B59,Program_01!$A:$A,0)),"")</f>
        <v>0</v>
      </c>
      <c r="Z59" s="51"/>
      <c r="AA59" s="183" t="str">
        <f>IFERROR(IF((INDEX(Program_01!$AD:$AD,MATCH($B59,Program_01!$A:$A,0))=""),INDEX(Program_01!$V:$V,MATCH($B59,Program_01!$A:$A,0)),INDEX(Program_01!$AD:$AD,MATCH($B59,Program_01!$A:$A,0))),"")</f>
        <v>1TB01006-006C15-SPM-LTR-0196 on 26 Mar 25
1TB01006-006C15-SPM-LTR-0226
 on 03 Aug 25
1TB01006-006C15-SPM-LTR-0237 on 14 Sep 25
1TB01006-006C15-SPM-LTR-0245
Email dated 21 December 2025 (particulars related to DE-09, Appendix “DE-09”)
Email dated 01 January 2026 (particulars related to DE-13 &amp; DE-14, Appendix “DE-13”/Appendix “DE-14”)
Email dated 07January 2026 (particulars related to DE-06, Appendix “DE-06”)
Email dated 08 January 2026 (particulars related to DE-05, Appendix “DE-05”)
Email dated 18 January 2026 (particulars related to DE-04, Appendix “DE-04”)</v>
      </c>
      <c r="AB59" s="147">
        <f>IFERROR(IF((INDEX(Program_01!$AE:$AE,MATCH($B59,Program_01!$A:$A,0))=""),INDEX(Program_01!$W:$W,MATCH($B59,Program_01!$A:$A,0)),INDEX(Program_01!$AE:$AE,MATCH($B59,Program_01!$A:$A,0))),"")</f>
        <v>46040</v>
      </c>
      <c r="AC59" s="183" t="str">
        <f>IFERROR(IF($I59="EOT",INDEX(Program_01!$AN:$AN,MATCH($B59,Program_01!$A:$A,0)),INDEX(Program_01!$AY:$AY,MATCH($B59,Program_01!$A:$A,0))),"")</f>
        <v>Workflow initiated under ref WF-042702 on 06 Apr 26
1TB01006-006C15-AMA-RPT-PM-0002</v>
      </c>
      <c r="AD59" s="181">
        <f>IFERROR(IF($I59="EOT",INDEX(Program_01!$AO:$AO,MATCH($B59,Program_01!$A:$A,0)),INDEX(Program_01!$AZ:$AZ,MATCH($B59,Program_01!$A:$A,0))),"")</f>
        <v>46118</v>
      </c>
      <c r="AE59" s="51"/>
      <c r="AF59" s="183"/>
      <c r="AG59" s="181"/>
      <c r="AH59" s="183">
        <f>IF(OR($D59="",$AS59="VO Issued",$AS59="Open"),"",IF(OR($AC59="Rejected",$AC59="Superseded",$AC59="Dealt Separately"),$AC59,IF($I59="EOT",INDEX(Program_01!$AR:$AR,MATCH($B59,Program_01!$A:$A,0)),INDEX(Program_01!$BB:$BB,MATCH($B59,Program_01!$A:$A,0)))))</f>
        <v>0</v>
      </c>
      <c r="AI59" s="181">
        <f>IF(OR($A59="",$B59="",$I59="",$AS59="VO Issued",$AS59="Open"),"",IF(OR($AD59="N/A"),$AD59,IF($I59="EOT",INDEX(Program_01!$AS:$AS,MATCH($B59,Program_01!$A:$A,0)),INDEX(Program_01!$BC:$BC,MATCH($B59,Program_01!$A:$A,0)))))</f>
        <v>0</v>
      </c>
      <c r="AJ59" s="183">
        <f>IF(OR($D59="",$I59="",$AS59="Determination Issued",$AS59="Rejected",$AS59="Open"),"",IF(OR($AH59="Rejected",$AH59="Dealt Separately",$AH59="Superseded",$AH59="Withdrawn"),"N/A",IF($I59="EOT",INDEX(Program_01!AR:AR,MATCH($B59,Program_01!A:A,0)),INDEX(Program_01!BB:BB,MATCH($B59,Program_01!A:A,0)))))</f>
        <v>0</v>
      </c>
      <c r="AK59" s="181">
        <f>IF(OR($A59="",$B59="",$I59="",$AS59="Determination Issued",$AS59="Rejected",$AS59="Open"),"",IF($AJ59="N/A","N/A",IF($I59="EOT",INDEX(Program_01!AS:AS,MATCH($B59,Program_01!A:A,0)),INDEX(Program_01!BC:BC,MATCH($B59,Program_01!A:A,0)))))</f>
        <v>0</v>
      </c>
      <c r="AL59" s="51"/>
      <c r="AM59" s="184">
        <f>IFERROR(INDEX(Program_01!$BT:$BT,MATCH($B59,Program_01!$A:$A,0)),"")</f>
        <v>0</v>
      </c>
      <c r="AN59" s="184">
        <f>IFERROR(INDEX(Program_01!$BU:$BU,MATCH($B59,Program_01!$A:$A,0)),"")</f>
        <v>0</v>
      </c>
      <c r="AO59" s="184">
        <f>IFERROR(INDEX(Program_01!$BV:$BV,MATCH($B59,Program_01!$A:$A,0)),"")</f>
        <v>0</v>
      </c>
      <c r="AP59" s="51" t="str">
        <f t="shared" si="12"/>
        <v/>
      </c>
      <c r="AQ59" s="184">
        <f>IFERROR(INDEX(Program_01!$BN:$BN,MATCH($B59,Program_01!$A:$A,0)),"")</f>
        <v>0</v>
      </c>
      <c r="AR59" s="184" t="str">
        <f>IFERROR(INDEX(Program_01!$BO:$BO,MATCH($B59,Program_01!$A:$A,0)),"")</f>
        <v>Assessment Report Issued</v>
      </c>
      <c r="AS59" s="184" t="str">
        <f>IFERROR(INDEX(Program_01!$BP:$BP,MATCH($B59,Program_01!$A:$A,0)),"")</f>
        <v>Superseded</v>
      </c>
      <c r="AT59" s="185" t="str">
        <f>IFERROR(INDEX(Program_01!$BQ:$BQ,MATCH($B59,Program_01!$A:$A,0)),"")</f>
        <v>Closed</v>
      </c>
      <c r="AU59" s="179" t="str">
        <f>IFERROR(INDEX(Program_01!$BR:$BR,MATCH($B59,Program_01!$A:$A,0)),"")</f>
        <v>02 Mar 26: TIA targeted to be concluded by 12 Mar 2026
08 March 26: TIA still with Planning
16 Mar 26: To be issued 16 Mar 26
17 Mar 26: TIA incorporated and send to commercial 
18 Mar 26: Commercial requested clarification on TIA
29 Mar 26: Sent to Claims for final review.
05 Apr 26: EAR pre-approved and sent to commercial for WF approvals 
06 Apr 26: WF initiated via WF-042702
20 Apr 26: Ditto
02 May 2026 - WF-042702 pending with JP 
14 May 26: EAR approved. Letter for issuance of EAR under WF-043894 Ref. 1TB01006-006C15-AMA-LTR-0294
17 May 26: EAR issued 1TB01006-006C15-AMA-LTR-0294, awaiting contractor's acceptance
04 Jun 26: Ditto
06 Jun 26: Contractor responded via (1TB01006-006C15-SPM-LTR-0307) on 06 Jun 26, action with planning for their input
15 Jun 26: Ditto (shaju to update)
21 Jun 26: Planning responded that the contractor highlights its disagreement witth the validated chronology of the employer, and that the issues surrounding the chronology and cause &amp; effect of the events are to be addressed by the Commercial team. Planning also suggested to conduct a WS meeting with the contractor
29 June 26: Workshop with the Contractor is arranged on 30 June 2026
12 July 26: Workshop held on 30 Jun 26. Contarctor submitted further particulars (through email on 4 July 26), under review by Commercial. target to complete by 23 July 26 - reassessment to be added as a new item
14 Jul 26: This line item has been superseded as a reassment is being carried out based on the email from contractor received on 04 Jul 26 rejecting the EAR by providing additional particulars. reassement line item has been added below as Item 148.0</v>
      </c>
      <c r="AV59" s="186" t="str">
        <f t="shared" si="1"/>
        <v/>
      </c>
      <c r="AW59" s="186" t="str">
        <f t="shared" si="13"/>
        <v>CLOSED</v>
      </c>
      <c r="AX59" s="186" t="str">
        <f t="shared" si="2"/>
        <v>CLOSED</v>
      </c>
      <c r="AY59" s="181">
        <f t="shared" si="14"/>
        <v>46040</v>
      </c>
      <c r="AZ59" s="181">
        <f t="shared" si="27"/>
        <v>46118</v>
      </c>
      <c r="BA59" s="181">
        <f t="shared" si="4"/>
        <v>0</v>
      </c>
      <c r="BC59" s="181">
        <f>IFERROR(INDEX(Program_01!BF:BF,MATCH($B59,Program_01!$A:$A,0)),"")</f>
        <v>46040</v>
      </c>
      <c r="BD59" s="188">
        <f ca="1">IFERROR(INDEX(Program_01!BG:BG,MATCH($B59,Program_01!$A:$A,0)),"")</f>
        <v>18</v>
      </c>
      <c r="BE59" s="181">
        <f>IFERROR(INDEX(Program_01!BH:BH,MATCH($B59,Program_01!$A:$A,0)),"")</f>
        <v>46058</v>
      </c>
      <c r="BF59" s="189">
        <f ca="1">IFERROR(INDEX(Program_01!BI:BI,MATCH($B59,Program_01!$A:$A,0)),"")</f>
        <v>40</v>
      </c>
      <c r="BG59" s="181">
        <f>IFERROR(INDEX(Program_01!BJ:BJ,MATCH($B59,Program_01!$A:$A,0)),"")</f>
        <v>46098</v>
      </c>
      <c r="BH59" s="189">
        <f ca="1">IFERROR(INDEX(Program_01!BK:BK,MATCH($B59,Program_01!$A:$A,0)),"")</f>
        <v>19</v>
      </c>
      <c r="BI59" s="181">
        <f>IFERROR(INDEX(Program_01!BL:BL,MATCH($B59,Program_01!$A:$A,0)),"")</f>
        <v>46117</v>
      </c>
      <c r="BK59" s="190">
        <f>IFERROR(IF(INDEX(Program_01!$BX:$BX,MATCH($B59,Program_01!$A:$A,0))=DATE(1900,1,0),"",INDEX(Program_01!$BX:$BX,MATCH($B59,Program_01!$A:$A,0))),"")</f>
        <v>46113</v>
      </c>
      <c r="BL59" s="190" t="str">
        <f>IFERROR(IF(INDEX(Program_01!$BY:$BY,MATCH($B59,Program_01!$A:$A,0))=DATE(1900,1,0),"",INDEX(Program_01!$BY:$BY,MATCH($B59,Program_01!$A:$A,0))),"")</f>
        <v/>
      </c>
      <c r="BM59" s="188">
        <f t="shared" ca="1" si="15"/>
        <v>78</v>
      </c>
      <c r="BN59" s="191">
        <f t="shared" ca="1" si="16"/>
        <v>78</v>
      </c>
      <c r="BO59" s="188">
        <f t="shared" ca="1" si="5"/>
        <v>78</v>
      </c>
      <c r="BP59" s="188" t="str">
        <f t="shared" si="6"/>
        <v>1</v>
      </c>
      <c r="BQ59" s="188" t="str">
        <f t="shared" ca="1" si="17"/>
        <v/>
      </c>
      <c r="BR59" s="181" t="str">
        <f t="shared" ca="1" si="28"/>
        <v/>
      </c>
      <c r="BT59" s="190" t="str">
        <f>IFERROR(IF(INDEX(Program_01!$BZ:$BZ,MATCH($B59,Program_01!$A:$A,0))=DATE(1900,1,0),"",INDEX(Program_01!$BZ:$BZ,MATCH($B59,Program_01!$A:$A,0))),"")</f>
        <v/>
      </c>
      <c r="BU59" s="182" t="str">
        <f t="shared" ca="1" si="22"/>
        <v/>
      </c>
      <c r="BV59" s="188" t="str">
        <f t="shared" si="7"/>
        <v/>
      </c>
      <c r="BW59" s="188" t="str">
        <f t="shared" si="8"/>
        <v>1</v>
      </c>
      <c r="BX59" s="188" t="str">
        <f t="shared" ca="1" si="9"/>
        <v/>
      </c>
      <c r="BY59" s="181" t="str">
        <f t="shared" ca="1" si="29"/>
        <v/>
      </c>
      <c r="CA59" s="192" t="str">
        <f t="shared" si="20"/>
        <v>Y</v>
      </c>
      <c r="CB59" s="192" t="str">
        <f t="shared" si="21"/>
        <v>N</v>
      </c>
      <c r="CC59" s="193">
        <f>IFERROR(INDEX(Program_01!$CE:$CE,MATCH($B59,Program_01!$A:$A,0)),"")</f>
        <v>45600</v>
      </c>
      <c r="CD59" s="193">
        <f t="shared" si="26"/>
        <v>45600</v>
      </c>
      <c r="CG59" s="194">
        <f>IFERROR(INDEX(Program_01!$AT:$AT,MATCH($B59,Program_01!$A:$A,0)),"")</f>
        <v>0</v>
      </c>
      <c r="CH59" s="194">
        <f>IFERROR(INDEX(Program_01!$AX:$AX,MATCH($B59,Program_01!$A:$A,0)),"")</f>
        <v>0</v>
      </c>
    </row>
    <row r="60" spans="1:86" s="187" customFormat="1" ht="404">
      <c r="A60" s="174" t="s">
        <v>1</v>
      </c>
      <c r="B60" s="175">
        <v>42</v>
      </c>
      <c r="C60" s="176" t="str">
        <f>IFERROR(INDEX(Program_01!$B:$B,MATCH($B60,Program_01!$A:$A,0)),"")</f>
        <v>FULL TIA EAR</v>
      </c>
      <c r="D60" s="176" t="str">
        <f>IFERROR(INDEX(Program_01!$D:$D,MATCH($B60,Program_01!$A:$A,0)),"")</f>
        <v>1TB01006C06</v>
      </c>
      <c r="E60" s="176" t="str">
        <f>IFERROR(INDEX(Program_01!$E:$E,MATCH($B60,Program_01!$A:$A,0)),"")</f>
        <v>1.TB.01.006.99</v>
      </c>
      <c r="F60" s="176" t="str">
        <f>IFERROR(INDEX(Program_01!$F:$F,MATCH($B60,Program_01!$A:$A,0)),"")</f>
        <v>Village Boutique Hotel</v>
      </c>
      <c r="G60" s="176" t="str">
        <f>IFERROR(INDEX(Program_01!$G:$G,MATCH($B60,Program_01!$A:$A,0)),"")</f>
        <v>Kitchen and Laundry Works for Village Boutique Hotel</v>
      </c>
      <c r="H60" s="176" t="str">
        <f>IFERROR(INDEX(Program_01!$H:$H,MATCH($B60,Program_01!$A:$A,0)),"")</f>
        <v>Abdulaziz Al Raqtan and Partners Company for Trading and Industry Company</v>
      </c>
      <c r="I60" s="176" t="str">
        <f t="shared" si="11"/>
        <v>EOT</v>
      </c>
      <c r="J60" s="176">
        <f>IFERROR(INDEX(Program_01!$I:$I,MATCH($B60,Program_01!$A:$A,0)),"")</f>
        <v>1</v>
      </c>
      <c r="K60" s="176">
        <f>IFERROR(INDEX(Program_01!$J:$J,MATCH($B60,Program_01!$A:$A,0)),"")</f>
        <v>0</v>
      </c>
      <c r="L60" s="176">
        <f>IFERROR(INDEX(Program_01!$K:$K,MATCH($B60,Program_01!$A:$A,0)),"")</f>
        <v>0</v>
      </c>
      <c r="M60" s="176">
        <f>IFERROR(INDEX(Program_01!$L:$L,MATCH($B60,Program_01!$A:$A,0)),"")</f>
        <v>0</v>
      </c>
      <c r="N60" s="176">
        <f>IFERROR(INDEX(Program_01!$L:$L,MATCH($B60,Program_01!$A:$A,0)),"")</f>
        <v>0</v>
      </c>
      <c r="O60" s="176">
        <f>IFERROR(INDEX(Program_01!$N:$N,MATCH($B60,Program_01!$A:$A,0)),"")</f>
        <v>0</v>
      </c>
      <c r="P60" s="178"/>
      <c r="Q60" s="179" t="str">
        <f>IFERROR(INDEX(Program_01!$C:$C,MATCH($B60,Program_01!$A:$A,0)),"")</f>
        <v>Extension fo Time Claim No. 1</v>
      </c>
      <c r="R60" s="176" t="str">
        <f>IFERROR(INDEX(Program_01!$V:$V,MATCH($B60,Program_01!$A:$A,0)),"")</f>
        <v>RAQTAN-CLM-000001</v>
      </c>
      <c r="S60" s="180">
        <f>IFERROR(INDEX(Program_01!$W:$W,MATCH($B60,Program_01!$A:$A,0)),"")</f>
        <v>45596</v>
      </c>
      <c r="T60" s="178"/>
      <c r="U60" s="176" t="str">
        <f>IFERROR(INDEX(Program_01!$Z:$Z,MATCH($B60,Program_01!$A:$A,0)),"")</f>
        <v>1Tb01006-006C06-AMA-LTR-0018</v>
      </c>
      <c r="V60" s="181">
        <f>IFERROR(INDEX(Program_01!$AA:$AA,MATCH($B60,Program_01!$A:$A,0)),"")</f>
        <v>45613</v>
      </c>
      <c r="W60" s="182">
        <f t="shared" ca="1" si="0"/>
        <v>17</v>
      </c>
      <c r="X60" s="51"/>
      <c r="Y60" s="179" t="str">
        <f>IFERROR(INDEX(Program_01!$BD:$BD,MATCH($B60,Program_01!$A:$A,0)),"")</f>
        <v>AMA01006-GENCORR-002811 dated 09 Feb 25
AMA01006-GENCORR-002834 dated 11 Feb 25
1TB01006-006C06-AMA-LTR-0028 dated 05 May</v>
      </c>
      <c r="Z60" s="51"/>
      <c r="AA60" s="183" t="str">
        <f>IFERROR(IF((INDEX(Program_01!$AD:$AD,MATCH($B60,Program_01!$A:$A,0))=""),INDEX(Program_01!$V:$V,MATCH($B60,Program_01!$A:$A,0)),INDEX(Program_01!$AD:$AD,MATCH($B60,Program_01!$A:$A,0))),"")</f>
        <v>1TB01006-006C06-RQN-FRM-PM-0002
(Raqtan-TRANSMIT-000105) dated 31 Jan 25
DEOT - AMA01006-EMPI-000020 
1TB01006-006C06-AMA-EMI-CM-0002 on 15 Jun 25
Raqtan-CLM-000003 on 13 Oct 25
Raqtan-CLM-000004 on 15 Jan 26
Raqtan-CLM-00005 on 15 Mar 26
Raqtan-CLM-00006 on 22 Apr 26
Raqtan-GENCORR-000089 on 24 Aug 26</v>
      </c>
      <c r="AB60" s="147">
        <f>IFERROR(IF((INDEX(Program_01!$AE:$AE,MATCH($B60,Program_01!$A:$A,0))=""),INDEX(Program_01!$W:$W,MATCH($B60,Program_01!$A:$A,0)),INDEX(Program_01!$AE:$AE,MATCH($B60,Program_01!$A:$A,0))),"")</f>
        <v>46258</v>
      </c>
      <c r="AC60" s="183">
        <f>IFERROR(IF($I60="EOT",INDEX(Program_01!$AN:$AN,MATCH($B60,Program_01!$A:$A,0)),INDEX(Program_01!$AY:$AY,MATCH($B60,Program_01!$A:$A,0))),"")</f>
        <v>0</v>
      </c>
      <c r="AD60" s="181">
        <f>IFERROR(IF($I60="EOT",INDEX(Program_01!$AO:$AO,MATCH($B60,Program_01!$A:$A,0)),INDEX(Program_01!$AZ:$AZ,MATCH($B60,Program_01!$A:$A,0))),"")</f>
        <v>0</v>
      </c>
      <c r="AE60" s="51"/>
      <c r="AF60" s="183"/>
      <c r="AG60" s="181"/>
      <c r="AH60" s="183" t="str">
        <f>IF(OR($D60="",$AS60="VO Issued",$AS60="Open"),"",IF(OR($AC60="Rejected",$AC60="Superseded",$AC60="Dealt Separately"),$AC60,IF($I60="EOT",INDEX(Program_01!$AR:$AR,MATCH($B60,Program_01!$A:$A,0)),INDEX(Program_01!$BB:$BB,MATCH($B60,Program_01!$A:$A,0)))))</f>
        <v/>
      </c>
      <c r="AI60" s="181" t="str">
        <f>IF(OR($A60="",$B60="",$I60="",$AS60="VO Issued",$AS60="Open"),"",IF(OR($AD60="N/A"),$AD60,IF($I60="EOT",INDEX(Program_01!$AS:$AS,MATCH($B60,Program_01!$A:$A,0)),INDEX(Program_01!$BC:$BC,MATCH($B60,Program_01!$A:$A,0)))))</f>
        <v/>
      </c>
      <c r="AJ60" s="183" t="str">
        <f>IF(OR($D60="",$I60="",$AS60="Determination Issued",$AS60="Rejected",$AS60="Open"),"",IF(OR($AH60="Rejected",$AH60="Dealt Separately",$AH60="Superseded",$AH60="Withdrawn"),"N/A",IF($I60="EOT",INDEX(Program_01!AR:AR,MATCH($B60,Program_01!A:A,0)),INDEX(Program_01!BB:BB,MATCH($B60,Program_01!A:A,0)))))</f>
        <v/>
      </c>
      <c r="AK60" s="181" t="str">
        <f>IF(OR($A60="",$B60="",$I60="",$AS60="Determination Issued",$AS60="Rejected",$AS60="Open"),"",IF($AJ60="N/A","N/A",IF($I60="EOT",INDEX(Program_01!AS:AS,MATCH($B60,Program_01!A:A,0)),INDEX(Program_01!BC:BC,MATCH($B60,Program_01!A:A,0)))))</f>
        <v/>
      </c>
      <c r="AL60" s="51"/>
      <c r="AM60" s="184">
        <f>IFERROR(INDEX(Program_01!$BT:$BT,MATCH($B60,Program_01!$A:$A,0)),"")</f>
        <v>0</v>
      </c>
      <c r="AN60" s="184">
        <f>IFERROR(INDEX(Program_01!$BU:$BU,MATCH($B60,Program_01!$A:$A,0)),"")</f>
        <v>0</v>
      </c>
      <c r="AO60" s="184">
        <f>IFERROR(INDEX(Program_01!$BV:$BV,MATCH($B60,Program_01!$A:$A,0)),"")</f>
        <v>0</v>
      </c>
      <c r="AP60" s="51" t="str">
        <f t="shared" si="12"/>
        <v/>
      </c>
      <c r="AQ60" s="184">
        <f>IFERROR(INDEX(Program_01!$BN:$BN,MATCH($B60,Program_01!$A:$A,0)),"")</f>
        <v>0</v>
      </c>
      <c r="AR60" s="184" t="str">
        <f>IFERROR(INDEX(Program_01!$BO:$BO,MATCH($B60,Program_01!$A:$A,0)),"")</f>
        <v>Pending</v>
      </c>
      <c r="AS60" s="184" t="str">
        <f>IFERROR(INDEX(Program_01!$BP:$BP,MATCH($B60,Program_01!$A:$A,0)),"")</f>
        <v>Open</v>
      </c>
      <c r="AT60" s="185" t="str">
        <f>IFERROR(INDEX(Program_01!$BQ:$BQ,MATCH($B60,Program_01!$A:$A,0)),"")</f>
        <v>Commercial Team</v>
      </c>
      <c r="AU60" s="179" t="str">
        <f>IFERROR(INDEX(Program_01!$BR:$BR,MATCH($B60,Program_01!$A:$A,0)),"")</f>
        <v>06 Apr 26: awaiting response from contractor
20 April 26: Awaiting Contractor's response
22 Apr 26: Revised / Updated claim submitted by contractor, Planning confirmed that the Methodology is in compliance TIA window analysis, commercial to review and update the EAR
04 May 2026: EAR target date 20 May. 
18 May 26: ditto. Target date moved to 08 Jun 26 due to Eid holidays.
31 May 26: Ditto - target date to complete by 15 June 26
04 Jun 26: Ditto
15 Jun 26:Target date moved to 21 Jun 26
29 June 26:  Target date moved to 09 July 26
11 July 26: Further particulars were requested form the Contractor. (Ref. AMA01006-CLRSP-000003 on 09 Jul 26)
14 Jul 26: no response received from the contractor till date, commercial proceeded with the EAR with the available data. Updated draft EAR sent to claims team for review
27 July 26: EAR sent to planning for TIA
03 Aug 26: TIA targeted to be concluded by 13 Aug 26
05 Aug 26: Planning team reverted with comments for commercial to address // updated draft sent back to planning on the same day
08 Aug 26: planning team reverted the EAR to commercial as some comments were 
not addressed
06 Aug 26: Further particulars requested from the Contractor (Gen Cor. AMA01006-GENCORR-004953)
24 Aug 26: Contractor submitted further particulars via Raqtan-GENCORR-000089
07 Sep 26: updated Draft EAR sent to claims team for further review
21 Sep 26: EAR reverted to commercial as most comments remained unanswered. Commercial to update &amp; resubmit 
29 Sep 26: Updated EAR sent back to claims team for review
02 Oct 26: EAR reverted to commercial with comments</v>
      </c>
      <c r="AV60" s="186" t="str">
        <f t="shared" si="1"/>
        <v/>
      </c>
      <c r="AW60" s="186" t="str">
        <f t="shared" si="13"/>
        <v>OPEN</v>
      </c>
      <c r="AX60" s="186" t="str">
        <f t="shared" si="2"/>
        <v>OPEN</v>
      </c>
      <c r="AY60" s="181">
        <f t="shared" si="14"/>
        <v>46258</v>
      </c>
      <c r="AZ60" s="181" t="str">
        <f t="shared" si="27"/>
        <v/>
      </c>
      <c r="BA60" s="181" t="str">
        <f t="shared" si="4"/>
        <v/>
      </c>
      <c r="BC60" s="181">
        <f>IFERROR(INDEX(Program_01!BF:BF,MATCH($B60,Program_01!$A:$A,0)),"")</f>
        <v>46258</v>
      </c>
      <c r="BD60" s="188">
        <f ca="1">IFERROR(INDEX(Program_01!BG:BG,MATCH($B60,Program_01!$A:$A,0)),"")</f>
        <v>-28</v>
      </c>
      <c r="BE60" s="181">
        <f>IFERROR(INDEX(Program_01!BH:BH,MATCH($B60,Program_01!$A:$A,0)),"")</f>
        <v>46230</v>
      </c>
      <c r="BF60" s="189">
        <f ca="1">IFERROR(INDEX(Program_01!BI:BI,MATCH($B60,Program_01!$A:$A,0)),"")</f>
        <v>70</v>
      </c>
      <c r="BG60" s="181">
        <f>IFERROR(INDEX(Program_01!BJ:BJ,MATCH($B60,Program_01!$A:$A,0)),"")</f>
        <v>0</v>
      </c>
      <c r="BH60" s="189">
        <f ca="1">IFERROR(INDEX(Program_01!BK:BK,MATCH($B60,Program_01!$A:$A,0)),"")</f>
        <v>0</v>
      </c>
      <c r="BI60" s="181">
        <f>IFERROR(INDEX(Program_01!BL:BL,MATCH($B60,Program_01!$A:$A,0)),"")</f>
        <v>0</v>
      </c>
      <c r="BK60" s="190" t="str">
        <f>IFERROR(IF(INDEX(Program_01!$BX:$BX,MATCH($B60,Program_01!$A:$A,0))=DATE(1900,1,0),"",INDEX(Program_01!$BX:$BX,MATCH($B60,Program_01!$A:$A,0))),"")</f>
        <v/>
      </c>
      <c r="BL60" s="190" t="str">
        <f>IFERROR(IF(INDEX(Program_01!$BY:$BY,MATCH($B60,Program_01!$A:$A,0))=DATE(1900,1,0),"",INDEX(Program_01!$BY:$BY,MATCH($B60,Program_01!$A:$A,0))),"")</f>
        <v/>
      </c>
      <c r="BM60" s="188" t="str">
        <f t="shared" ca="1" si="15"/>
        <v/>
      </c>
      <c r="BN60" s="191">
        <f t="shared" ca="1" si="16"/>
        <v>42</v>
      </c>
      <c r="BO60" s="188" t="str">
        <f t="shared" si="5"/>
        <v/>
      </c>
      <c r="BP60" s="188" t="str">
        <f t="shared" si="6"/>
        <v/>
      </c>
      <c r="BQ60" s="188" t="str">
        <f t="shared" ca="1" si="17"/>
        <v/>
      </c>
      <c r="BR60" s="181" t="str">
        <f t="shared" ca="1" si="28"/>
        <v/>
      </c>
      <c r="BT60" s="190" t="str">
        <f>IFERROR(IF(INDEX(Program_01!$BZ:$BZ,MATCH($B60,Program_01!$A:$A,0))=DATE(1900,1,0),"",INDEX(Program_01!$BZ:$BZ,MATCH($B60,Program_01!$A:$A,0))),"")</f>
        <v/>
      </c>
      <c r="BU60" s="182" t="str">
        <f t="shared" ca="1" si="22"/>
        <v/>
      </c>
      <c r="BV60" s="188" t="str">
        <f t="shared" si="7"/>
        <v/>
      </c>
      <c r="BW60" s="188" t="str">
        <f t="shared" si="8"/>
        <v/>
      </c>
      <c r="BX60" s="188" t="str">
        <f t="shared" ca="1" si="9"/>
        <v/>
      </c>
      <c r="BY60" s="181" t="str">
        <f t="shared" ca="1" si="29"/>
        <v/>
      </c>
      <c r="CA60" s="192" t="str">
        <f t="shared" si="20"/>
        <v>N</v>
      </c>
      <c r="CB60" s="192" t="str">
        <f t="shared" si="21"/>
        <v>N</v>
      </c>
      <c r="CC60" s="193">
        <f>IFERROR(INDEX(Program_01!$CE:$CE,MATCH($B60,Program_01!$A:$A,0)),"")</f>
        <v>45600</v>
      </c>
      <c r="CD60" s="193">
        <f t="shared" si="26"/>
        <v>45600</v>
      </c>
      <c r="CG60" s="194">
        <f>IFERROR(INDEX(Program_01!$AT:$AT,MATCH($B60,Program_01!$A:$A,0)),"")</f>
        <v>0</v>
      </c>
      <c r="CH60" s="194">
        <f>IFERROR(INDEX(Program_01!$AX:$AX,MATCH($B60,Program_01!$A:$A,0)),"")</f>
        <v>0</v>
      </c>
    </row>
    <row r="61" spans="1:86" s="187" customFormat="1" ht="408.75" customHeight="1">
      <c r="A61" s="174" t="s">
        <v>1</v>
      </c>
      <c r="B61" s="175">
        <v>43</v>
      </c>
      <c r="C61" s="176" t="str">
        <f>IFERROR(INDEX(Program_01!$B:$B,MATCH($B61,Program_01!$A:$A,0)),"")</f>
        <v>FULL TIA EAR</v>
      </c>
      <c r="D61" s="176" t="str">
        <f>IFERROR(INDEX(Program_01!$D:$D,MATCH($B61,Program_01!$A:$A,0)),"")</f>
        <v>1TB01003C09</v>
      </c>
      <c r="E61" s="176" t="str">
        <f>IFERROR(INDEX(Program_01!$E:$E,MATCH($B61,Program_01!$A:$A,0)),"")</f>
        <v>1.TB.01.003.01</v>
      </c>
      <c r="F61" s="176" t="str">
        <f>IFERROR(INDEX(Program_01!$F:$F,MATCH($B61,Program_01!$A:$A,0)),"")</f>
        <v xml:space="preserve">AMAALA Yacht Club </v>
      </c>
      <c r="G61" s="176" t="str">
        <f>IFERROR(INDEX(Program_01!$G:$G,MATCH($B61,Program_01!$A:$A,0)),"")</f>
        <v>Fit-out works for Amaala Yacht Club</v>
      </c>
      <c r="H61" s="176" t="str">
        <f>IFERROR(INDEX(Program_01!$H:$H,MATCH($B61,Program_01!$A:$A,0)),"")</f>
        <v>DEPA Saudi Arabia for Contracting and Interior Decoration Co. Ltd</v>
      </c>
      <c r="I61" s="176" t="str">
        <f t="shared" si="11"/>
        <v>EOT</v>
      </c>
      <c r="J61" s="176">
        <f>IFERROR(INDEX(Program_01!$I:$I,MATCH($B61,Program_01!$A:$A,0)),"")</f>
        <v>1</v>
      </c>
      <c r="K61" s="176">
        <f>IFERROR(INDEX(Program_01!$J:$J,MATCH($B61,Program_01!$A:$A,0)),"")</f>
        <v>0</v>
      </c>
      <c r="L61" s="176">
        <f>IFERROR(INDEX(Program_01!$K:$K,MATCH($B61,Program_01!$A:$A,0)),"")</f>
        <v>0</v>
      </c>
      <c r="M61" s="176">
        <f>IFERROR(INDEX(Program_01!$L:$L,MATCH($B61,Program_01!$A:$A,0)),"")</f>
        <v>0</v>
      </c>
      <c r="N61" s="176">
        <f>IFERROR(INDEX(Program_01!$L:$L,MATCH($B61,Program_01!$A:$A,0)),"")</f>
        <v>0</v>
      </c>
      <c r="O61" s="176">
        <f>IFERROR(INDEX(Program_01!$N:$N,MATCH($B61,Program_01!$A:$A,0)),"")</f>
        <v>0</v>
      </c>
      <c r="P61" s="178"/>
      <c r="Q61" s="179" t="str">
        <f>IFERROR(INDEX(Program_01!$C:$C,MATCH($B61,Program_01!$A:$A,0)),"")</f>
        <v>Interim Extension of Time Claim - EOT 01</v>
      </c>
      <c r="R61" s="176" t="str">
        <f>IFERROR(INDEX(Program_01!$V:$V,MATCH($B61,Program_01!$A:$A,0)),"")</f>
        <v>1TB01003-003C09-DCC-LTR-0129</v>
      </c>
      <c r="S61" s="180">
        <f>IFERROR(INDEX(Program_01!$W:$W,MATCH($B61,Program_01!$A:$A,0)),"")</f>
        <v>45573</v>
      </c>
      <c r="T61" s="178"/>
      <c r="U61" s="176" t="str">
        <f>IFERROR(INDEX(Program_01!$Z:$Z,MATCH($B61,Program_01!$A:$A,0)),"")</f>
        <v>1TB01003-003C09-AMA-LTR-0089</v>
      </c>
      <c r="V61" s="181">
        <f>IFERROR(INDEX(Program_01!$AA:$AA,MATCH($B61,Program_01!$A:$A,0)),"")</f>
        <v>45601</v>
      </c>
      <c r="W61" s="182">
        <f t="shared" ca="1" si="0"/>
        <v>28</v>
      </c>
      <c r="X61" s="51"/>
      <c r="Y61" s="179" t="str">
        <f>IFERROR(INDEX(Program_01!$BD:$BD,MATCH($B61,Program_01!$A:$A,0)),"")</f>
        <v>1TB01003-003C09-DCC-LTR-0129 dated 8 October 2024
1TB01003-003C09-AMA-LTR-0089 dated 05 Nov 24
1TB01003-003C09-DCC-LTR-0171 dated 26 Nov 24
1TB01003-003C09-AMA-LTR-0102 dated 07 Jan 25</v>
      </c>
      <c r="Z61" s="51"/>
      <c r="AA61" s="183" t="str">
        <f>IFERROR(IF((INDEX(Program_01!$AD:$AD,MATCH($B61,Program_01!$A:$A,0))=""),INDEX(Program_01!$V:$V,MATCH($B61,Program_01!$A:$A,0)),INDEX(Program_01!$AD:$AD,MATCH($B61,Program_01!$A:$A,0))),"")</f>
        <v>1TB01003-003C09-DCC-LTR-0171 dated 26 Nov 24
1TB01003-003C09-DCC-LTR-0202</v>
      </c>
      <c r="AB61" s="147">
        <f>IFERROR(IF((INDEX(Program_01!$AE:$AE,MATCH($B61,Program_01!$A:$A,0))=""),INDEX(Program_01!$W:$W,MATCH($B61,Program_01!$A:$A,0)),INDEX(Program_01!$AE:$AE,MATCH($B61,Program_01!$A:$A,0))),"")</f>
        <v>45687</v>
      </c>
      <c r="AC61" s="183" t="str">
        <f>IFERROR(IF($I61="EOT",INDEX(Program_01!$AN:$AN,MATCH($B61,Program_01!$A:$A,0)),INDEX(Program_01!$AY:$AY,MATCH($B61,Program_01!$A:$A,0))),"")</f>
        <v>1TB01003-003C09-AMA-LTR-0126</v>
      </c>
      <c r="AD61" s="181">
        <f>IFERROR(IF($I61="EOT",INDEX(Program_01!$AO:$AO,MATCH($B61,Program_01!$A:$A,0)),INDEX(Program_01!$AZ:$AZ,MATCH($B61,Program_01!$A:$A,0))),"")</f>
        <v>45775</v>
      </c>
      <c r="AE61" s="51"/>
      <c r="AF61" s="183"/>
      <c r="AG61" s="181"/>
      <c r="AH61" s="183">
        <f>IF(OR($D61="",$AS61="VO Issued",$AS61="Open"),"",IF(OR($AC61="Rejected",$AC61="Superseded",$AC61="Dealt Separately"),$AC61,IF($I61="EOT",INDEX(Program_01!$AR:$AR,MATCH($B61,Program_01!$A:$A,0)),INDEX(Program_01!$BB:$BB,MATCH($B61,Program_01!$A:$A,0)))))</f>
        <v>0</v>
      </c>
      <c r="AI61" s="181">
        <f>IF(OR($A61="",$B61="",$I61="",$AS61="VO Issued",$AS61="Open"),"",IF(OR($AD61="N/A"),$AD61,IF($I61="EOT",INDEX(Program_01!$AS:$AS,MATCH($B61,Program_01!$A:$A,0)),INDEX(Program_01!$BC:$BC,MATCH($B61,Program_01!$A:$A,0)))))</f>
        <v>0</v>
      </c>
      <c r="AJ61" s="183">
        <f>IF(OR($D61="",$I61="",$AS61="Determination Issued",$AS61="Rejected",$AS61="Open"),"",IF(OR($AH61="Rejected",$AH61="Dealt Separately",$AH61="Superseded",$AH61="Withdrawn"),"N/A",IF($I61="EOT",INDEX(Program_01!AR:AR,MATCH($B61,Program_01!A:A,0)),INDEX(Program_01!BB:BB,MATCH($B61,Program_01!A:A,0)))))</f>
        <v>0</v>
      </c>
      <c r="AK61" s="181">
        <f>IF(OR($A61="",$B61="",$I61="",$AS61="Determination Issued",$AS61="Rejected",$AS61="Open"),"",IF($AJ61="N/A","N/A",IF($I61="EOT",INDEX(Program_01!AS:AS,MATCH($B61,Program_01!A:A,0)),INDEX(Program_01!BC:BC,MATCH($B61,Program_01!A:A,0)))))</f>
        <v>0</v>
      </c>
      <c r="AL61" s="51"/>
      <c r="AM61" s="184">
        <f>IFERROR(INDEX(Program_01!$BT:$BT,MATCH($B61,Program_01!$A:$A,0)),"")</f>
        <v>0</v>
      </c>
      <c r="AN61" s="184">
        <f>IFERROR(INDEX(Program_01!$BU:$BU,MATCH($B61,Program_01!$A:$A,0)),"")</f>
        <v>0</v>
      </c>
      <c r="AO61" s="184">
        <f>IFERROR(INDEX(Program_01!$BV:$BV,MATCH($B61,Program_01!$A:$A,0)),"")</f>
        <v>0</v>
      </c>
      <c r="AP61" s="51" t="str">
        <f t="shared" si="12"/>
        <v/>
      </c>
      <c r="AQ61" s="184">
        <f>IFERROR(INDEX(Program_01!$BN:$BN,MATCH($B61,Program_01!$A:$A,0)),"")</f>
        <v>0</v>
      </c>
      <c r="AR61" s="184" t="str">
        <f>IFERROR(INDEX(Program_01!$BO:$BO,MATCH($B61,Program_01!$A:$A,0)),"")</f>
        <v>Assessment Report Issued</v>
      </c>
      <c r="AS61" s="184" t="str">
        <f>IFERROR(INDEX(Program_01!$BP:$BP,MATCH($B61,Program_01!$A:$A,0)),"")</f>
        <v>Superseded</v>
      </c>
      <c r="AT61" s="185" t="str">
        <f>IFERROR(INDEX(Program_01!$BQ:$BQ,MATCH($B61,Program_01!$A:$A,0)),"")</f>
        <v>Closed</v>
      </c>
      <c r="AU61" s="179" t="str">
        <f>IFERROR(INDEX(Program_01!$BR:$BR,MATCH($B61,Program_01!$A:$A,0)),"")</f>
        <v>10 Feb 2025 Commercial drafting the report (delivery /BIM imput delayed) ,targeted  to be issued to Claims on 16 February
18 Feb 25: EAR issued to claims team for review
18 Feb 2025 - EAR sent to Claims &amp; planning team for review
25 Feb 25: Final Draft report sent to planning to incorporate TIA
10 Mar 25: Ditto, finalising the TIA, Targeted to revert by this week
16 Mar 25: Planning has reverted the draft report incorporating TIA. 
17 Mar 25: Final Draft sent to claims for review &amp; Approval
09 Apr 25: Ditto
13 April 25: sent to KM for approval
15 Apr 25: Final EAR draft approved and sent back to commercial to proceed with WF approval
20 Apr 25: WF final EAR initiated in Aconex for approval on 15 Apr.  (WF - 012102 )
29 Apr 25: Employer's Assessment Report for EOT-01 (DEPA) approved under Aconex mail AMA01003-WTRAN-030618 on 25 Apr 2025.
29 Apr 25: Employer's Assessment Report for EOT-01 issued to DEPA for review and agreement under Aconex mail 1TB01003-003C09-AMA-LTR-0126 on 28 April 2025.
19 May 25: Awaiting DEPA's response/agreement to the assessment.
14 June 25 : Ditto to Last
21 Jun 25: received Depa's response requesting for a reassessment (1TB01003-003C09-DCC-LTR-0255)
30 Jun 25: Depa issued disagreement letter on the employer's assessment via aconex ref (DCC01003-GENCORR-000953) commercial to review and respond
14 Jul 25:action with Delivery to assess technical merit, commercial to respond that reassessment / review of the additional substantiation provided is ongoing and will submit an assessment shortly
28 July 25: Commercial carried out the review, in process of  approval/agreening with Delivery. 
12 Aug 25 - Planning team currently reviewing DEPA dispute of the time assesment from the Planning Team
18 Aug 25: Targeted to revert by 24 Aug 25
25 Aug 25: Ditto. Planning team target to complete their response by 26 Aug 2025. 
01 Sep 25: Target date moved to 04 Sep 25
08 Sep 25: Targeted to issue by 09 Sep 25</v>
      </c>
      <c r="AV61" s="186" t="str">
        <f t="shared" si="1"/>
        <v/>
      </c>
      <c r="AW61" s="186" t="str">
        <f t="shared" si="13"/>
        <v>CLOSED</v>
      </c>
      <c r="AX61" s="186" t="str">
        <f t="shared" si="2"/>
        <v>CLOSED</v>
      </c>
      <c r="AY61" s="181">
        <f t="shared" si="14"/>
        <v>45687</v>
      </c>
      <c r="AZ61" s="181">
        <f t="shared" si="27"/>
        <v>45775</v>
      </c>
      <c r="BA61" s="181">
        <f t="shared" si="4"/>
        <v>0</v>
      </c>
      <c r="BC61" s="181">
        <f>IFERROR(INDEX(Program_01!BF:BF,MATCH($B61,Program_01!$A:$A,0)),"")</f>
        <v>45687</v>
      </c>
      <c r="BD61" s="188" t="str">
        <f ca="1">IFERROR(INDEX(Program_01!BG:BG,MATCH($B61,Program_01!$A:$A,0)),"")</f>
        <v>N/A</v>
      </c>
      <c r="BE61" s="181">
        <f>IFERROR(INDEX(Program_01!BH:BH,MATCH($B61,Program_01!$A:$A,0)),"")</f>
        <v>0</v>
      </c>
      <c r="BF61" s="189">
        <f ca="1">IFERROR(INDEX(Program_01!BI:BI,MATCH($B61,Program_01!$A:$A,0)),"")</f>
        <v>0</v>
      </c>
      <c r="BG61" s="181">
        <f>IFERROR(INDEX(Program_01!BJ:BJ,MATCH($B61,Program_01!$A:$A,0)),"")</f>
        <v>0</v>
      </c>
      <c r="BH61" s="189">
        <f ca="1">IFERROR(INDEX(Program_01!BK:BK,MATCH($B61,Program_01!$A:$A,0)),"")</f>
        <v>0</v>
      </c>
      <c r="BI61" s="181">
        <f>IFERROR(INDEX(Program_01!BL:BL,MATCH($B61,Program_01!$A:$A,0)),"")</f>
        <v>0</v>
      </c>
      <c r="BK61" s="190">
        <f>IFERROR(IF(INDEX(Program_01!$BX:$BX,MATCH($B61,Program_01!$A:$A,0))=DATE(1900,1,0),"",INDEX(Program_01!$BX:$BX,MATCH($B61,Program_01!$A:$A,0))),"")</f>
        <v>45775</v>
      </c>
      <c r="BL61" s="190" t="str">
        <f>IFERROR(IF(INDEX(Program_01!$BY:$BY,MATCH($B61,Program_01!$A:$A,0))=DATE(1900,1,0),"",INDEX(Program_01!$BY:$BY,MATCH($B61,Program_01!$A:$A,0))),"")</f>
        <v/>
      </c>
      <c r="BM61" s="188">
        <f t="shared" ca="1" si="15"/>
        <v>88</v>
      </c>
      <c r="BN61" s="191">
        <f t="shared" ca="1" si="16"/>
        <v>88</v>
      </c>
      <c r="BO61" s="188">
        <f t="shared" ca="1" si="5"/>
        <v>88</v>
      </c>
      <c r="BP61" s="188" t="str">
        <f t="shared" si="6"/>
        <v>1</v>
      </c>
      <c r="BQ61" s="188" t="str">
        <f t="shared" ca="1" si="17"/>
        <v/>
      </c>
      <c r="BR61" s="181" t="str">
        <f t="shared" ca="1" si="28"/>
        <v/>
      </c>
      <c r="BT61" s="190" t="str">
        <f>IFERROR(IF(INDEX(Program_01!$BZ:$BZ,MATCH($B61,Program_01!$A:$A,0))=DATE(1900,1,0),"",INDEX(Program_01!$BZ:$BZ,MATCH($B61,Program_01!$A:$A,0))),"")</f>
        <v/>
      </c>
      <c r="BU61" s="182" t="str">
        <f t="shared" ca="1" si="22"/>
        <v/>
      </c>
      <c r="BV61" s="188" t="str">
        <f t="shared" si="7"/>
        <v/>
      </c>
      <c r="BW61" s="188" t="str">
        <f t="shared" si="8"/>
        <v>1</v>
      </c>
      <c r="BX61" s="188" t="str">
        <f t="shared" ca="1" si="9"/>
        <v/>
      </c>
      <c r="BY61" s="181" t="str">
        <f t="shared" ca="1" si="29"/>
        <v/>
      </c>
      <c r="CA61" s="192" t="str">
        <f t="shared" si="20"/>
        <v>Y</v>
      </c>
      <c r="CB61" s="192" t="str">
        <f t="shared" si="21"/>
        <v>N</v>
      </c>
      <c r="CC61" s="193">
        <f>IFERROR(INDEX(Program_01!$CE:$CE,MATCH($B61,Program_01!$A:$A,0)),"")</f>
        <v>45613</v>
      </c>
      <c r="CD61" s="193">
        <f t="shared" si="26"/>
        <v>45613</v>
      </c>
      <c r="CG61" s="194">
        <f>IFERROR(INDEX(Program_01!$AT:$AT,MATCH($B61,Program_01!$A:$A,0)),"")</f>
        <v>0</v>
      </c>
      <c r="CH61" s="194">
        <f>IFERROR(INDEX(Program_01!$AX:$AX,MATCH($B61,Program_01!$A:$A,0)),"")</f>
        <v>0</v>
      </c>
    </row>
    <row r="62" spans="1:86" s="187" customFormat="1" ht="320.25" customHeight="1">
      <c r="A62" s="174" t="s">
        <v>1</v>
      </c>
      <c r="B62" s="175">
        <v>44</v>
      </c>
      <c r="C62" s="176" t="str">
        <f>IFERROR(INDEX(Program_01!$B:$B,MATCH($B62,Program_01!$A:$A,0)),"")</f>
        <v>FULL TIA EAR</v>
      </c>
      <c r="D62" s="176" t="str">
        <f>IFERROR(INDEX(Program_01!$D:$D,MATCH($B62,Program_01!$A:$A,0)),"")</f>
        <v>1TB01031C02</v>
      </c>
      <c r="E62" s="176" t="str">
        <f>IFERROR(INDEX(Program_01!$E:$E,MATCH($B62,Program_01!$A:$A,0)),"")</f>
        <v>1.TB.01.031.01</v>
      </c>
      <c r="F62" s="176" t="str">
        <f>IFERROR(INDEX(Program_01!$F:$F,MATCH($B62,Program_01!$A:$A,0)),"")</f>
        <v>The Marina</v>
      </c>
      <c r="G62" s="176" t="str">
        <f>IFERROR(INDEX(Program_01!$G:$G,MATCH($B62,Program_01!$A:$A,0)),"")</f>
        <v>Triple Bay Marina Basin - Design and Build Main Contract</v>
      </c>
      <c r="H62" s="176" t="str">
        <f>IFERROR(INDEX(Program_01!$H:$H,MATCH($B62,Program_01!$A:$A,0)),"")</f>
        <v>Alsaad General Contracting Company</v>
      </c>
      <c r="I62" s="176" t="str">
        <f t="shared" si="11"/>
        <v>EOT</v>
      </c>
      <c r="J62" s="176">
        <f>IFERROR(INDEX(Program_01!$I:$I,MATCH($B62,Program_01!$A:$A,0)),"")</f>
        <v>1</v>
      </c>
      <c r="K62" s="176">
        <f>IFERROR(INDEX(Program_01!$J:$J,MATCH($B62,Program_01!$A:$A,0)),"")</f>
        <v>0</v>
      </c>
      <c r="L62" s="176">
        <f>IFERROR(INDEX(Program_01!$K:$K,MATCH($B62,Program_01!$A:$A,0)),"")</f>
        <v>0</v>
      </c>
      <c r="M62" s="176">
        <f>IFERROR(INDEX(Program_01!$L:$L,MATCH($B62,Program_01!$A:$A,0)),"")</f>
        <v>0</v>
      </c>
      <c r="N62" s="176">
        <f>IFERROR(INDEX(Program_01!$L:$L,MATCH($B62,Program_01!$A:$A,0)),"")</f>
        <v>0</v>
      </c>
      <c r="O62" s="176">
        <f>IFERROR(INDEX(Program_01!$N:$N,MATCH($B62,Program_01!$A:$A,0)),"")</f>
        <v>0</v>
      </c>
      <c r="P62" s="178"/>
      <c r="Q62" s="179" t="str">
        <f>IFERROR(INDEX(Program_01!$C:$C,MATCH($B62,Program_01!$A:$A,0)),"")</f>
        <v>Triple Bay Marina - Alsaad Consolidated Claim Report 03 (EOT 3)</v>
      </c>
      <c r="R62" s="176" t="str">
        <f>IFERROR(INDEX(Program_01!$V:$V,MATCH($B62,Program_01!$A:$A,0)),"")</f>
        <v>1TB01031-031C02-ALS-LTR-0300</v>
      </c>
      <c r="S62" s="180">
        <f>IFERROR(INDEX(Program_01!$W:$W,MATCH($B62,Program_01!$A:$A,0)),"")</f>
        <v>45610</v>
      </c>
      <c r="T62" s="178"/>
      <c r="U62" s="176" t="str">
        <f>IFERROR(INDEX(Program_01!$Z:$Z,MATCH($B62,Program_01!$A:$A,0)),"")</f>
        <v>1TB01031-031C02-AMA-LTR-0040</v>
      </c>
      <c r="V62" s="181">
        <f>IFERROR(INDEX(Program_01!$AA:$AA,MATCH($B62,Program_01!$A:$A,0)),"")</f>
        <v>45732</v>
      </c>
      <c r="W62" s="182">
        <f t="shared" ca="1" si="0"/>
        <v>122</v>
      </c>
      <c r="X62" s="51"/>
      <c r="Y62" s="179" t="str">
        <f>IFERROR(INDEX(Program_01!$BD:$BD,MATCH($B62,Program_01!$A:$A,0)),"")</f>
        <v>1TB01031-031C02-AMA-LTR-0040 date 16 Mar 25</v>
      </c>
      <c r="Z62" s="51"/>
      <c r="AA62" s="183" t="str">
        <f>IFERROR(IF((INDEX(Program_01!$AD:$AD,MATCH($B62,Program_01!$A:$A,0))=""),INDEX(Program_01!$V:$V,MATCH($B62,Program_01!$A:$A,0)),INDEX(Program_01!$AD:$AD,MATCH($B62,Program_01!$A:$A,0))),"")</f>
        <v>1TB01031-031C02-ALS-LTR-0300</v>
      </c>
      <c r="AB62" s="147">
        <f>IFERROR(IF((INDEX(Program_01!$AE:$AE,MATCH($B62,Program_01!$A:$A,0))=""),INDEX(Program_01!$W:$W,MATCH($B62,Program_01!$A:$A,0)),INDEX(Program_01!$AE:$AE,MATCH($B62,Program_01!$A:$A,0))),"")</f>
        <v>45610</v>
      </c>
      <c r="AC62" s="183" t="str">
        <f>IFERROR(IF($I62="EOT",INDEX(Program_01!$AN:$AN,MATCH($B62,Program_01!$A:$A,0)),INDEX(Program_01!$AY:$AY,MATCH($B62,Program_01!$A:$A,0))),"")</f>
        <v>N/A</v>
      </c>
      <c r="AD62" s="181" t="str">
        <f>IFERROR(IF($I62="EOT",INDEX(Program_01!$AO:$AO,MATCH($B62,Program_01!$A:$A,0)),INDEX(Program_01!$AZ:$AZ,MATCH($B62,Program_01!$A:$A,0))),"")</f>
        <v>N/A</v>
      </c>
      <c r="AE62" s="51"/>
      <c r="AF62" s="183"/>
      <c r="AG62" s="181"/>
      <c r="AH62" s="183">
        <f>IF(OR($D62="",$AS62="VO Issued",$AS62="Open"),"",IF(OR($AC62="Rejected",$AC62="Superseded",$AC62="Dealt Separately"),$AC62,IF($I62="EOT",INDEX(Program_01!$AR:$AR,MATCH($B62,Program_01!$A:$A,0)),INDEX(Program_01!$BB:$BB,MATCH($B62,Program_01!$A:$A,0)))))</f>
        <v>0</v>
      </c>
      <c r="AI62" s="181" t="str">
        <f>IF(OR($A62="",$B62="",$I62="",$AS62="VO Issued",$AS62="Open"),"",IF(OR($AD62="N/A"),$AD62,IF($I62="EOT",INDEX(Program_01!$AS:$AS,MATCH($B62,Program_01!$A:$A,0)),INDEX(Program_01!$BC:$BC,MATCH($B62,Program_01!$A:$A,0)))))</f>
        <v>N/A</v>
      </c>
      <c r="AJ62" s="183">
        <f>IF(OR($D62="",$I62="",$AS62="Determination Issued",$AS62="Rejected",$AS62="Open"),"",IF(OR($AH62="Rejected",$AH62="Dealt Separately",$AH62="Superseded",$AH62="Withdrawn"),"N/A",IF($I62="EOT",INDEX(Program_01!AR:AR,MATCH($B62,Program_01!A:A,0)),INDEX(Program_01!BB:BB,MATCH($B62,Program_01!A:A,0)))))</f>
        <v>0</v>
      </c>
      <c r="AK62" s="181">
        <f>IF(OR($A62="",$B62="",$I62="",$AS62="Determination Issued",$AS62="Rejected",$AS62="Open"),"",IF($AJ62="N/A","N/A",IF($I62="EOT",INDEX(Program_01!AS:AS,MATCH($B62,Program_01!A:A,0)),INDEX(Program_01!BC:BC,MATCH($B62,Program_01!A:A,0)))))</f>
        <v>0</v>
      </c>
      <c r="AL62" s="51"/>
      <c r="AM62" s="184" t="str">
        <f>IFERROR(INDEX(Program_01!$BT:$BT,MATCH($B62,Program_01!$A:$A,0)),"")</f>
        <v>Merit</v>
      </c>
      <c r="AN62" s="184">
        <f>IFERROR(INDEX(Program_01!$BU:$BU,MATCH($B62,Program_01!$A:$A,0)),"")</f>
        <v>0</v>
      </c>
      <c r="AO62" s="184">
        <f>IFERROR(INDEX(Program_01!$BV:$BV,MATCH($B62,Program_01!$A:$A,0)),"")</f>
        <v>0</v>
      </c>
      <c r="AP62" s="51" t="str">
        <f t="shared" si="12"/>
        <v/>
      </c>
      <c r="AQ62" s="184">
        <f>IFERROR(INDEX(Program_01!$BN:$BN,MATCH($B62,Program_01!$A:$A,0)),"")</f>
        <v>0</v>
      </c>
      <c r="AR62" s="184" t="str">
        <f>IFERROR(INDEX(Program_01!$BO:$BO,MATCH($B62,Program_01!$A:$A,0)),"")</f>
        <v>Not Applicable</v>
      </c>
      <c r="AS62" s="184" t="str">
        <f>IFERROR(INDEX(Program_01!$BP:$BP,MATCH($B62,Program_01!$A:$A,0)),"")</f>
        <v>Canceled</v>
      </c>
      <c r="AT62" s="185" t="str">
        <f>IFERROR(INDEX(Program_01!$BQ:$BQ,MATCH($B62,Program_01!$A:$A,0)),"")</f>
        <v>Closed</v>
      </c>
      <c r="AU62" s="179" t="str">
        <f>IFERROR(INDEX(Program_01!$BR:$BR,MATCH($B62,Program_01!$A:$A,0)),"")</f>
        <v>13 Feb 25: Contractor confirmed variation order and provided costs related to dewatering and stated that the additional time due to the dewatering is sufficient - Commercial assumes this closes the EOT - 1TB01031-031C12-ALS-LTR-0018 - claims team to advise
24 Feb 25: contractor to formally withdraw this claim to close this item
10 Mar 25: DVO issued to contractor for Dewatering. This claim to be closed upon formal withdrawal by the contractor
12 Mar 25: letter in WF advising the contractor to formally withdraw the EOT
16 Mar 25: letter (1TB01031-031C02-AMA-LTR-0040) has been issued to the contractor to formally withrdraw this EOT claim as the Contract has already been extended to 31 December 2024 in accordance with signed DVO-040 related to EI-45 and VO-54
12 March 2025 - WF-012981 Withrawal of EOT rerquest on WF by RSG
09 Apr 25: Ditto
22 Apr 25: Ditto
22 Apr 25: The Contractor withdraw the EOT, 1TB01031-031C02-ALS-LTR-0308
04 May 25: Ditto</v>
      </c>
      <c r="AV62" s="186" t="str">
        <f t="shared" si="1"/>
        <v/>
      </c>
      <c r="AW62" s="186" t="str">
        <f t="shared" si="13"/>
        <v>CLOSED</v>
      </c>
      <c r="AX62" s="186" t="str">
        <f t="shared" si="2"/>
        <v>CLOSED</v>
      </c>
      <c r="AY62" s="181">
        <f t="shared" si="14"/>
        <v>45610</v>
      </c>
      <c r="AZ62" s="181" t="str">
        <f t="shared" si="27"/>
        <v>N/A</v>
      </c>
      <c r="BA62" s="181" t="str">
        <f t="shared" si="4"/>
        <v>N/A</v>
      </c>
      <c r="BC62" s="181">
        <f>IFERROR(INDEX(Program_01!BF:BF,MATCH($B62,Program_01!$A:$A,0)),"")</f>
        <v>45610</v>
      </c>
      <c r="BD62" s="188" t="str">
        <f ca="1">IFERROR(INDEX(Program_01!BG:BG,MATCH($B62,Program_01!$A:$A,0)),"")</f>
        <v>N/A</v>
      </c>
      <c r="BE62" s="181">
        <f>IFERROR(INDEX(Program_01!BH:BH,MATCH($B62,Program_01!$A:$A,0)),"")</f>
        <v>0</v>
      </c>
      <c r="BF62" s="189">
        <f ca="1">IFERROR(INDEX(Program_01!BI:BI,MATCH($B62,Program_01!$A:$A,0)),"")</f>
        <v>0</v>
      </c>
      <c r="BG62" s="181">
        <f>IFERROR(INDEX(Program_01!BJ:BJ,MATCH($B62,Program_01!$A:$A,0)),"")</f>
        <v>0</v>
      </c>
      <c r="BH62" s="189">
        <f ca="1">IFERROR(INDEX(Program_01!BK:BK,MATCH($B62,Program_01!$A:$A,0)),"")</f>
        <v>0</v>
      </c>
      <c r="BI62" s="181">
        <f>IFERROR(INDEX(Program_01!BL:BL,MATCH($B62,Program_01!$A:$A,0)),"")</f>
        <v>0</v>
      </c>
      <c r="BK62" s="190">
        <f>IFERROR(IF(INDEX(Program_01!$BX:$BX,MATCH($B62,Program_01!$A:$A,0))=DATE(1900,1,0),"",INDEX(Program_01!$BX:$BX,MATCH($B62,Program_01!$A:$A,0))),"")</f>
        <v>45781</v>
      </c>
      <c r="BL62" s="190" t="str">
        <f>IFERROR(IF(INDEX(Program_01!$BY:$BY,MATCH($B62,Program_01!$A:$A,0))=DATE(1900,1,0),"",INDEX(Program_01!$BY:$BY,MATCH($B62,Program_01!$A:$A,0))),"")</f>
        <v/>
      </c>
      <c r="BM62" s="188" t="str">
        <f t="shared" ca="1" si="15"/>
        <v/>
      </c>
      <c r="BN62" s="191">
        <f t="shared" ca="1" si="16"/>
        <v>0</v>
      </c>
      <c r="BO62" s="188" t="str">
        <f t="shared" si="5"/>
        <v/>
      </c>
      <c r="BP62" s="188" t="str">
        <f t="shared" si="6"/>
        <v>1</v>
      </c>
      <c r="BQ62" s="188" t="str">
        <f t="shared" ca="1" si="17"/>
        <v/>
      </c>
      <c r="BR62" s="181" t="str">
        <f t="shared" ca="1" si="28"/>
        <v/>
      </c>
      <c r="BT62" s="190" t="str">
        <f>IFERROR(IF(INDEX(Program_01!$BZ:$BZ,MATCH($B62,Program_01!$A:$A,0))=DATE(1900,1,0),"",INDEX(Program_01!$BZ:$BZ,MATCH($B62,Program_01!$A:$A,0))),"")</f>
        <v/>
      </c>
      <c r="BU62" s="182" t="str">
        <f t="shared" ca="1" si="22"/>
        <v/>
      </c>
      <c r="BV62" s="188" t="str">
        <f t="shared" si="7"/>
        <v/>
      </c>
      <c r="BW62" s="188" t="str">
        <f t="shared" si="8"/>
        <v>1</v>
      </c>
      <c r="BX62" s="188" t="str">
        <f t="shared" ca="1" si="9"/>
        <v/>
      </c>
      <c r="BY62" s="181" t="str">
        <f t="shared" ca="1" si="29"/>
        <v/>
      </c>
      <c r="CA62" s="192" t="str">
        <f t="shared" si="20"/>
        <v>N</v>
      </c>
      <c r="CB62" s="192" t="str">
        <f t="shared" si="21"/>
        <v>N</v>
      </c>
      <c r="CC62" s="193">
        <f>IFERROR(INDEX(Program_01!$CE:$CE,MATCH($B62,Program_01!$A:$A,0)),"")</f>
        <v>45613</v>
      </c>
      <c r="CD62" s="193">
        <f t="shared" si="26"/>
        <v>45613</v>
      </c>
      <c r="CG62" s="194">
        <f>IFERROR(INDEX(Program_01!$AT:$AT,MATCH($B62,Program_01!$A:$A,0)),"")</f>
        <v>0</v>
      </c>
      <c r="CH62" s="194">
        <f>IFERROR(INDEX(Program_01!$AX:$AX,MATCH($B62,Program_01!$A:$A,0)),"")</f>
        <v>0</v>
      </c>
    </row>
    <row r="63" spans="1:86" s="187" customFormat="1" ht="323">
      <c r="A63" s="174" t="s">
        <v>1</v>
      </c>
      <c r="B63" s="175">
        <v>45</v>
      </c>
      <c r="C63" s="176" t="str">
        <f>IFERROR(INDEX(Program_01!$B:$B,MATCH($B63,Program_01!$A:$A,0)),"")</f>
        <v>FULL TIA EAR</v>
      </c>
      <c r="D63" s="176" t="str">
        <f>IFERROR(INDEX(Program_01!$D:$D,MATCH($B63,Program_01!$A:$A,0)),"")</f>
        <v>1TB01031C12</v>
      </c>
      <c r="E63" s="176" t="str">
        <f>IFERROR(INDEX(Program_01!$E:$E,MATCH($B63,Program_01!$A:$A,0)),"")</f>
        <v>1.TB.01.031.01</v>
      </c>
      <c r="F63" s="176" t="str">
        <f>IFERROR(INDEX(Program_01!$F:$F,MATCH($B63,Program_01!$A:$A,0)),"")</f>
        <v>The Marina</v>
      </c>
      <c r="G63" s="176" t="str">
        <f>IFERROR(INDEX(Program_01!$G:$G,MATCH($B63,Program_01!$A:$A,0)),"")</f>
        <v xml:space="preserve"> Construction of a Fixed Jetty</v>
      </c>
      <c r="H63" s="176" t="str">
        <f>IFERROR(INDEX(Program_01!$H:$H,MATCH($B63,Program_01!$A:$A,0)),"")</f>
        <v>Alsaad General Contracting Co. Ltd</v>
      </c>
      <c r="I63" s="176" t="str">
        <f t="shared" si="11"/>
        <v>EOT</v>
      </c>
      <c r="J63" s="176">
        <f>IFERROR(INDEX(Program_01!$I:$I,MATCH($B63,Program_01!$A:$A,0)),"")</f>
        <v>1</v>
      </c>
      <c r="K63" s="176">
        <f>IFERROR(INDEX(Program_01!$J:$J,MATCH($B63,Program_01!$A:$A,0)),"")</f>
        <v>0</v>
      </c>
      <c r="L63" s="176">
        <f>IFERROR(INDEX(Program_01!$K:$K,MATCH($B63,Program_01!$A:$A,0)),"")</f>
        <v>0</v>
      </c>
      <c r="M63" s="176">
        <f>IFERROR(INDEX(Program_01!$L:$L,MATCH($B63,Program_01!$A:$A,0)),"")</f>
        <v>0</v>
      </c>
      <c r="N63" s="176">
        <f>IFERROR(INDEX(Program_01!$L:$L,MATCH($B63,Program_01!$A:$A,0)),"")</f>
        <v>0</v>
      </c>
      <c r="O63" s="176">
        <f>IFERROR(INDEX(Program_01!$N:$N,MATCH($B63,Program_01!$A:$A,0)),"")</f>
        <v>0</v>
      </c>
      <c r="P63" s="178"/>
      <c r="Q63" s="179" t="str">
        <f>IFERROR(INDEX(Program_01!$C:$C,MATCH($B63,Program_01!$A:$A,0)),"")</f>
        <v xml:space="preserve">EOT-01 Extension of time - Installation Remeasured Contract for Fixed Jetty Strucuture </v>
      </c>
      <c r="R63" s="176" t="str">
        <f>IFERROR(INDEX(Program_01!$V:$V,MATCH($B63,Program_01!$A:$A,0)),"")</f>
        <v xml:space="preserve">	
1TB01031-031C12-ALS-LTR-0008
ALS01031-TRANSMIT-000685</v>
      </c>
      <c r="S63" s="180">
        <f>IFERROR(INDEX(Program_01!$W:$W,MATCH($B63,Program_01!$A:$A,0)),"")</f>
        <v>45610</v>
      </c>
      <c r="T63" s="178"/>
      <c r="U63" s="176" t="str">
        <f>IFERROR(INDEX(Program_01!$Z:$Z,MATCH($B63,Program_01!$A:$A,0)),"")</f>
        <v>AMA01031-GENCORR-000935</v>
      </c>
      <c r="V63" s="181">
        <f>IFERROR(INDEX(Program_01!$AA:$AA,MATCH($B63,Program_01!$A:$A,0)),"")</f>
        <v>45637</v>
      </c>
      <c r="W63" s="182">
        <f t="shared" ca="1" si="0"/>
        <v>27</v>
      </c>
      <c r="X63" s="51"/>
      <c r="Y63" s="179">
        <f>IFERROR(INDEX(Program_01!$BD:$BD,MATCH($B63,Program_01!$A:$A,0)),"")</f>
        <v>0</v>
      </c>
      <c r="Z63" s="51"/>
      <c r="AA63" s="183" t="str">
        <f>IFERROR(IF((INDEX(Program_01!$AD:$AD,MATCH($B63,Program_01!$A:$A,0))=""),INDEX(Program_01!$V:$V,MATCH($B63,Program_01!$A:$A,0)),INDEX(Program_01!$AD:$AD,MATCH($B63,Program_01!$A:$A,0))),"")</f>
        <v>1TB01031-031C12-ALS-LTR-0021</v>
      </c>
      <c r="AB63" s="147">
        <f>IFERROR(IF((INDEX(Program_01!$AE:$AE,MATCH($B63,Program_01!$A:$A,0))=""),INDEX(Program_01!$W:$W,MATCH($B63,Program_01!$A:$A,0)),INDEX(Program_01!$AE:$AE,MATCH($B63,Program_01!$A:$A,0))),"")</f>
        <v>45726</v>
      </c>
      <c r="AC63" s="183">
        <f>IFERROR(IF($I63="EOT",INDEX(Program_01!$AN:$AN,MATCH($B63,Program_01!$A:$A,0)),INDEX(Program_01!$AY:$AY,MATCH($B63,Program_01!$A:$A,0))),"")</f>
        <v>0</v>
      </c>
      <c r="AD63" s="181">
        <f>IFERROR(IF($I63="EOT",INDEX(Program_01!$AO:$AO,MATCH($B63,Program_01!$A:$A,0)),INDEX(Program_01!$AZ:$AZ,MATCH($B63,Program_01!$A:$A,0))),"")</f>
        <v>45772</v>
      </c>
      <c r="AE63" s="51"/>
      <c r="AF63" s="183"/>
      <c r="AG63" s="181"/>
      <c r="AH63" s="183">
        <f>IF(OR($D63="",$AS63="VO Issued",$AS63="Open"),"",IF(OR($AC63="Rejected",$AC63="Superseded",$AC63="Dealt Separately"),$AC63,IF($I63="EOT",INDEX(Program_01!$AR:$AR,MATCH($B63,Program_01!$A:$A,0)),INDEX(Program_01!$BB:$BB,MATCH($B63,Program_01!$A:$A,0)))))</f>
        <v>0</v>
      </c>
      <c r="AI63" s="181">
        <f>IF(OR($A63="",$B63="",$I63="",$AS63="VO Issued",$AS63="Open"),"",IF(OR($AD63="N/A"),$AD63,IF($I63="EOT",INDEX(Program_01!$AS:$AS,MATCH($B63,Program_01!$A:$A,0)),INDEX(Program_01!$BC:$BC,MATCH($B63,Program_01!$A:$A,0)))))</f>
        <v>0</v>
      </c>
      <c r="AJ63" s="183">
        <f>IF(OR($D63="",$I63="",$AS63="Determination Issued",$AS63="Rejected",$AS63="Open"),"",IF(OR($AH63="Rejected",$AH63="Dealt Separately",$AH63="Superseded",$AH63="Withdrawn"),"N/A",IF($I63="EOT",INDEX(Program_01!AR:AR,MATCH($B63,Program_01!A:A,0)),INDEX(Program_01!BB:BB,MATCH($B63,Program_01!A:A,0)))))</f>
        <v>0</v>
      </c>
      <c r="AK63" s="181">
        <f>IF(OR($A63="",$B63="",$I63="",$AS63="Determination Issued",$AS63="Rejected",$AS63="Open"),"",IF($AJ63="N/A","N/A",IF($I63="EOT",INDEX(Program_01!AS:AS,MATCH($B63,Program_01!A:A,0)),INDEX(Program_01!BC:BC,MATCH($B63,Program_01!A:A,0)))))</f>
        <v>0</v>
      </c>
      <c r="AL63" s="51"/>
      <c r="AM63" s="184" t="str">
        <f>IFERROR(INDEX(Program_01!$BT:$BT,MATCH($B63,Program_01!$A:$A,0)),"")</f>
        <v>Merit</v>
      </c>
      <c r="AN63" s="184">
        <f>IFERROR(INDEX(Program_01!$BU:$BU,MATCH($B63,Program_01!$A:$A,0)),"")</f>
        <v>0</v>
      </c>
      <c r="AO63" s="184">
        <f>IFERROR(INDEX(Program_01!$BV:$BV,MATCH($B63,Program_01!$A:$A,0)),"")</f>
        <v>0</v>
      </c>
      <c r="AP63" s="51" t="str">
        <f t="shared" si="12"/>
        <v/>
      </c>
      <c r="AQ63" s="184">
        <f>IFERROR(INDEX(Program_01!$BN:$BN,MATCH($B63,Program_01!$A:$A,0)),"")</f>
        <v>0</v>
      </c>
      <c r="AR63" s="184" t="str">
        <f>IFERROR(INDEX(Program_01!$BO:$BO,MATCH($B63,Program_01!$A:$A,0)),"")</f>
        <v>Canceled</v>
      </c>
      <c r="AS63" s="184" t="str">
        <f>IFERROR(INDEX(Program_01!$BP:$BP,MATCH($B63,Program_01!$A:$A,0)),"")</f>
        <v>Canceled</v>
      </c>
      <c r="AT63" s="185" t="str">
        <f>IFERROR(INDEX(Program_01!$BQ:$BQ,MATCH($B63,Program_01!$A:$A,0)),"")</f>
        <v>Closed</v>
      </c>
      <c r="AU63" s="179" t="str">
        <f>IFERROR(INDEX(Program_01!$BR:$BR,MATCH($B63,Program_01!$A:$A,0)),"")</f>
        <v>Employer's Review on claim received on 14th Nov 2024 is under process. Commercial team to issue initial response within 21 days from the receipt of the claim
04 Dec 24: intial response under process
09 Dec 24: EOT report sent to claims for review. however, intiial response is still pending acknowledging  the claim. commercial to dicuss with claims on preparing the initial response
12 Dec 24: Initial comments issued to contractor on 11 Dec 24 via transmittal AMA01031-GENCORR-000935
22 Dec 24: Ditto
13 Jan 25: Ditto. Awaiting response from contractor
27 Jan 25: Commercial to issue a follow up letter
10 Feb 25: Ditto
24 Feb 25: Ditto
10 Mar 25: revised claim recieved on 10 Mar 25 (Letter Ref: 1TB01031-031C12-ALS-LTR-0021)
16 Mar 25: letter (1TB01031-031C12-AMA-LTR-0029 ) has been issued to the contractor to formally withrdraw this EOT claim as the Contract has already been extended to 30 April 2025 in accordance with DVO-001 related to EI-02 and VO-02
10 Mar 2025 Revised EOT-01 claim revised 1TB01031-031C12-ALS-LTR-0021
12 March 2025 - Withrawal of EOT rerquest on WF by RSG-WF-012984)
09 Apr 25: Ditto
20 Apr 25: Ditto, 
22 Apr 25: Contractor has withdrawn the EOT submission via ref 1TB01031-031C12-ALS-LTR-0025 on , therefore this line item is considered closed</v>
      </c>
      <c r="AV63" s="186" t="str">
        <f t="shared" si="1"/>
        <v/>
      </c>
      <c r="AW63" s="186" t="str">
        <f t="shared" si="13"/>
        <v>CLOSED</v>
      </c>
      <c r="AX63" s="186" t="str">
        <f t="shared" si="2"/>
        <v>CLOSED</v>
      </c>
      <c r="AY63" s="181">
        <f t="shared" si="14"/>
        <v>45726</v>
      </c>
      <c r="AZ63" s="181">
        <f t="shared" si="27"/>
        <v>45772</v>
      </c>
      <c r="BA63" s="181">
        <f t="shared" si="4"/>
        <v>0</v>
      </c>
      <c r="BC63" s="181">
        <f>IFERROR(INDEX(Program_01!BF:BF,MATCH($B63,Program_01!$A:$A,0)),"")</f>
        <v>45726</v>
      </c>
      <c r="BD63" s="188" t="str">
        <f ca="1">IFERROR(INDEX(Program_01!BG:BG,MATCH($B63,Program_01!$A:$A,0)),"")</f>
        <v>N/A</v>
      </c>
      <c r="BE63" s="181">
        <f>IFERROR(INDEX(Program_01!BH:BH,MATCH($B63,Program_01!$A:$A,0)),"")</f>
        <v>0</v>
      </c>
      <c r="BF63" s="189">
        <f ca="1">IFERROR(INDEX(Program_01!BI:BI,MATCH($B63,Program_01!$A:$A,0)),"")</f>
        <v>0</v>
      </c>
      <c r="BG63" s="181">
        <f>IFERROR(INDEX(Program_01!BJ:BJ,MATCH($B63,Program_01!$A:$A,0)),"")</f>
        <v>0</v>
      </c>
      <c r="BH63" s="189">
        <f ca="1">IFERROR(INDEX(Program_01!BK:BK,MATCH($B63,Program_01!$A:$A,0)),"")</f>
        <v>0</v>
      </c>
      <c r="BI63" s="181">
        <f>IFERROR(INDEX(Program_01!BL:BL,MATCH($B63,Program_01!$A:$A,0)),"")</f>
        <v>0</v>
      </c>
      <c r="BK63" s="190">
        <f>IFERROR(IF(INDEX(Program_01!$BX:$BX,MATCH($B63,Program_01!$A:$A,0))=DATE(1900,1,0),"",INDEX(Program_01!$BX:$BX,MATCH($B63,Program_01!$A:$A,0))),"")</f>
        <v>45772</v>
      </c>
      <c r="BL63" s="190" t="str">
        <f>IFERROR(IF(INDEX(Program_01!$BY:$BY,MATCH($B63,Program_01!$A:$A,0))=DATE(1900,1,0),"",INDEX(Program_01!$BY:$BY,MATCH($B63,Program_01!$A:$A,0))),"")</f>
        <v/>
      </c>
      <c r="BM63" s="188">
        <f t="shared" ca="1" si="15"/>
        <v>46</v>
      </c>
      <c r="BN63" s="191">
        <f t="shared" ca="1" si="16"/>
        <v>46</v>
      </c>
      <c r="BO63" s="188" t="str">
        <f t="shared" si="5"/>
        <v/>
      </c>
      <c r="BP63" s="188" t="str">
        <f t="shared" si="6"/>
        <v>1</v>
      </c>
      <c r="BQ63" s="188" t="str">
        <f t="shared" ca="1" si="17"/>
        <v/>
      </c>
      <c r="BR63" s="181" t="str">
        <f t="shared" ca="1" si="28"/>
        <v/>
      </c>
      <c r="BT63" s="190" t="str">
        <f>IFERROR(IF(INDEX(Program_01!$BZ:$BZ,MATCH($B63,Program_01!$A:$A,0))=DATE(1900,1,0),"",INDEX(Program_01!$BZ:$BZ,MATCH($B63,Program_01!$A:$A,0))),"")</f>
        <v/>
      </c>
      <c r="BU63" s="182" t="str">
        <f t="shared" ca="1" si="22"/>
        <v/>
      </c>
      <c r="BV63" s="188" t="str">
        <f t="shared" si="7"/>
        <v/>
      </c>
      <c r="BW63" s="188" t="str">
        <f t="shared" si="8"/>
        <v>1</v>
      </c>
      <c r="BX63" s="188" t="str">
        <f t="shared" ca="1" si="9"/>
        <v/>
      </c>
      <c r="BY63" s="181" t="str">
        <f t="shared" ca="1" si="29"/>
        <v/>
      </c>
      <c r="CA63" s="192" t="str">
        <f t="shared" si="20"/>
        <v>N</v>
      </c>
      <c r="CB63" s="192" t="str">
        <f t="shared" si="21"/>
        <v>N</v>
      </c>
      <c r="CC63" s="193">
        <f>IFERROR(INDEX(Program_01!$CE:$CE,MATCH($B63,Program_01!$A:$A,0)),"")</f>
        <v>45613</v>
      </c>
      <c r="CD63" s="193">
        <f t="shared" si="26"/>
        <v>45613</v>
      </c>
      <c r="CG63" s="194">
        <f>IFERROR(INDEX(Program_01!$AT:$AT,MATCH($B63,Program_01!$A:$A,0)),"")</f>
        <v>0</v>
      </c>
      <c r="CH63" s="194">
        <f>IFERROR(INDEX(Program_01!$AX:$AX,MATCH($B63,Program_01!$A:$A,0)),"")</f>
        <v>0</v>
      </c>
    </row>
    <row r="64" spans="1:86" s="187" customFormat="1" ht="388.5" customHeight="1">
      <c r="A64" s="174" t="s">
        <v>1</v>
      </c>
      <c r="B64" s="197">
        <v>46</v>
      </c>
      <c r="C64" s="176" t="str">
        <f>IFERROR(INDEX(Program_01!$B:$B,MATCH($B64,Program_01!$A:$A,0)),"")</f>
        <v>FULL TIA EAR</v>
      </c>
      <c r="D64" s="176" t="str">
        <f>IFERROR(INDEX(Program_01!$D:$D,MATCH($B64,Program_01!$A:$A,0)),"")</f>
        <v>1TB01031C10</v>
      </c>
      <c r="E64" s="176" t="str">
        <f>IFERROR(INDEX(Program_01!$E:$E,MATCH($B64,Program_01!$A:$A,0)),"")</f>
        <v>1.TB.01.031.10</v>
      </c>
      <c r="F64" s="176" t="str">
        <f>IFERROR(INDEX(Program_01!$F:$F,MATCH($B64,Program_01!$A:$A,0)),"")</f>
        <v>The Marina</v>
      </c>
      <c r="G64" s="176" t="str">
        <f>IFERROR(INDEX(Program_01!$G:$G,MATCH($B64,Program_01!$A:$A,0)),"")</f>
        <v>Design, Engineering, Procurement and Construction of Floating Pontoons for a The Marina at AMAALA Triple Bay</v>
      </c>
      <c r="H64" s="176" t="str">
        <f>IFERROR(INDEX(Program_01!$H:$H,MATCH($B64,Program_01!$A:$A,0)),"")</f>
        <v xml:space="preserve">MME Marine Engineering LLC </v>
      </c>
      <c r="I64" s="176" t="str">
        <f t="shared" si="11"/>
        <v>EOT</v>
      </c>
      <c r="J64" s="176">
        <f>IFERROR(INDEX(Program_01!$I:$I,MATCH($B64,Program_01!$A:$A,0)),"")</f>
        <v>1</v>
      </c>
      <c r="K64" s="176">
        <f>IFERROR(INDEX(Program_01!$J:$J,MATCH($B64,Program_01!$A:$A,0)),"")</f>
        <v>0</v>
      </c>
      <c r="L64" s="176">
        <f>IFERROR(INDEX(Program_01!$K:$K,MATCH($B64,Program_01!$A:$A,0)),"")</f>
        <v>0</v>
      </c>
      <c r="M64" s="176">
        <f>IFERROR(INDEX(Program_01!$L:$L,MATCH($B64,Program_01!$A:$A,0)),"")</f>
        <v>0</v>
      </c>
      <c r="N64" s="176">
        <f>IFERROR(INDEX(Program_01!$L:$L,MATCH($B64,Program_01!$A:$A,0)),"")</f>
        <v>0</v>
      </c>
      <c r="O64" s="176">
        <f>IFERROR(INDEX(Program_01!$N:$N,MATCH($B64,Program_01!$A:$A,0)),"")</f>
        <v>0</v>
      </c>
      <c r="P64" s="178"/>
      <c r="Q64" s="179" t="str">
        <f>IFERROR(INDEX(Program_01!$C:$C,MATCH($B64,Program_01!$A:$A,0)),"")</f>
        <v>TB Marina Project - Request for Extension of Time</v>
      </c>
      <c r="R64" s="176" t="str">
        <f>IFERROR(INDEX(Program_01!$V:$V,MATCH($B64,Program_01!$A:$A,0)),"")</f>
        <v>MME01031-TRANSMIT-000042
1TB01031-031C10-MME-LTR-0015</v>
      </c>
      <c r="S64" s="180">
        <f>IFERROR(INDEX(Program_01!$W:$W,MATCH($B64,Program_01!$A:$A,0)),"")</f>
        <v>45616</v>
      </c>
      <c r="T64" s="178"/>
      <c r="U64" s="176" t="str">
        <f>IFERROR(INDEX(Program_01!$Z:$Z,MATCH($B64,Program_01!$A:$A,0)),"")</f>
        <v>AMA01031-GENCORR-000929</v>
      </c>
      <c r="V64" s="181">
        <f>IFERROR(INDEX(Program_01!$AA:$AA,MATCH($B64,Program_01!$A:$A,0)),"")</f>
        <v>45617</v>
      </c>
      <c r="W64" s="182">
        <f t="shared" ca="1" si="0"/>
        <v>1</v>
      </c>
      <c r="X64" s="51"/>
      <c r="Y64" s="179">
        <f>IFERROR(INDEX(Program_01!$BD:$BD,MATCH($B64,Program_01!$A:$A,0)),"")</f>
        <v>0</v>
      </c>
      <c r="Z64" s="51"/>
      <c r="AA64" s="183" t="str">
        <f>IFERROR(IF((INDEX(Program_01!$AD:$AD,MATCH($B64,Program_01!$A:$A,0))=""),INDEX(Program_01!$V:$V,MATCH($B64,Program_01!$A:$A,0)),INDEX(Program_01!$AD:$AD,MATCH($B64,Program_01!$A:$A,0))),"")</f>
        <v>MME01031-TRANSMIT-000043
1TB01031-031C10-MME-LTR-0015</v>
      </c>
      <c r="AB64" s="147">
        <f>IFERROR(IF((INDEX(Program_01!$AE:$AE,MATCH($B64,Program_01!$A:$A,0))=""),INDEX(Program_01!$W:$W,MATCH($B64,Program_01!$A:$A,0)),INDEX(Program_01!$AE:$AE,MATCH($B64,Program_01!$A:$A,0))),"")</f>
        <v>45619</v>
      </c>
      <c r="AC64" s="183" t="str">
        <f>IFERROR(IF($I64="EOT",INDEX(Program_01!$AN:$AN,MATCH($B64,Program_01!$A:$A,0)),INDEX(Program_01!$AY:$AY,MATCH($B64,Program_01!$A:$A,0))),"")</f>
        <v xml:space="preserve">1TB01031-031C10-AMA-LTR-0029 </v>
      </c>
      <c r="AD64" s="181">
        <f>IFERROR(IF($I64="EOT",INDEX(Program_01!$AO:$AO,MATCH($B64,Program_01!$A:$A,0)),INDEX(Program_01!$AZ:$AZ,MATCH($B64,Program_01!$A:$A,0))),"")</f>
        <v>45721</v>
      </c>
      <c r="AE64" s="51"/>
      <c r="AF64" s="183"/>
      <c r="AG64" s="181"/>
      <c r="AH64" s="183" t="str">
        <f>IF(OR($D64="",$AS64="VO Issued",$AS64="Open"),"",IF(OR($AC64="Rejected",$AC64="Superseded",$AC64="Dealt Separately"),$AC64,IF($I64="EOT",INDEX(Program_01!$AR:$AR,MATCH($B64,Program_01!$A:$A,0)),INDEX(Program_01!$BB:$BB,MATCH($B64,Program_01!$A:$A,0)))))</f>
        <v>1TB01031-031C10-AMA-EMI-PM-0001</v>
      </c>
      <c r="AI64" s="181">
        <f>IF(OR($A64="",$B64="",$I64="",$AS64="VO Issued",$AS64="Open"),"",IF(OR($AD64="N/A"),$AD64,IF($I64="EOT",INDEX(Program_01!$AS:$AS,MATCH($B64,Program_01!$A:$A,0)),INDEX(Program_01!$BC:$BC,MATCH($B64,Program_01!$A:$A,0)))))</f>
        <v>45787</v>
      </c>
      <c r="AJ64" s="183" t="str">
        <f>IF(OR($D64="",$I64="",$AS64="Determination Issued",$AS64="Rejected",$AS64="Open"),"",IF(OR($AH64="Rejected",$AH64="Dealt Separately",$AH64="Superseded",$AH64="Withdrawn"),"N/A",IF($I64="EOT",INDEX(Program_01!AR:AR,MATCH($B64,Program_01!A:A,0)),INDEX(Program_01!BB:BB,MATCH($B64,Program_01!A:A,0)))))</f>
        <v>1TB01031-031C10-AMA-EMI-PM-0001</v>
      </c>
      <c r="AK64" s="181">
        <f>IF(OR($A64="",$B64="",$I64="",$AS64="Determination Issued",$AS64="Rejected",$AS64="Open"),"",IF($AJ64="N/A","N/A",IF($I64="EOT",INDEX(Program_01!AS:AS,MATCH($B64,Program_01!A:A,0)),INDEX(Program_01!BC:BC,MATCH($B64,Program_01!A:A,0)))))</f>
        <v>45787</v>
      </c>
      <c r="AL64" s="51"/>
      <c r="AM64" s="184">
        <f>IFERROR(INDEX(Program_01!$BT:$BT,MATCH($B64,Program_01!$A:$A,0)),"")</f>
        <v>0</v>
      </c>
      <c r="AN64" s="184">
        <f>IFERROR(INDEX(Program_01!$BU:$BU,MATCH($B64,Program_01!$A:$A,0)),"")</f>
        <v>0</v>
      </c>
      <c r="AO64" s="184">
        <f>IFERROR(INDEX(Program_01!$BV:$BV,MATCH($B64,Program_01!$A:$A,0)),"")</f>
        <v>0</v>
      </c>
      <c r="AP64" s="51" t="str">
        <f t="shared" si="12"/>
        <v/>
      </c>
      <c r="AQ64" s="184">
        <f>IFERROR(INDEX(Program_01!$BN:$BN,MATCH($B64,Program_01!$A:$A,0)),"")</f>
        <v>0</v>
      </c>
      <c r="AR64" s="184" t="str">
        <f>IFERROR(INDEX(Program_01!$BO:$BO,MATCH($B64,Program_01!$A:$A,0)),"")</f>
        <v>Assessment Report Issued</v>
      </c>
      <c r="AS64" s="184" t="str">
        <f>IFERROR(INDEX(Program_01!$BP:$BP,MATCH($B64,Program_01!$A:$A,0)),"")</f>
        <v>EI Issued</v>
      </c>
      <c r="AT64" s="185" t="str">
        <f>IFERROR(INDEX(Program_01!$BQ:$BQ,MATCH($B64,Program_01!$A:$A,0)),"")</f>
        <v>Closed</v>
      </c>
      <c r="AU64" s="179" t="str">
        <f>IFERROR(INDEX(Program_01!$BR:$BR,MATCH($B64,Program_01!$A:$A,0)),"")</f>
        <v>22 Jan 25: Report sent to commercial for further updation as per planning's comments. report also need to capture the optimized design, implementation of accelerated measures &amp; the negative cost impact. Commercial team requested delivery team to provide necessary supporting documentation related to the chronology of events
25 Jan 25: action with planning proceed with the TIA. 
27 Jan 25: Ditto, Targeted to revert by end of this week
05 Feb 25: Report sent back to commercial on 03 Feb 25
09 Feb 25: Final Draft report with claims team for approval (Sent KM on 11 Feb 25)
13 Feb 25: EOT report approved by claims, report now put in WF (WF-012746)
22 Feb 25: WF still in progress
05 Mar 25: EAR issued to contractor via letter 1TB01031-031C10-AMA-LTR-0029 
10 Mar 25: awaiting acceptance from contractor
14 Mar 25: confirmation of acceptance of EAR recieved from the contrator.
09 Apr 25: Commercial to issue EI awarding the EOT 
20 Apr 25: No EI required as there is no Cost impact
EI for Time to be issued in order to formally close this line item, commercial to check if EI is required or not
04 May 25:EI is currently on WF 013444 for approval
10 May 25: EI issued to contractor</v>
      </c>
      <c r="AV64" s="186" t="str">
        <f t="shared" si="1"/>
        <v/>
      </c>
      <c r="AW64" s="186" t="str">
        <f t="shared" si="13"/>
        <v>CLOSED</v>
      </c>
      <c r="AX64" s="186" t="str">
        <f t="shared" si="2"/>
        <v>CLOSED</v>
      </c>
      <c r="AY64" s="181">
        <f t="shared" si="14"/>
        <v>45619</v>
      </c>
      <c r="AZ64" s="181">
        <f t="shared" si="27"/>
        <v>45721</v>
      </c>
      <c r="BA64" s="181">
        <f t="shared" si="4"/>
        <v>45787</v>
      </c>
      <c r="BC64" s="181">
        <f>IFERROR(INDEX(Program_01!BF:BF,MATCH($B64,Program_01!$A:$A,0)),"")</f>
        <v>45619</v>
      </c>
      <c r="BD64" s="188" t="str">
        <f ca="1">IFERROR(INDEX(Program_01!BG:BG,MATCH($B64,Program_01!$A:$A,0)),"")</f>
        <v>N/A</v>
      </c>
      <c r="BE64" s="181">
        <f>IFERROR(INDEX(Program_01!BH:BH,MATCH($B64,Program_01!$A:$A,0)),"")</f>
        <v>0</v>
      </c>
      <c r="BF64" s="189">
        <f ca="1">IFERROR(INDEX(Program_01!BI:BI,MATCH($B64,Program_01!$A:$A,0)),"")</f>
        <v>0</v>
      </c>
      <c r="BG64" s="181">
        <f>IFERROR(INDEX(Program_01!BJ:BJ,MATCH($B64,Program_01!$A:$A,0)),"")</f>
        <v>0</v>
      </c>
      <c r="BH64" s="189">
        <f ca="1">IFERROR(INDEX(Program_01!BK:BK,MATCH($B64,Program_01!$A:$A,0)),"")</f>
        <v>0</v>
      </c>
      <c r="BI64" s="181">
        <f>IFERROR(INDEX(Program_01!BL:BL,MATCH($B64,Program_01!$A:$A,0)),"")</f>
        <v>0</v>
      </c>
      <c r="BK64" s="190">
        <f>IFERROR(IF(INDEX(Program_01!$BX:$BX,MATCH($B64,Program_01!$A:$A,0))=DATE(1900,1,0),"",INDEX(Program_01!$BX:$BX,MATCH($B64,Program_01!$A:$A,0))),"")</f>
        <v>45721</v>
      </c>
      <c r="BL64" s="190" t="str">
        <f>IFERROR(IF(INDEX(Program_01!$BY:$BY,MATCH($B64,Program_01!$A:$A,0))=DATE(1900,1,0),"",INDEX(Program_01!$BY:$BY,MATCH($B64,Program_01!$A:$A,0))),"")</f>
        <v/>
      </c>
      <c r="BM64" s="188">
        <f t="shared" ca="1" si="15"/>
        <v>102</v>
      </c>
      <c r="BN64" s="191">
        <f t="shared" ca="1" si="16"/>
        <v>102</v>
      </c>
      <c r="BO64" s="188">
        <f t="shared" ca="1" si="5"/>
        <v>102</v>
      </c>
      <c r="BP64" s="188" t="str">
        <f t="shared" si="6"/>
        <v>1</v>
      </c>
      <c r="BQ64" s="188" t="str">
        <f t="shared" ca="1" si="17"/>
        <v/>
      </c>
      <c r="BR64" s="181" t="str">
        <f t="shared" ca="1" si="28"/>
        <v/>
      </c>
      <c r="BT64" s="190" t="str">
        <f>IFERROR(IF(INDEX(Program_01!$BZ:$BZ,MATCH($B64,Program_01!$A:$A,0))=DATE(1900,1,0),"",INDEX(Program_01!$BZ:$BZ,MATCH($B64,Program_01!$A:$A,0))),"")</f>
        <v/>
      </c>
      <c r="BU64" s="182" t="str">
        <f t="shared" ca="1" si="22"/>
        <v/>
      </c>
      <c r="BV64" s="188" t="str">
        <f t="shared" si="7"/>
        <v/>
      </c>
      <c r="BW64" s="188" t="str">
        <f t="shared" si="8"/>
        <v>1</v>
      </c>
      <c r="BX64" s="188" t="str">
        <f t="shared" ca="1" si="9"/>
        <v/>
      </c>
      <c r="BY64" s="181" t="str">
        <f t="shared" ca="1" si="29"/>
        <v/>
      </c>
      <c r="CA64" s="192" t="str">
        <f t="shared" si="20"/>
        <v>Y</v>
      </c>
      <c r="CB64" s="192" t="str">
        <f t="shared" si="21"/>
        <v>N</v>
      </c>
      <c r="CC64" s="193">
        <f>IFERROR(INDEX(Program_01!$CE:$CE,MATCH($B64,Program_01!$A:$A,0)),"")</f>
        <v>45636</v>
      </c>
      <c r="CD64" s="193">
        <f t="shared" si="26"/>
        <v>45636</v>
      </c>
      <c r="CG64" s="194">
        <f>IFERROR(INDEX(Program_01!$AT:$AT,MATCH($B64,Program_01!$A:$A,0)),"")</f>
        <v>0</v>
      </c>
      <c r="CH64" s="194">
        <f>IFERROR(INDEX(Program_01!$AX:$AX,MATCH($B64,Program_01!$A:$A,0)),"")</f>
        <v>0</v>
      </c>
    </row>
    <row r="65" spans="1:86" s="187" customFormat="1" ht="409" customHeight="1">
      <c r="A65" s="174" t="s">
        <v>1</v>
      </c>
      <c r="B65" s="175">
        <v>47</v>
      </c>
      <c r="C65" s="176" t="str">
        <f>IFERROR(INDEX(Program_01!$B:$B,MATCH($B65,Program_01!$A:$A,0)),"")</f>
        <v>FULL TIA EAR</v>
      </c>
      <c r="D65" s="176" t="str">
        <f>IFERROR(INDEX(Program_01!$D:$D,MATCH($B65,Program_01!$A:$A,0)),"")</f>
        <v>1TB01009C19</v>
      </c>
      <c r="E65" s="176" t="str">
        <f>IFERROR(INDEX(Program_01!$E:$E,MATCH($B65,Program_01!$A:$A,0)),"")</f>
        <v>1.TB.01.009.01</v>
      </c>
      <c r="F65" s="176" t="str">
        <f>IFERROR(INDEX(Program_01!$F:$F,MATCH($B65,Program_01!$A:$A,0)),"")</f>
        <v>Marina Hotel 3</v>
      </c>
      <c r="G65" s="176" t="str">
        <f>IFERROR(INDEX(Program_01!$G:$G,MATCH($B65,Program_01!$A:$A,0)),"")</f>
        <v>Lime Rendering Works for Marina Hotel 3</v>
      </c>
      <c r="H65" s="176" t="str">
        <f>IFERROR(INDEX(Program_01!$H:$H,MATCH($B65,Program_01!$A:$A,0)),"")</f>
        <v>Hassan Allam Construction Saudi Limited</v>
      </c>
      <c r="I65" s="176" t="str">
        <f t="shared" si="11"/>
        <v>EOT</v>
      </c>
      <c r="J65" s="176">
        <f>IFERROR(INDEX(Program_01!$I:$I,MATCH($B65,Program_01!$A:$A,0)),"")</f>
        <v>1</v>
      </c>
      <c r="K65" s="176">
        <f>IFERROR(INDEX(Program_01!$J:$J,MATCH($B65,Program_01!$A:$A,0)),"")</f>
        <v>0</v>
      </c>
      <c r="L65" s="176">
        <f>IFERROR(INDEX(Program_01!$K:$K,MATCH($B65,Program_01!$A:$A,0)),"")</f>
        <v>0</v>
      </c>
      <c r="M65" s="176">
        <f>IFERROR(INDEX(Program_01!$L:$L,MATCH($B65,Program_01!$A:$A,0)),"")</f>
        <v>0</v>
      </c>
      <c r="N65" s="176">
        <f>IFERROR(INDEX(Program_01!$L:$L,MATCH($B65,Program_01!$A:$A,0)),"")</f>
        <v>0</v>
      </c>
      <c r="O65" s="176">
        <f>IFERROR(INDEX(Program_01!$N:$N,MATCH($B65,Program_01!$A:$A,0)),"")</f>
        <v>0</v>
      </c>
      <c r="P65" s="178"/>
      <c r="Q65" s="179" t="str">
        <f>IFERROR(INDEX(Program_01!$C:$C,MATCH($B65,Program_01!$A:$A,0)),"")</f>
        <v>Extension of Time - Claim No. 01</v>
      </c>
      <c r="R65" s="176" t="str">
        <f>IFERROR(INDEX(Program_01!$V:$V,MATCH($B65,Program_01!$A:$A,0)),"")</f>
        <v>1TB01009-009C19-HAM-LTR-0017 dated 02 Dec 24
1TB01009-009C19-HAM-LTR-0024</v>
      </c>
      <c r="S65" s="180">
        <f>IFERROR(INDEX(Program_01!$W:$W,MATCH($B65,Program_01!$A:$A,0)),"")</f>
        <v>45675</v>
      </c>
      <c r="T65" s="178"/>
      <c r="U65" s="176" t="str">
        <f>IFERROR(INDEX(Program_01!$Z:$Z,MATCH($B65,Program_01!$A:$A,0)),"")</f>
        <v>1TB01009-009C19-AMA-LTR-0043</v>
      </c>
      <c r="V65" s="181">
        <f>IFERROR(INDEX(Program_01!$AA:$AA,MATCH($B65,Program_01!$A:$A,0)),"")</f>
        <v>45733</v>
      </c>
      <c r="W65" s="182">
        <f t="shared" ca="1" si="0"/>
        <v>58</v>
      </c>
      <c r="X65" s="51"/>
      <c r="Y65" s="179">
        <f>IFERROR(INDEX(Program_01!$BD:$BD,MATCH($B65,Program_01!$A:$A,0)),"")</f>
        <v>0</v>
      </c>
      <c r="Z65" s="51"/>
      <c r="AA65" s="183" t="str">
        <f>IFERROR(IF((INDEX(Program_01!$AD:$AD,MATCH($B65,Program_01!$A:$A,0))=""),INDEX(Program_01!$V:$V,MATCH($B65,Program_01!$A:$A,0)),INDEX(Program_01!$AD:$AD,MATCH($B65,Program_01!$A:$A,0))),"")</f>
        <v>1TB01009-009C19-HAM-LTR-0040 on 27 May 25
1TB01009-009C19-HAM-LTR-0044 on 23 Oct 25
1TB01009-009C19-HAM-LTR-0049 on 21 Jan 26
1TB01009-009C19-HAM-LTR-0057 on 13 May 26
1TB01009-009C19-HAM-LTR-0062</v>
      </c>
      <c r="AB65" s="147">
        <f>IFERROR(IF((INDEX(Program_01!$AE:$AE,MATCH($B65,Program_01!$A:$A,0))=""),INDEX(Program_01!$W:$W,MATCH($B65,Program_01!$A:$A,0)),INDEX(Program_01!$AE:$AE,MATCH($B65,Program_01!$A:$A,0))),"")</f>
        <v>46218</v>
      </c>
      <c r="AC65" s="183">
        <f>IFERROR(IF($I65="EOT",INDEX(Program_01!$AN:$AN,MATCH($B65,Program_01!$A:$A,0)),INDEX(Program_01!$AY:$AY,MATCH($B65,Program_01!$A:$A,0))),"")</f>
        <v>0</v>
      </c>
      <c r="AD65" s="181">
        <f>IFERROR(IF($I65="EOT",INDEX(Program_01!$AO:$AO,MATCH($B65,Program_01!$A:$A,0)),INDEX(Program_01!$AZ:$AZ,MATCH($B65,Program_01!$A:$A,0))),"")</f>
        <v>0</v>
      </c>
      <c r="AE65" s="51"/>
      <c r="AF65" s="183"/>
      <c r="AG65" s="181"/>
      <c r="AH65" s="183" t="str">
        <f>IF(OR($D65="",$AS65="VO Issued",$AS65="Open"),"",IF(OR($AC65="Rejected",$AC65="Superseded",$AC65="Dealt Separately"),$AC65,IF($I65="EOT",INDEX(Program_01!$AR:$AR,MATCH($B65,Program_01!$A:$A,0)),INDEX(Program_01!$BB:$BB,MATCH($B65,Program_01!$A:$A,0)))))</f>
        <v/>
      </c>
      <c r="AI65" s="181" t="str">
        <f>IF(OR($A65="",$B65="",$I65="",$AS65="VO Issued",$AS65="Open"),"",IF(OR($AD65="N/A"),$AD65,IF($I65="EOT",INDEX(Program_01!$AS:$AS,MATCH($B65,Program_01!$A:$A,0)),INDEX(Program_01!$BC:$BC,MATCH($B65,Program_01!$A:$A,0)))))</f>
        <v/>
      </c>
      <c r="AJ65" s="183" t="str">
        <f>IF(OR($D65="",$I65="",$AS65="Determination Issued",$AS65="Rejected",$AS65="Open"),"",IF(OR($AH65="Rejected",$AH65="Dealt Separately",$AH65="Superseded",$AH65="Withdrawn"),"N/A",IF($I65="EOT",INDEX(Program_01!AR:AR,MATCH($B65,Program_01!A:A,0)),INDEX(Program_01!BB:BB,MATCH($B65,Program_01!A:A,0)))))</f>
        <v/>
      </c>
      <c r="AK65" s="181" t="str">
        <f>IF(OR($A65="",$B65="",$I65="",$AS65="Determination Issued",$AS65="Rejected",$AS65="Open"),"",IF($AJ65="N/A","N/A",IF($I65="EOT",INDEX(Program_01!AS:AS,MATCH($B65,Program_01!A:A,0)),INDEX(Program_01!BC:BC,MATCH($B65,Program_01!A:A,0)))))</f>
        <v/>
      </c>
      <c r="AL65" s="51"/>
      <c r="AM65" s="184">
        <f>IFERROR(INDEX(Program_01!$BT:$BT,MATCH($B65,Program_01!$A:$A,0)),"")</f>
        <v>0</v>
      </c>
      <c r="AN65" s="184">
        <f>IFERROR(INDEX(Program_01!$BU:$BU,MATCH($B65,Program_01!$A:$A,0)),"")</f>
        <v>0</v>
      </c>
      <c r="AO65" s="184">
        <f>IFERROR(INDEX(Program_01!$BV:$BV,MATCH($B65,Program_01!$A:$A,0)),"")</f>
        <v>0</v>
      </c>
      <c r="AP65" s="51" t="str">
        <f t="shared" si="12"/>
        <v/>
      </c>
      <c r="AQ65" s="184">
        <f>IFERROR(INDEX(Program_01!$BN:$BN,MATCH($B65,Program_01!$A:$A,0)),"")</f>
        <v>0</v>
      </c>
      <c r="AR65" s="184" t="str">
        <f>IFERROR(INDEX(Program_01!$BO:$BO,MATCH($B65,Program_01!$A:$A,0)),"")</f>
        <v>Pending</v>
      </c>
      <c r="AS65" s="184" t="str">
        <f>IFERROR(INDEX(Program_01!$BP:$BP,MATCH($B65,Program_01!$A:$A,0)),"")</f>
        <v>Open</v>
      </c>
      <c r="AT65" s="185" t="str">
        <f>IFERROR(INDEX(Program_01!$BQ:$BQ,MATCH($B65,Program_01!$A:$A,0)),"")</f>
        <v>Commercial Team</v>
      </c>
      <c r="AU65" s="179" t="str">
        <f>IFERROR(INDEX(Program_01!$BR:$BR,MATCH($B65,Program_01!$A:$A,0)),"")</f>
        <v>17 Nov 25: The Contractor replied to the Rate of Progress letter refuting to submit Revised Programme until receipt of determination on the submitted EOT Claim, Target date for EAR moved to 11 Dec 2025
01 Dec 25: Ditto
13 Dec 25: EAR shall be issued to Claims for review by 15 Jan 26
12 Jan 26: Target date to conclude the EAR by 18 Mar 26
21 Jan 26: Contractor resubmitted their updated EOT Claim, ref.  1TB01009-009C19-HAM-LTR-0049 on 21 Jan 2026. 
27 Jan 26: Shall be reviewed and EAR shall be prepared. Target date 18 Mar 26.
09 Feb 26: Ditto
22 Feb 26: Ditto
24 Feb 26: Response issued on 15 Feb 26: AMA01009-GENCORR-005991
08 March 26: Response was issued on 07 March 26: AMA01009-GENCORR-006049
06 Apr 26: Revised submission, addressing the Employer comments is awaited.
20 Apr 26: Ditto, commercial to issue a follow up letter
02 May 26: Follow up letter issued to contractor via 1TB01009-009C19-AMA-LTR-0073
04 May 26: Awaiting response from Contractor.
18 May 26: Contractor Response received on 13 May 26 ref 1TB01009-009C19-HAM-LTR-0057. To be reviewed and process further. EAR Targeted to submit for claims review by 15 June 2026.
31 May 26: Ditto
04 Jun 26: Ditto
15 Jun 26:Target date moved to TBC
29 June 26: Traget date moved to TBC, Kumar to advise
13 Jul 26: Works are forecasted to be completed by first week of August 2026. Contractor has verbally confirmed to update and resubmit his EOT once the works are complete, so that a final and comprehensive assessment can be completed. Formal letter shall be issued by 14 Jul 26. 
25 Jul 26: Contractor has resubmitted its EOT (1TB01009-009C19-HAM-LTR-0062 on 15 Jul 26). Planning has no comments. Initial commercial comments if any shall be issued by 8 Aug 26. If no comments, EAR shall be prepared by 30 Aug 26
10 Aug 26: Review is being done. EAR target date remains same (30 Aug 26)
24 Aug 26: Ditto
5 Sep 26: Target date deferred to 30 Sep 26
21 Sep 26: Ditto
04 Oct 26: Contractor has revised and resubmitted its EOT 01 (1TB01009-009C19-HAM-LTR-0067 on 19 September 26) with updated cut-off date of 31 Aug 26.Accordingly, EAR for Merit &amp; Chronology (Pre-TIA) target date is revised to 25 Oct 26.</v>
      </c>
      <c r="AV65" s="186" t="str">
        <f t="shared" si="1"/>
        <v/>
      </c>
      <c r="AW65" s="186" t="str">
        <f t="shared" si="13"/>
        <v>OPEN</v>
      </c>
      <c r="AX65" s="186" t="str">
        <f t="shared" si="2"/>
        <v>OPEN</v>
      </c>
      <c r="AY65" s="181">
        <f t="shared" si="14"/>
        <v>46218</v>
      </c>
      <c r="AZ65" s="181" t="str">
        <f t="shared" si="27"/>
        <v/>
      </c>
      <c r="BA65" s="181" t="str">
        <f t="shared" si="4"/>
        <v/>
      </c>
      <c r="BC65" s="181">
        <f>IFERROR(INDEX(Program_01!BF:BF,MATCH($B65,Program_01!$A:$A,0)),"")</f>
        <v>46218</v>
      </c>
      <c r="BD65" s="188">
        <f ca="1">IFERROR(INDEX(Program_01!BG:BG,MATCH($B65,Program_01!$A:$A,0)),"")</f>
        <v>82</v>
      </c>
      <c r="BE65" s="181">
        <f>IFERROR(INDEX(Program_01!BH:BH,MATCH($B65,Program_01!$A:$A,0)),"")</f>
        <v>0</v>
      </c>
      <c r="BF65" s="189">
        <f ca="1">IFERROR(INDEX(Program_01!BI:BI,MATCH($B65,Program_01!$A:$A,0)),"")</f>
        <v>0</v>
      </c>
      <c r="BG65" s="181">
        <f>IFERROR(INDEX(Program_01!BJ:BJ,MATCH($B65,Program_01!$A:$A,0)),"")</f>
        <v>0</v>
      </c>
      <c r="BH65" s="189">
        <f ca="1">IFERROR(INDEX(Program_01!BK:BK,MATCH($B65,Program_01!$A:$A,0)),"")</f>
        <v>0</v>
      </c>
      <c r="BI65" s="181">
        <f>IFERROR(INDEX(Program_01!BL:BL,MATCH($B65,Program_01!$A:$A,0)),"")</f>
        <v>0</v>
      </c>
      <c r="BK65" s="190" t="str">
        <f>IFERROR(IF(INDEX(Program_01!$BX:$BX,MATCH($B65,Program_01!$A:$A,0))=DATE(1900,1,0),"",INDEX(Program_01!$BX:$BX,MATCH($B65,Program_01!$A:$A,0))),"")</f>
        <v/>
      </c>
      <c r="BL65" s="190" t="str">
        <f>IFERROR(IF(INDEX(Program_01!$BY:$BY,MATCH($B65,Program_01!$A:$A,0))=DATE(1900,1,0),"",INDEX(Program_01!$BY:$BY,MATCH($B65,Program_01!$A:$A,0))),"")</f>
        <v/>
      </c>
      <c r="BM65" s="188" t="str">
        <f t="shared" ca="1" si="15"/>
        <v/>
      </c>
      <c r="BN65" s="191">
        <f t="shared" ca="1" si="16"/>
        <v>82</v>
      </c>
      <c r="BO65" s="188" t="str">
        <f t="shared" si="5"/>
        <v/>
      </c>
      <c r="BP65" s="188" t="str">
        <f t="shared" si="6"/>
        <v/>
      </c>
      <c r="BQ65" s="188" t="str">
        <f t="shared" ca="1" si="17"/>
        <v/>
      </c>
      <c r="BR65" s="181" t="str">
        <f t="shared" ca="1" si="28"/>
        <v/>
      </c>
      <c r="BT65" s="190" t="str">
        <f>IFERROR(IF(INDEX(Program_01!$BZ:$BZ,MATCH($B65,Program_01!$A:$A,0))=DATE(1900,1,0),"",INDEX(Program_01!$BZ:$BZ,MATCH($B65,Program_01!$A:$A,0))),"")</f>
        <v/>
      </c>
      <c r="BU65" s="182" t="str">
        <f t="shared" ca="1" si="22"/>
        <v/>
      </c>
      <c r="BV65" s="188" t="str">
        <f t="shared" si="7"/>
        <v/>
      </c>
      <c r="BW65" s="188" t="str">
        <f t="shared" si="8"/>
        <v/>
      </c>
      <c r="BX65" s="188" t="str">
        <f t="shared" ca="1" si="9"/>
        <v/>
      </c>
      <c r="BY65" s="181" t="str">
        <f t="shared" ca="1" si="29"/>
        <v/>
      </c>
      <c r="CA65" s="192" t="str">
        <f t="shared" si="20"/>
        <v>N</v>
      </c>
      <c r="CB65" s="192" t="str">
        <f t="shared" si="21"/>
        <v>N</v>
      </c>
      <c r="CC65" s="193">
        <f>IFERROR(INDEX(Program_01!$CE:$CE,MATCH($B65,Program_01!$A:$A,0)),"")</f>
        <v>45641</v>
      </c>
      <c r="CD65" s="193">
        <v>45641</v>
      </c>
      <c r="CG65" s="194">
        <f>IFERROR(INDEX(Program_01!$AT:$AT,MATCH($B65,Program_01!$A:$A,0)),"")</f>
        <v>0</v>
      </c>
      <c r="CH65" s="194">
        <f>IFERROR(INDEX(Program_01!$AX:$AX,MATCH($B65,Program_01!$A:$A,0)),"")</f>
        <v>0</v>
      </c>
    </row>
    <row r="66" spans="1:86" s="187" customFormat="1" ht="409.5" customHeight="1">
      <c r="A66" s="174" t="s">
        <v>1</v>
      </c>
      <c r="B66" s="175">
        <v>48</v>
      </c>
      <c r="C66" s="176" t="str">
        <f>IFERROR(INDEX(Program_01!$B:$B,MATCH($B66,Program_01!$A:$A,0)),"")</f>
        <v>FULL TIA EAR</v>
      </c>
      <c r="D66" s="176" t="str">
        <f>IFERROR(INDEX(Program_01!$D:$D,MATCH($B66,Program_01!$A:$A,0)),"")</f>
        <v>1TB01005C24</v>
      </c>
      <c r="E66" s="176" t="str">
        <f>IFERROR(INDEX(Program_01!$E:$E,MATCH($B66,Program_01!$A:$A,0)),"")</f>
        <v>1.TB.01.005.01</v>
      </c>
      <c r="F66" s="176" t="str">
        <f>IFERROR(INDEX(Program_01!$F:$F,MATCH($B66,Program_01!$A:$A,0)),"")</f>
        <v>Red Sea Marine Life Institute</v>
      </c>
      <c r="G66" s="176" t="str">
        <f>IFERROR(INDEX(Program_01!$G:$G,MATCH($B66,Program_01!$A:$A,0)),"")</f>
        <v>Grand Reveal Basin Fitout (Rock Theming)</v>
      </c>
      <c r="H66" s="176" t="str">
        <f>IFERROR(INDEX(Program_01!$H:$H,MATCH($B66,Program_01!$A:$A,0)),"")</f>
        <v>Pangea Rocks A/S</v>
      </c>
      <c r="I66" s="176" t="str">
        <f t="shared" si="11"/>
        <v>EOT</v>
      </c>
      <c r="J66" s="176">
        <f>IFERROR(INDEX(Program_01!$I:$I,MATCH($B66,Program_01!$A:$A,0)),"")</f>
        <v>1</v>
      </c>
      <c r="K66" s="176">
        <f>IFERROR(INDEX(Program_01!$J:$J,MATCH($B66,Program_01!$A:$A,0)),"")</f>
        <v>0</v>
      </c>
      <c r="L66" s="176">
        <f>IFERROR(INDEX(Program_01!$K:$K,MATCH($B66,Program_01!$A:$A,0)),"")</f>
        <v>0</v>
      </c>
      <c r="M66" s="176">
        <f>IFERROR(INDEX(Program_01!$L:$L,MATCH($B66,Program_01!$A:$A,0)),"")</f>
        <v>0</v>
      </c>
      <c r="N66" s="176">
        <f>IFERROR(INDEX(Program_01!$L:$L,MATCH($B66,Program_01!$A:$A,0)),"")</f>
        <v>0</v>
      </c>
      <c r="O66" s="176">
        <f>IFERROR(INDEX(Program_01!$N:$N,MATCH($B66,Program_01!$A:$A,0)),"")</f>
        <v>0</v>
      </c>
      <c r="P66" s="178"/>
      <c r="Q66" s="179" t="str">
        <f>IFERROR(INDEX(Program_01!$C:$C,MATCH($B66,Program_01!$A:$A,0)),"")</f>
        <v>Extension of Time - Claim No. 01 (DEOT)</v>
      </c>
      <c r="R66" s="176" t="str">
        <f>IFERROR(INDEX(Program_01!$V:$V,MATCH($B66,Program_01!$A:$A,0)),"")</f>
        <v>1TB01005-005C24-PRA-LTR-0007</v>
      </c>
      <c r="S66" s="180">
        <f>IFERROR(INDEX(Program_01!$W:$W,MATCH($B66,Program_01!$A:$A,0)),"")</f>
        <v>45628</v>
      </c>
      <c r="T66" s="178"/>
      <c r="U66" s="176" t="str">
        <f>IFERROR(INDEX(Program_01!$Z:$Z,MATCH($B66,Program_01!$A:$A,0)),"")</f>
        <v>1TB01005-005C24-AMA-LTR-0027</v>
      </c>
      <c r="V66" s="181">
        <f>IFERROR(INDEX(Program_01!$AA:$AA,MATCH($B66,Program_01!$A:$A,0)),"")</f>
        <v>45642</v>
      </c>
      <c r="W66" s="182">
        <f t="shared" ca="1" si="0"/>
        <v>14</v>
      </c>
      <c r="X66" s="51"/>
      <c r="Y66" s="179">
        <f>IFERROR(INDEX(Program_01!$BD:$BD,MATCH($B66,Program_01!$A:$A,0)),"")</f>
        <v>0</v>
      </c>
      <c r="Z66" s="51"/>
      <c r="AA66" s="183" t="str">
        <f>IFERROR(IF((INDEX(Program_01!$AD:$AD,MATCH($B66,Program_01!$A:$A,0))=""),INDEX(Program_01!$V:$V,MATCH($B66,Program_01!$A:$A,0)),INDEX(Program_01!$AD:$AD,MATCH($B66,Program_01!$A:$A,0))),"")</f>
        <v>1TB01005-005C24-PRA-LTR-0011 dated 05 Apr 25
1TB01005-005C24-PRA-LTR-0016</v>
      </c>
      <c r="AB66" s="147">
        <f>IFERROR(IF((INDEX(Program_01!$AE:$AE,MATCH($B66,Program_01!$A:$A,0))=""),INDEX(Program_01!$W:$W,MATCH($B66,Program_01!$A:$A,0)),INDEX(Program_01!$AE:$AE,MATCH($B66,Program_01!$A:$A,0))),"")</f>
        <v>45851</v>
      </c>
      <c r="AC66" s="183" t="str">
        <f>IFERROR(IF($I66="EOT",INDEX(Program_01!$AN:$AN,MATCH($B66,Program_01!$A:$A,0)),INDEX(Program_01!$AY:$AY,MATCH($B66,Program_01!$A:$A,0))),"")</f>
        <v xml:space="preserve">1TB01005-005C24-AMA-LTR-0042 </v>
      </c>
      <c r="AD66" s="181">
        <f>IFERROR(IF($I66="EOT",INDEX(Program_01!$AO:$AO,MATCH($B66,Program_01!$A:$A,0)),INDEX(Program_01!$AZ:$AZ,MATCH($B66,Program_01!$A:$A,0))),"")</f>
        <v>46015</v>
      </c>
      <c r="AE66" s="51"/>
      <c r="AF66" s="183"/>
      <c r="AG66" s="181"/>
      <c r="AH66" s="183">
        <f>IF(OR($D66="",$AS66="VO Issued",$AS66="Open"),"",IF(OR($AC66="Rejected",$AC66="Superseded",$AC66="Dealt Separately"),$AC66,IF($I66="EOT",INDEX(Program_01!$AR:$AR,MATCH($B66,Program_01!$A:$A,0)),INDEX(Program_01!$BB:$BB,MATCH($B66,Program_01!$A:$A,0)))))</f>
        <v>0</v>
      </c>
      <c r="AI66" s="181">
        <f>IF(OR($A66="",$B66="",$I66="",$AS66="VO Issued",$AS66="Open"),"",IF(OR($AD66="N/A"),$AD66,IF($I66="EOT",INDEX(Program_01!$AS:$AS,MATCH($B66,Program_01!$A:$A,0)),INDEX(Program_01!$BC:$BC,MATCH($B66,Program_01!$A:$A,0)))))</f>
        <v>0</v>
      </c>
      <c r="AJ66" s="183" t="str">
        <f>IF(OR($D66="",$I66="",$AS66="Determination Issued",$AS66="Rejected",$AS66="Open"),"",IF(OR($AH66="Rejected",$AH66="Dealt Separately",$AH66="Superseded",$AH66="Withdrawn"),"N/A",IF($I66="EOT",INDEX(Program_01!AR:AR,MATCH($B66,Program_01!A:A,0)),INDEX(Program_01!BB:BB,MATCH($B66,Program_01!A:A,0)))))</f>
        <v/>
      </c>
      <c r="AK66" s="181" t="str">
        <f>IF(OR($A66="",$B66="",$I66="",$AS66="Determination Issued",$AS66="Rejected",$AS66="Open"),"",IF($AJ66="N/A","N/A",IF($I66="EOT",INDEX(Program_01!AS:AS,MATCH($B66,Program_01!A:A,0)),INDEX(Program_01!BC:BC,MATCH($B66,Program_01!A:A,0)))))</f>
        <v/>
      </c>
      <c r="AL66" s="51"/>
      <c r="AM66" s="184">
        <f>IFERROR(INDEX(Program_01!$BT:$BT,MATCH($B66,Program_01!$A:$A,0)),"")</f>
        <v>0</v>
      </c>
      <c r="AN66" s="184">
        <f>IFERROR(INDEX(Program_01!$BU:$BU,MATCH($B66,Program_01!$A:$A,0)),"")</f>
        <v>0</v>
      </c>
      <c r="AO66" s="184">
        <f>IFERROR(INDEX(Program_01!$BV:$BV,MATCH($B66,Program_01!$A:$A,0)),"")</f>
        <v>0</v>
      </c>
      <c r="AP66" s="51" t="str">
        <f t="shared" si="12"/>
        <v/>
      </c>
      <c r="AQ66" s="184">
        <f>IFERROR(INDEX(Program_01!$BN:$BN,MATCH($B66,Program_01!$A:$A,0)),"")</f>
        <v>0</v>
      </c>
      <c r="AR66" s="184" t="str">
        <f>IFERROR(INDEX(Program_01!$BO:$BO,MATCH($B66,Program_01!$A:$A,0)),"")</f>
        <v>Assessment Report Issued</v>
      </c>
      <c r="AS66" s="184" t="str">
        <f>IFERROR(INDEX(Program_01!$BP:$BP,MATCH($B66,Program_01!$A:$A,0)),"")</f>
        <v>Rejected</v>
      </c>
      <c r="AT66" s="185" t="str">
        <f>IFERROR(INDEX(Program_01!$BQ:$BQ,MATCH($B66,Program_01!$A:$A,0)),"")</f>
        <v>Closed</v>
      </c>
      <c r="AU66" s="179" t="str">
        <f>IFERROR(INDEX(Program_01!$BR:$BR,MATCH($B66,Program_01!$A:$A,0)),"")</f>
        <v>11 Oct 25: Draft report sent to planning to proceed with TIA
13 Oct 25: Target date TBC
17 Oct 25: EAR issued to planning on 11 Oct 25
20 Oct 25: Planning team targeted to revert by 30 Oct 25
27 Oct 25: Target date moved to 05 Nov 25
03 Nov 25: Ditto
10 Nov 25: Target date moved to 13 Nov 25
17 Nov 25: Ditto, to be finalised and send to commercial by 17 Nov 25
19 Nov 25: TIA incorporated and sent to claims team
23 Nov 25: EAR approved and sent to commercial to initiate WF
25 Nov 25: EAR put in workflow for approval - WF-036960
14 Dec 25: EAR questioned by BE in regard to concurrent delay. NE said he would close out with BE prior to issuance to Contractor. Meeting held with planning on 14 Dec 25, commercial to updat the chronology following the meeting. NE to advise if the new WF is required.
15 Dec 25: KM confirmed that the report can be issued directly to the contractor with amendments
24 Dec 25: EAR issued to contractor via 1TB01005-005C24-AMA-LTR-0042 
09 Jan 26: Pangea have responded confirming they do not accept concurrent delay and have issued a letter to confirm the reasons why procurement of handrails, lifts and ladders were delayed.(1TB01005-005C24-PRA-LTR-0020). 
10 Jan 26: Letter forwaded to planning and claims team to advise next steps.
12 Jan 25: claims team to responde by end of the day today
20 Jan 26: planning was advised to reassess the TIA
22 Jan 26: Issued to planning on 20 Jan
28 Jan 26: TIA incorporated and issued to claims
New line Item added below under 113 as a reassessment of this EOT 01 EAR</v>
      </c>
      <c r="AV66" s="186" t="str">
        <f t="shared" si="1"/>
        <v/>
      </c>
      <c r="AW66" s="186" t="str">
        <f t="shared" si="13"/>
        <v>CLOSED</v>
      </c>
      <c r="AX66" s="186" t="str">
        <f t="shared" si="2"/>
        <v>CLOSED</v>
      </c>
      <c r="AY66" s="181">
        <f t="shared" si="14"/>
        <v>45851</v>
      </c>
      <c r="AZ66" s="181">
        <f t="shared" si="27"/>
        <v>46015</v>
      </c>
      <c r="BA66" s="181">
        <f t="shared" si="4"/>
        <v>0</v>
      </c>
      <c r="BC66" s="181">
        <f>IFERROR(INDEX(Program_01!BF:BF,MATCH($B66,Program_01!$A:$A,0)),"")</f>
        <v>45851</v>
      </c>
      <c r="BD66" s="188" t="str">
        <f ca="1">IFERROR(INDEX(Program_01!BG:BG,MATCH($B66,Program_01!$A:$A,0)),"")</f>
        <v>N/A</v>
      </c>
      <c r="BE66" s="181">
        <f>IFERROR(INDEX(Program_01!BH:BH,MATCH($B66,Program_01!$A:$A,0)),"")</f>
        <v>0</v>
      </c>
      <c r="BF66" s="189">
        <f ca="1">IFERROR(INDEX(Program_01!BI:BI,MATCH($B66,Program_01!$A:$A,0)),"")</f>
        <v>0</v>
      </c>
      <c r="BG66" s="181">
        <f>IFERROR(INDEX(Program_01!BJ:BJ,MATCH($B66,Program_01!$A:$A,0)),"")</f>
        <v>0</v>
      </c>
      <c r="BH66" s="189">
        <f ca="1">IFERROR(INDEX(Program_01!BK:BK,MATCH($B66,Program_01!$A:$A,0)),"")</f>
        <v>0</v>
      </c>
      <c r="BI66" s="181">
        <f>IFERROR(INDEX(Program_01!BL:BL,MATCH($B66,Program_01!$A:$A,0)),"")</f>
        <v>0</v>
      </c>
      <c r="BK66" s="190">
        <f>IFERROR(IF(INDEX(Program_01!$BX:$BX,MATCH($B66,Program_01!$A:$A,0))=DATE(1900,1,0),"",INDEX(Program_01!$BX:$BX,MATCH($B66,Program_01!$A:$A,0))),"")</f>
        <v>46023</v>
      </c>
      <c r="BL66" s="190" t="str">
        <f>IFERROR(IF(INDEX(Program_01!$BY:$BY,MATCH($B66,Program_01!$A:$A,0))=DATE(1900,1,0),"",INDEX(Program_01!$BY:$BY,MATCH($B66,Program_01!$A:$A,0))),"")</f>
        <v/>
      </c>
      <c r="BM66" s="188">
        <f t="shared" ca="1" si="15"/>
        <v>164</v>
      </c>
      <c r="BN66" s="191">
        <f t="shared" ca="1" si="16"/>
        <v>164</v>
      </c>
      <c r="BO66" s="188">
        <f t="shared" ca="1" si="5"/>
        <v>164</v>
      </c>
      <c r="BP66" s="188" t="str">
        <f t="shared" si="6"/>
        <v>1</v>
      </c>
      <c r="BQ66" s="188" t="str">
        <f t="shared" ca="1" si="17"/>
        <v/>
      </c>
      <c r="BR66" s="181" t="str">
        <f t="shared" ca="1" si="28"/>
        <v/>
      </c>
      <c r="BT66" s="190" t="str">
        <f>IFERROR(IF(INDEX(Program_01!$BZ:$BZ,MATCH($B66,Program_01!$A:$A,0))=DATE(1900,1,0),"",INDEX(Program_01!$BZ:$BZ,MATCH($B66,Program_01!$A:$A,0))),"")</f>
        <v/>
      </c>
      <c r="BU66" s="182" t="str">
        <f t="shared" ca="1" si="22"/>
        <v/>
      </c>
      <c r="BV66" s="188" t="str">
        <f t="shared" si="7"/>
        <v/>
      </c>
      <c r="BW66" s="188" t="str">
        <f t="shared" si="8"/>
        <v>1</v>
      </c>
      <c r="BX66" s="188" t="str">
        <f t="shared" ca="1" si="9"/>
        <v/>
      </c>
      <c r="BY66" s="181" t="str">
        <f t="shared" ca="1" si="29"/>
        <v/>
      </c>
      <c r="CA66" s="192" t="str">
        <f t="shared" si="20"/>
        <v>Y</v>
      </c>
      <c r="CB66" s="192" t="str">
        <f t="shared" si="21"/>
        <v>N</v>
      </c>
      <c r="CC66" s="193">
        <f>IFERROR(INDEX(Program_01!$CE:$CE,MATCH($B66,Program_01!$A:$A,0)),"")</f>
        <v>45641</v>
      </c>
      <c r="CD66" s="193">
        <f t="shared" ref="CD66:CD78" si="30">MAX(S66,CC66)</f>
        <v>45641</v>
      </c>
      <c r="CG66" s="194">
        <f>IFERROR(INDEX(Program_01!$AT:$AT,MATCH($B66,Program_01!$A:$A,0)),"")</f>
        <v>0</v>
      </c>
      <c r="CH66" s="194">
        <f>IFERROR(INDEX(Program_01!$AX:$AX,MATCH($B66,Program_01!$A:$A,0)),"")</f>
        <v>0</v>
      </c>
    </row>
    <row r="67" spans="1:86" s="187" customFormat="1" ht="390" customHeight="1">
      <c r="A67" s="174" t="s">
        <v>1</v>
      </c>
      <c r="B67" s="199">
        <v>49</v>
      </c>
      <c r="C67" s="176" t="str">
        <f>IFERROR(INDEX(Program_01!$B:$B,MATCH($B67,Program_01!$A:$A,0)),"")</f>
        <v>FULL TIA EAR</v>
      </c>
      <c r="D67" s="176" t="str">
        <f>IFERROR(INDEX(Program_01!$D:$D,MATCH($B67,Program_01!$A:$A,0)),"")</f>
        <v>1TB01005C06</v>
      </c>
      <c r="E67" s="176" t="str">
        <f>IFERROR(INDEX(Program_01!$E:$E,MATCH($B67,Program_01!$A:$A,0)),"")</f>
        <v>1.TB.01.005.01</v>
      </c>
      <c r="F67" s="176" t="str">
        <f>IFERROR(INDEX(Program_01!$F:$F,MATCH($B67,Program_01!$A:$A,0)),"")</f>
        <v>Red Sea Marine Life Institute</v>
      </c>
      <c r="G67" s="176" t="str">
        <f>IFERROR(INDEX(Program_01!$G:$G,MATCH($B67,Program_01!$A:$A,0)),"")</f>
        <v>Hard and Soft Landscaping Works</v>
      </c>
      <c r="H67" s="176" t="str">
        <f>IFERROR(INDEX(Program_01!$H:$H,MATCH($B67,Program_01!$A:$A,0)),"")</f>
        <v>Saudi Salco Contracting Company Co.</v>
      </c>
      <c r="I67" s="176" t="str">
        <f t="shared" si="11"/>
        <v>EOT</v>
      </c>
      <c r="J67" s="176">
        <f>IFERROR(INDEX(Program_01!$I:$I,MATCH($B67,Program_01!$A:$A,0)),"")</f>
        <v>1</v>
      </c>
      <c r="K67" s="176">
        <f>IFERROR(INDEX(Program_01!$J:$J,MATCH($B67,Program_01!$A:$A,0)),"")</f>
        <v>0</v>
      </c>
      <c r="L67" s="176">
        <f>IFERROR(INDEX(Program_01!$K:$K,MATCH($B67,Program_01!$A:$A,0)),"")</f>
        <v>0</v>
      </c>
      <c r="M67" s="176">
        <f>IFERROR(INDEX(Program_01!$L:$L,MATCH($B67,Program_01!$A:$A,0)),"")</f>
        <v>0</v>
      </c>
      <c r="N67" s="176">
        <f>IFERROR(INDEX(Program_01!$L:$L,MATCH($B67,Program_01!$A:$A,0)),"")</f>
        <v>0</v>
      </c>
      <c r="O67" s="176">
        <f>IFERROR(INDEX(Program_01!$N:$N,MATCH($B67,Program_01!$A:$A,0)),"")</f>
        <v>0</v>
      </c>
      <c r="P67" s="178"/>
      <c r="Q67" s="179" t="str">
        <f>IFERROR(INDEX(Program_01!$C:$C,MATCH($B67,Program_01!$A:$A,0)),"")</f>
        <v>Extension of Time - Claim No. 01</v>
      </c>
      <c r="R67" s="176" t="str">
        <f>IFERROR(INDEX(Program_01!$V:$V,MATCH($B67,Program_01!$A:$A,0)),"")</f>
        <v>1TB01005-005C06-SSC-LTR-0033</v>
      </c>
      <c r="S67" s="180">
        <f>IFERROR(INDEX(Program_01!$W:$W,MATCH($B67,Program_01!$A:$A,0)),"")</f>
        <v>45637</v>
      </c>
      <c r="T67" s="178"/>
      <c r="U67" s="176" t="str">
        <f>IFERROR(INDEX(Program_01!$Z:$Z,MATCH($B67,Program_01!$A:$A,0)),"")</f>
        <v>1TB01005-005C06-AMA-LTR-0048</v>
      </c>
      <c r="V67" s="181">
        <f>IFERROR(INDEX(Program_01!$AA:$AA,MATCH($B67,Program_01!$A:$A,0)),"")</f>
        <v>45657</v>
      </c>
      <c r="W67" s="182">
        <f t="shared" ca="1" si="0"/>
        <v>20</v>
      </c>
      <c r="X67" s="51"/>
      <c r="Y67" s="179" t="str">
        <f>IFERROR(INDEX(Program_01!$BD:$BD,MATCH($B67,Program_01!$A:$A,0)),"")</f>
        <v>1TB01005-005C06-SSC-LTR-0034 dated 20 Jan 25
DEOT
1TB01005-005C06-AMA-LTR-0063
(1TB01005-005C06-AMA-EMI-PM-0004) issued on 07 May 25</v>
      </c>
      <c r="Z67" s="51"/>
      <c r="AA67" s="183" t="str">
        <f>IFERROR(IF((INDEX(Program_01!$AD:$AD,MATCH($B67,Program_01!$A:$A,0))=""),INDEX(Program_01!$V:$V,MATCH($B67,Program_01!$A:$A,0)),INDEX(Program_01!$AD:$AD,MATCH($B67,Program_01!$A:$A,0))),"")</f>
        <v>1TB01005-005C06-SSC-LTR-0040 on 02 Feb 25
1TB01005-005C06-SSC-LTR-0078</v>
      </c>
      <c r="AB67" s="147">
        <f>IFERROR(IF((INDEX(Program_01!$AE:$AE,MATCH($B67,Program_01!$A:$A,0))=""),INDEX(Program_01!$W:$W,MATCH($B67,Program_01!$A:$A,0)),INDEX(Program_01!$AE:$AE,MATCH($B67,Program_01!$A:$A,0))),"")</f>
        <v>45890</v>
      </c>
      <c r="AC67" s="183" t="str">
        <f>IFERROR(IF($I67="EOT",INDEX(Program_01!$AN:$AN,MATCH($B67,Program_01!$A:$A,0)),INDEX(Program_01!$AY:$AY,MATCH($B67,Program_01!$A:$A,0))),"")</f>
        <v>1TB01005-005C06-AMA-LTR-0100</v>
      </c>
      <c r="AD67" s="181">
        <f>IFERROR(IF($I67="EOT",INDEX(Program_01!$AO:$AO,MATCH($B67,Program_01!$A:$A,0)),INDEX(Program_01!$AZ:$AZ,MATCH($B67,Program_01!$A:$A,0))),"")</f>
        <v>46014</v>
      </c>
      <c r="AE67" s="51"/>
      <c r="AF67" s="183"/>
      <c r="AG67" s="181"/>
      <c r="AH67" s="183">
        <f>IF(OR($D67="",$AS67="VO Issued",$AS67="Open"),"",IF(OR($AC67="Rejected",$AC67="Superseded",$AC67="Dealt Separately"),$AC67,IF($I67="EOT",INDEX(Program_01!$AR:$AR,MATCH($B67,Program_01!$A:$A,0)),INDEX(Program_01!$BB:$BB,MATCH($B67,Program_01!$A:$A,0)))))</f>
        <v>0</v>
      </c>
      <c r="AI67" s="181">
        <f>IF(OR($A67="",$B67="",$I67="",$AS67="VO Issued",$AS67="Open"),"",IF(OR($AD67="N/A"),$AD67,IF($I67="EOT",INDEX(Program_01!$AS:$AS,MATCH($B67,Program_01!$A:$A,0)),INDEX(Program_01!$BC:$BC,MATCH($B67,Program_01!$A:$A,0)))))</f>
        <v>0</v>
      </c>
      <c r="AJ67" s="183">
        <f>IF(OR($D67="",$I67="",$AS67="Determination Issued",$AS67="Rejected",$AS67="Open"),"",IF(OR($AH67="Rejected",$AH67="Dealt Separately",$AH67="Superseded",$AH67="Withdrawn"),"N/A",IF($I67="EOT",INDEX(Program_01!AR:AR,MATCH($B67,Program_01!A:A,0)),INDEX(Program_01!BB:BB,MATCH($B67,Program_01!A:A,0)))))</f>
        <v>0</v>
      </c>
      <c r="AK67" s="181">
        <f>IF(OR($A67="",$B67="",$I67="",$AS67="Determination Issued",$AS67="Rejected",$AS67="Open"),"",IF($AJ67="N/A","N/A",IF($I67="EOT",INDEX(Program_01!AS:AS,MATCH($B67,Program_01!A:A,0)),INDEX(Program_01!BC:BC,MATCH($B67,Program_01!A:A,0)))))</f>
        <v>0</v>
      </c>
      <c r="AL67" s="51"/>
      <c r="AM67" s="184">
        <f>IFERROR(INDEX(Program_01!$BT:$BT,MATCH($B67,Program_01!$A:$A,0)),"")</f>
        <v>0</v>
      </c>
      <c r="AN67" s="184">
        <f>IFERROR(INDEX(Program_01!$BU:$BU,MATCH($B67,Program_01!$A:$A,0)),"")</f>
        <v>0</v>
      </c>
      <c r="AO67" s="184">
        <f>IFERROR(INDEX(Program_01!$BV:$BV,MATCH($B67,Program_01!$A:$A,0)),"")</f>
        <v>0</v>
      </c>
      <c r="AP67" s="51" t="str">
        <f t="shared" si="12"/>
        <v/>
      </c>
      <c r="AQ67" s="184">
        <f>IFERROR(INDEX(Program_01!$BN:$BN,MATCH($B67,Program_01!$A:$A,0)),"")</f>
        <v>0</v>
      </c>
      <c r="AR67" s="184" t="str">
        <f>IFERROR(INDEX(Program_01!$BO:$BO,MATCH($B67,Program_01!$A:$A,0)),"")</f>
        <v>Assessment Report Issued</v>
      </c>
      <c r="AS67" s="184" t="str">
        <f>IFERROR(INDEX(Program_01!$BP:$BP,MATCH($B67,Program_01!$A:$A,0)),"")</f>
        <v>EI Issued</v>
      </c>
      <c r="AT67" s="185" t="str">
        <f>IFERROR(INDEX(Program_01!$BQ:$BQ,MATCH($B67,Program_01!$A:$A,0)),"")</f>
        <v>Closed</v>
      </c>
      <c r="AU67" s="179" t="str">
        <f>IFERROR(INDEX(Program_01!$BR:$BR,MATCH($B67,Program_01!$A:$A,0)),"")</f>
        <v>08 Aug 25: EoT Assessment Report being prepared - Target issue date is 27 Sept 25.
03 Oct 25: targeted to finalise by  11 Oct 
12 Oct 25: Targeted date moved to 17 Oct 25
17 Oct 25: Report issued to BK for review on 18 Oct 25. Targeted for review/ sent to claims is 20 Oct 25. 
20 Oct 25: Targeted to submit for claims revie by 21 Oct 25
25 Oct 25: Draft report sent to claims team for review, targeted to revert by 26 Oct 25
27 Oct 25: reviewed and sent back to commercial with comments, commercial resubmitted the updated draft for review on the same day// Draft report sent to Planning to proceed with TIA
03 Nov 25: Ditto / Fahad's Priority Planning to provide Target date
10 Nov 25: revised target date by 13 Nov 25
15 Nov 25: TIA incorporated and sent to commercial for finalisation prior to claims final review &amp; approval
16 Nov 25: Final Draft sent to claims team for review &amp; approval
17 Nov 25: Targeted to revert by 22 Nov 2025
20 Nov 25: EAR approved and sent to commercial to initiate WF
23 Nov 25: EAR put in WF-069996
01 Dec 25: Ditto
14 Dec 25: WF with CEO
15 Dec 25: EAR approved by GCEO, comm to initiate WF for cover letter
23 Dec 25: EAR issued to contractor via 1TB01005-005C06-AMA-LTR-0100
12 Jan 25: awaiting acceptance from the contractor
22 Jan 26: Salco issued an acknowledge letter on 17 Jan (1TB01005-005C06-SSC-LTR-0088) - 
27 Jan 26: Formal determination and EI to be issued.
07 Feb 26: Determination( WF-040012 )&amp; EI award (WF-040013) on WF for approvals. 
21 Feb 26: Determination and EI award issued to Contractor on 16 Feb. No response from Contractor to date. 1TB01005-005C06-AMA-LTR-0112, 1TB01005-005C06-AMA-EMI-PM-0015</v>
      </c>
      <c r="AV67" s="186" t="str">
        <f t="shared" si="1"/>
        <v/>
      </c>
      <c r="AW67" s="186" t="str">
        <f t="shared" si="13"/>
        <v>CLOSED</v>
      </c>
      <c r="AX67" s="186" t="str">
        <f t="shared" si="2"/>
        <v>CLOSED</v>
      </c>
      <c r="AY67" s="181">
        <f t="shared" si="14"/>
        <v>45890</v>
      </c>
      <c r="AZ67" s="181">
        <f t="shared" si="27"/>
        <v>46014</v>
      </c>
      <c r="BA67" s="181">
        <f t="shared" si="4"/>
        <v>0</v>
      </c>
      <c r="BC67" s="181">
        <f>IFERROR(INDEX(Program_01!BF:BF,MATCH($B67,Program_01!$A:$A,0)),"")</f>
        <v>45890</v>
      </c>
      <c r="BD67" s="188" t="str">
        <f ca="1">IFERROR(INDEX(Program_01!BG:BG,MATCH($B67,Program_01!$A:$A,0)),"")</f>
        <v>N/A</v>
      </c>
      <c r="BE67" s="181">
        <f>IFERROR(INDEX(Program_01!BH:BH,MATCH($B67,Program_01!$A:$A,0)),"")</f>
        <v>0</v>
      </c>
      <c r="BF67" s="189">
        <f ca="1">IFERROR(INDEX(Program_01!BI:BI,MATCH($B67,Program_01!$A:$A,0)),"")</f>
        <v>0</v>
      </c>
      <c r="BG67" s="181">
        <f>IFERROR(INDEX(Program_01!BJ:BJ,MATCH($B67,Program_01!$A:$A,0)),"")</f>
        <v>0</v>
      </c>
      <c r="BH67" s="189">
        <f ca="1">IFERROR(INDEX(Program_01!BK:BK,MATCH($B67,Program_01!$A:$A,0)),"")</f>
        <v>0</v>
      </c>
      <c r="BI67" s="181">
        <f>IFERROR(INDEX(Program_01!BL:BL,MATCH($B67,Program_01!$A:$A,0)),"")</f>
        <v>0</v>
      </c>
      <c r="BK67" s="190">
        <f>IFERROR(IF(INDEX(Program_01!$BX:$BX,MATCH($B67,Program_01!$A:$A,0))=DATE(1900,1,0),"",INDEX(Program_01!$BX:$BX,MATCH($B67,Program_01!$A:$A,0))),"")</f>
        <v>46023</v>
      </c>
      <c r="BL67" s="190" t="str">
        <f>IFERROR(IF(INDEX(Program_01!$BY:$BY,MATCH($B67,Program_01!$A:$A,0))=DATE(1900,1,0),"",INDEX(Program_01!$BY:$BY,MATCH($B67,Program_01!$A:$A,0))),"")</f>
        <v/>
      </c>
      <c r="BM67" s="188">
        <f t="shared" ca="1" si="15"/>
        <v>124</v>
      </c>
      <c r="BN67" s="191">
        <f t="shared" ca="1" si="16"/>
        <v>124</v>
      </c>
      <c r="BO67" s="188">
        <f t="shared" ca="1" si="5"/>
        <v>124</v>
      </c>
      <c r="BP67" s="188" t="str">
        <f t="shared" si="6"/>
        <v>1</v>
      </c>
      <c r="BQ67" s="188" t="str">
        <f t="shared" ca="1" si="17"/>
        <v/>
      </c>
      <c r="BR67" s="181" t="str">
        <f t="shared" ca="1" si="28"/>
        <v/>
      </c>
      <c r="BT67" s="190" t="str">
        <f>IFERROR(IF(INDEX(Program_01!$BZ:$BZ,MATCH($B67,Program_01!$A:$A,0))=DATE(1900,1,0),"",INDEX(Program_01!$BZ:$BZ,MATCH($B67,Program_01!$A:$A,0))),"")</f>
        <v/>
      </c>
      <c r="BU67" s="182" t="str">
        <f t="shared" ca="1" si="22"/>
        <v/>
      </c>
      <c r="BV67" s="188" t="str">
        <f t="shared" si="7"/>
        <v/>
      </c>
      <c r="BW67" s="188" t="str">
        <f t="shared" si="8"/>
        <v>1</v>
      </c>
      <c r="BX67" s="188" t="str">
        <f t="shared" ca="1" si="9"/>
        <v/>
      </c>
      <c r="BY67" s="181" t="str">
        <f t="shared" ca="1" si="29"/>
        <v/>
      </c>
      <c r="CA67" s="192" t="str">
        <f t="shared" si="20"/>
        <v>Y</v>
      </c>
      <c r="CB67" s="192" t="str">
        <f t="shared" si="21"/>
        <v>N</v>
      </c>
      <c r="CC67" s="193">
        <f>IFERROR(INDEX(Program_01!$CE:$CE,MATCH($B67,Program_01!$A:$A,0)),"")</f>
        <v>45641</v>
      </c>
      <c r="CD67" s="193">
        <f t="shared" si="30"/>
        <v>45641</v>
      </c>
      <c r="CG67" s="194">
        <f>IFERROR(INDEX(Program_01!$AT:$AT,MATCH($B67,Program_01!$A:$A,0)),"")</f>
        <v>0</v>
      </c>
      <c r="CH67" s="194">
        <f>IFERROR(INDEX(Program_01!$AX:$AX,MATCH($B67,Program_01!$A:$A,0)),"")</f>
        <v>0</v>
      </c>
    </row>
    <row r="68" spans="1:86" s="187" customFormat="1" ht="409.5" customHeight="1">
      <c r="A68" s="174" t="s">
        <v>1</v>
      </c>
      <c r="B68" s="175">
        <v>50</v>
      </c>
      <c r="C68" s="176" t="str">
        <f>IFERROR(INDEX(Program_01!$B:$B,MATCH($B68,Program_01!$A:$A,0)),"")</f>
        <v>FULL TIA EAR</v>
      </c>
      <c r="D68" s="176" t="str">
        <f>IFERROR(INDEX(Program_01!$D:$D,MATCH($B68,Program_01!$A:$A,0)),"")</f>
        <v>1TB01006B01</v>
      </c>
      <c r="E68" s="176" t="str">
        <f>IFERROR(INDEX(Program_01!$E:$E,MATCH($B68,Program_01!$A:$A,0)),"")</f>
        <v>1.TB.01.006.99</v>
      </c>
      <c r="F68" s="176" t="str">
        <f>IFERROR(INDEX(Program_01!$F:$F,MATCH($B68,Program_01!$A:$A,0)),"")</f>
        <v>Village Boutique Hotel</v>
      </c>
      <c r="G68" s="176" t="str">
        <f>IFERROR(INDEX(Program_01!$G:$G,MATCH($B68,Program_01!$A:$A,0)),"")</f>
        <v>Triple Bay – Village Boutique Hotel – Design &amp; Construction of Reinforced Soil Slope &amp; Coastal Protection Works at Branded Villas.</v>
      </c>
      <c r="H68" s="176" t="str">
        <f>IFERROR(INDEX(Program_01!$H:$H,MATCH($B68,Program_01!$A:$A,0)),"")</f>
        <v>Modern Environmental Geotechnical for Contracting (MEGS)</v>
      </c>
      <c r="I68" s="176" t="str">
        <f t="shared" si="11"/>
        <v>EOT</v>
      </c>
      <c r="J68" s="176">
        <f>IFERROR(INDEX(Program_01!$I:$I,MATCH($B68,Program_01!$A:$A,0)),"")</f>
        <v>1</v>
      </c>
      <c r="K68" s="176">
        <f>IFERROR(INDEX(Program_01!$J:$J,MATCH($B68,Program_01!$A:$A,0)),"")</f>
        <v>0</v>
      </c>
      <c r="L68" s="176">
        <f>IFERROR(INDEX(Program_01!$K:$K,MATCH($B68,Program_01!$A:$A,0)),"")</f>
        <v>0</v>
      </c>
      <c r="M68" s="176">
        <f>IFERROR(INDEX(Program_01!$L:$L,MATCH($B68,Program_01!$A:$A,0)),"")</f>
        <v>0</v>
      </c>
      <c r="N68" s="176">
        <f>IFERROR(INDEX(Program_01!$L:$L,MATCH($B68,Program_01!$A:$A,0)),"")</f>
        <v>0</v>
      </c>
      <c r="O68" s="176">
        <f>IFERROR(INDEX(Program_01!$N:$N,MATCH($B68,Program_01!$A:$A,0)),"")</f>
        <v>0</v>
      </c>
      <c r="P68" s="178"/>
      <c r="Q68" s="179" t="str">
        <f>IFERROR(INDEX(Program_01!$C:$C,MATCH($B68,Program_01!$A:$A,0)),"")</f>
        <v>Extension 0f Time Claim No. 1</v>
      </c>
      <c r="R68" s="176" t="str">
        <f>IFERROR(INDEX(Program_01!$V:$V,MATCH($B68,Program_01!$A:$A,0)),"")</f>
        <v>1TB01006-006B01-MGS-LTR-0013</v>
      </c>
      <c r="S68" s="180">
        <f>IFERROR(INDEX(Program_01!$W:$W,MATCH($B68,Program_01!$A:$A,0)),"")</f>
        <v>45647</v>
      </c>
      <c r="T68" s="178"/>
      <c r="U68" s="176" t="str">
        <f>IFERROR(INDEX(Program_01!$Z:$Z,MATCH($B68,Program_01!$A:$A,0)),"")</f>
        <v>N/A</v>
      </c>
      <c r="V68" s="181" t="str">
        <f>IFERROR(INDEX(Program_01!$AA:$AA,MATCH($B68,Program_01!$A:$A,0)),"")</f>
        <v>N/A</v>
      </c>
      <c r="W68" s="182" t="str">
        <f t="shared" ca="1" si="0"/>
        <v/>
      </c>
      <c r="X68" s="51"/>
      <c r="Y68" s="179">
        <f>IFERROR(INDEX(Program_01!$BD:$BD,MATCH($B68,Program_01!$A:$A,0)),"")</f>
        <v>0</v>
      </c>
      <c r="Z68" s="51"/>
      <c r="AA68" s="183" t="str">
        <f>IFERROR(IF((INDEX(Program_01!$AD:$AD,MATCH($B68,Program_01!$A:$A,0))=""),INDEX(Program_01!$V:$V,MATCH($B68,Program_01!$A:$A,0)),INDEX(Program_01!$AD:$AD,MATCH($B68,Program_01!$A:$A,0))),"")</f>
        <v>1TB01006-006B01-MGS-LTR-0020</v>
      </c>
      <c r="AB68" s="147">
        <f>IFERROR(IF((INDEX(Program_01!$AE:$AE,MATCH($B68,Program_01!$A:$A,0))=""),INDEX(Program_01!$W:$W,MATCH($B68,Program_01!$A:$A,0)),INDEX(Program_01!$AE:$AE,MATCH($B68,Program_01!$A:$A,0))),"")</f>
        <v>45691</v>
      </c>
      <c r="AC68" s="183" t="str">
        <f>IFERROR(IF($I68="EOT",INDEX(Program_01!$AN:$AN,MATCH($B68,Program_01!$A:$A,0)),INDEX(Program_01!$AY:$AY,MATCH($B68,Program_01!$A:$A,0))),"")</f>
        <v>1TB01006-006B01-AMA-LTR-0014</v>
      </c>
      <c r="AD68" s="181">
        <f>IFERROR(IF($I68="EOT",INDEX(Program_01!$AO:$AO,MATCH($B68,Program_01!$A:$A,0)),INDEX(Program_01!$AZ:$AZ,MATCH($B68,Program_01!$A:$A,0))),"")</f>
        <v>45801</v>
      </c>
      <c r="AE68" s="51"/>
      <c r="AF68" s="183"/>
      <c r="AG68" s="181"/>
      <c r="AH68" s="183">
        <f>IF(OR($D68="",$AS68="VO Issued",$AS68="Open"),"",IF(OR($AC68="Rejected",$AC68="Superseded",$AC68="Dealt Separately"),$AC68,IF($I68="EOT",INDEX(Program_01!$AR:$AR,MATCH($B68,Program_01!$A:$A,0)),INDEX(Program_01!$BB:$BB,MATCH($B68,Program_01!$A:$A,0)))))</f>
        <v>0</v>
      </c>
      <c r="AI68" s="181">
        <f>IF(OR($A68="",$B68="",$I68="",$AS68="VO Issued",$AS68="Open"),"",IF(OR($AD68="N/A"),$AD68,IF($I68="EOT",INDEX(Program_01!$AS:$AS,MATCH($B68,Program_01!$A:$A,0)),INDEX(Program_01!$BC:$BC,MATCH($B68,Program_01!$A:$A,0)))))</f>
        <v>0</v>
      </c>
      <c r="AJ68" s="183">
        <f>IF(OR($D68="",$I68="",$AS68="Determination Issued",$AS68="Rejected",$AS68="Open"),"",IF(OR($AH68="Rejected",$AH68="Dealt Separately",$AH68="Superseded",$AH68="Withdrawn"),"N/A",IF($I68="EOT",INDEX(Program_01!AR:AR,MATCH($B68,Program_01!A:A,0)),INDEX(Program_01!BB:BB,MATCH($B68,Program_01!A:A,0)))))</f>
        <v>0</v>
      </c>
      <c r="AK68" s="181">
        <f>IF(OR($A68="",$B68="",$I68="",$AS68="Determination Issued",$AS68="Rejected",$AS68="Open"),"",IF($AJ68="N/A","N/A",IF($I68="EOT",INDEX(Program_01!AS:AS,MATCH($B68,Program_01!A:A,0)),INDEX(Program_01!BC:BC,MATCH($B68,Program_01!A:A,0)))))</f>
        <v>0</v>
      </c>
      <c r="AL68" s="51"/>
      <c r="AM68" s="184">
        <f>IFERROR(INDEX(Program_01!$BT:$BT,MATCH($B68,Program_01!$A:$A,0)),"")</f>
        <v>0</v>
      </c>
      <c r="AN68" s="184">
        <f>IFERROR(INDEX(Program_01!$BU:$BU,MATCH($B68,Program_01!$A:$A,0)),"")</f>
        <v>0</v>
      </c>
      <c r="AO68" s="184">
        <f>IFERROR(INDEX(Program_01!$BV:$BV,MATCH($B68,Program_01!$A:$A,0)),"")</f>
        <v>0</v>
      </c>
      <c r="AP68" s="51" t="str">
        <f t="shared" si="12"/>
        <v/>
      </c>
      <c r="AQ68" s="184">
        <f>IFERROR(INDEX(Program_01!$BN:$BN,MATCH($B68,Program_01!$A:$A,0)),"")</f>
        <v>0</v>
      </c>
      <c r="AR68" s="184" t="str">
        <f>IFERROR(INDEX(Program_01!$BO:$BO,MATCH($B68,Program_01!$A:$A,0)),"")</f>
        <v>Assessment Report Issued</v>
      </c>
      <c r="AS68" s="184" t="str">
        <f>IFERROR(INDEX(Program_01!$BP:$BP,MATCH($B68,Program_01!$A:$A,0)),"")</f>
        <v>EI Issued</v>
      </c>
      <c r="AT68" s="185" t="str">
        <f>IFERROR(INDEX(Program_01!$BQ:$BQ,MATCH($B68,Program_01!$A:$A,0)),"")</f>
        <v>Closed</v>
      </c>
      <c r="AU68" s="179" t="str">
        <f>IFERROR(INDEX(Program_01!$BR:$BR,MATCH($B68,Program_01!$A:$A,0)),"")</f>
        <v>27 Jan 25 - Ditto. a revised submission was made on the 8th of Jan 2025, commercial to provide reference Under review by commercial, targted to issue by 29 Jan 25. Latest revised claim was sent to site planning team on 13 Jan 25
09 Feb 25 - Revised  Claim submission received form the Contractor  on 03 Feb 2025 (1TB06006B01-MGS-LTR-0020)
Under commercial review.
16 Feb 25 - Contractual merits were sent to Planning team on  11 Feb 25. Commercial is preparing for Commercial report.
24 Feb 25 - Commercial is preparing the Report
10 Mar 25 Commercial to send draft report to Claims by 11 March 2025
13 Mar 25: Draft Report sent to claims team for review
20 Mar 25: Draft report sent to Planning for TIA &amp; review
09 April 25 - Claims Report is with Planning Team for review (Shaju), Targeted to revert by 10 Apr 25
14 Apr 25: with planning targeted to revert by 15 Apr 25
20 Apr 25: Ditto
22 Apr 25: draft report sent back to commercial after TIA, Targeted 01 may 25
27 Apr 25: EAR put in WF for approvals (WF-029526)
03 May 25 - Draft report under WF-029593; 
04 May 25: Commercial to cancel the WF and submit to claims for final review and approval
05 May 25: Final Draft report submitted to claim for approval to proceed with WF process
07 May 25: Final assessment report approved by claims &amp; sent to commercial to proceed with WF
10 May 25: EAR put in WF for approval (WF-030532)
24 May 25: EAR issued to contractor via 1TB01006-006B01-AMA-LTR-0014
14 June 25 - Awaiting Contractor's response on the issued EOT Assessment Report
28 June 25 - Awaiting Contractor's response on the issued EOT Assessment Report, commercial to issue a follow up letter
14 July 25 -  Awaiting Contractor's response on the issued EOT Assessment Report, commercial to issue a follow up letter
28 July 25 - Follow-up letter is currently in the workflow (WF-034189 )
12  Aug 25: Contractor has formally accepted the Employer's Assessment under Letter Ref. 1TB01006-006B01-MGS-LTR-0022 -  EI for EOT Award  to be issued under WF-034702 with Fahad
24 Aug 25: EI issued on 12 August AMA01006-EMPI-000028, can be closed</v>
      </c>
      <c r="AV68" s="186" t="str">
        <f t="shared" si="1"/>
        <v/>
      </c>
      <c r="AW68" s="186" t="str">
        <f t="shared" si="13"/>
        <v>CLOSED</v>
      </c>
      <c r="AX68" s="186" t="str">
        <f t="shared" si="2"/>
        <v>CLOSED</v>
      </c>
      <c r="AY68" s="181">
        <f t="shared" si="14"/>
        <v>45691</v>
      </c>
      <c r="AZ68" s="181">
        <f t="shared" si="27"/>
        <v>45801</v>
      </c>
      <c r="BA68" s="181">
        <f t="shared" si="4"/>
        <v>0</v>
      </c>
      <c r="BC68" s="181">
        <f>IFERROR(INDEX(Program_01!BF:BF,MATCH($B68,Program_01!$A:$A,0)),"")</f>
        <v>45691</v>
      </c>
      <c r="BD68" s="188" t="str">
        <f ca="1">IFERROR(INDEX(Program_01!BG:BG,MATCH($B68,Program_01!$A:$A,0)),"")</f>
        <v>N/A</v>
      </c>
      <c r="BE68" s="181">
        <f>IFERROR(INDEX(Program_01!BH:BH,MATCH($B68,Program_01!$A:$A,0)),"")</f>
        <v>0</v>
      </c>
      <c r="BF68" s="189">
        <f ca="1">IFERROR(INDEX(Program_01!BI:BI,MATCH($B68,Program_01!$A:$A,0)),"")</f>
        <v>0</v>
      </c>
      <c r="BG68" s="181">
        <f>IFERROR(INDEX(Program_01!BJ:BJ,MATCH($B68,Program_01!$A:$A,0)),"")</f>
        <v>0</v>
      </c>
      <c r="BH68" s="189">
        <f ca="1">IFERROR(INDEX(Program_01!BK:BK,MATCH($B68,Program_01!$A:$A,0)),"")</f>
        <v>0</v>
      </c>
      <c r="BI68" s="181">
        <f>IFERROR(INDEX(Program_01!BL:BL,MATCH($B68,Program_01!$A:$A,0)),"")</f>
        <v>0</v>
      </c>
      <c r="BK68" s="190">
        <f>IFERROR(IF(INDEX(Program_01!$BX:$BX,MATCH($B68,Program_01!$A:$A,0))=DATE(1900,1,0),"",INDEX(Program_01!$BX:$BX,MATCH($B68,Program_01!$A:$A,0))),"")</f>
        <v>45801</v>
      </c>
      <c r="BL68" s="190" t="str">
        <f>IFERROR(IF(INDEX(Program_01!$BY:$BY,MATCH($B68,Program_01!$A:$A,0))=DATE(1900,1,0),"",INDEX(Program_01!$BY:$BY,MATCH($B68,Program_01!$A:$A,0))),"")</f>
        <v/>
      </c>
      <c r="BM68" s="188">
        <f t="shared" ca="1" si="15"/>
        <v>110</v>
      </c>
      <c r="BN68" s="191">
        <f t="shared" ca="1" si="16"/>
        <v>110</v>
      </c>
      <c r="BO68" s="188">
        <f t="shared" ca="1" si="5"/>
        <v>110</v>
      </c>
      <c r="BP68" s="188" t="str">
        <f t="shared" si="6"/>
        <v>1</v>
      </c>
      <c r="BQ68" s="188" t="str">
        <f t="shared" ca="1" si="17"/>
        <v/>
      </c>
      <c r="BR68" s="181" t="str">
        <f t="shared" ca="1" si="28"/>
        <v/>
      </c>
      <c r="BT68" s="190" t="str">
        <f>IFERROR(IF(INDEX(Program_01!$BZ:$BZ,MATCH($B68,Program_01!$A:$A,0))=DATE(1900,1,0),"",INDEX(Program_01!$BZ:$BZ,MATCH($B68,Program_01!$A:$A,0))),"")</f>
        <v/>
      </c>
      <c r="BU68" s="182" t="str">
        <f t="shared" ca="1" si="22"/>
        <v/>
      </c>
      <c r="BV68" s="188" t="str">
        <f t="shared" si="7"/>
        <v/>
      </c>
      <c r="BW68" s="188" t="str">
        <f t="shared" si="8"/>
        <v>1</v>
      </c>
      <c r="BX68" s="188" t="str">
        <f t="shared" ca="1" si="9"/>
        <v/>
      </c>
      <c r="BY68" s="181" t="str">
        <f t="shared" ca="1" si="29"/>
        <v/>
      </c>
      <c r="CA68" s="192" t="str">
        <f t="shared" si="20"/>
        <v>Y</v>
      </c>
      <c r="CB68" s="192" t="str">
        <f t="shared" si="21"/>
        <v>N</v>
      </c>
      <c r="CC68" s="193">
        <f>IFERROR(INDEX(Program_01!$CE:$CE,MATCH($B68,Program_01!$A:$A,0)),"")</f>
        <v>45648</v>
      </c>
      <c r="CD68" s="193">
        <f t="shared" si="30"/>
        <v>45648</v>
      </c>
      <c r="CG68" s="194">
        <f>IFERROR(INDEX(Program_01!$AT:$AT,MATCH($B68,Program_01!$A:$A,0)),"")</f>
        <v>0</v>
      </c>
      <c r="CH68" s="194">
        <f>IFERROR(INDEX(Program_01!$AX:$AX,MATCH($B68,Program_01!$A:$A,0)),"")</f>
        <v>0</v>
      </c>
    </row>
    <row r="69" spans="1:86" s="187" customFormat="1" ht="404">
      <c r="A69" s="174" t="s">
        <v>1</v>
      </c>
      <c r="B69" s="175">
        <v>51</v>
      </c>
      <c r="C69" s="176" t="str">
        <f>IFERROR(INDEX(Program_01!$B:$B,MATCH($B69,Program_01!$A:$A,0)),"")</f>
        <v>FULL TIA EAR</v>
      </c>
      <c r="D69" s="176" t="str">
        <f>IFERROR(INDEX(Program_01!$D:$D,MATCH($B69,Program_01!$A:$A,0)),"")</f>
        <v>1TB01006C23</v>
      </c>
      <c r="E69" s="176" t="str">
        <f>IFERROR(INDEX(Program_01!$E:$E,MATCH($B69,Program_01!$A:$A,0)),"")</f>
        <v>1.TB.01.006.99</v>
      </c>
      <c r="F69" s="176" t="str">
        <f>IFERROR(INDEX(Program_01!$F:$F,MATCH($B69,Program_01!$A:$A,0)),"")</f>
        <v>Village Boutique Hotel</v>
      </c>
      <c r="G69" s="176" t="str">
        <f>IFERROR(INDEX(Program_01!$G:$G,MATCH($B69,Program_01!$A:$A,0)),"")</f>
        <v>Aluminum &amp; Glazing Works for Village Boutique Hotel</v>
      </c>
      <c r="H69" s="176" t="str">
        <f>IFERROR(INDEX(Program_01!$H:$H,MATCH($B69,Program_01!$A:$A,0)),"")</f>
        <v>REEM Emirates Company Limited</v>
      </c>
      <c r="I69" s="176" t="str">
        <f t="shared" si="11"/>
        <v>EOT</v>
      </c>
      <c r="J69" s="176">
        <f>IFERROR(INDEX(Program_01!$I:$I,MATCH($B69,Program_01!$A:$A,0)),"")</f>
        <v>1</v>
      </c>
      <c r="K69" s="176">
        <f>IFERROR(INDEX(Program_01!$J:$J,MATCH($B69,Program_01!$A:$A,0)),"")</f>
        <v>0</v>
      </c>
      <c r="L69" s="176">
        <f>IFERROR(INDEX(Program_01!$K:$K,MATCH($B69,Program_01!$A:$A,0)),"")</f>
        <v>0</v>
      </c>
      <c r="M69" s="176">
        <f>IFERROR(INDEX(Program_01!$L:$L,MATCH($B69,Program_01!$A:$A,0)),"")</f>
        <v>0</v>
      </c>
      <c r="N69" s="176">
        <f>IFERROR(INDEX(Program_01!$L:$L,MATCH($B69,Program_01!$A:$A,0)),"")</f>
        <v>0</v>
      </c>
      <c r="O69" s="176">
        <f>IFERROR(INDEX(Program_01!$N:$N,MATCH($B69,Program_01!$A:$A,0)),"")</f>
        <v>0</v>
      </c>
      <c r="P69" s="178"/>
      <c r="Q69" s="179" t="str">
        <f>IFERROR(INDEX(Program_01!$C:$C,MATCH($B69,Program_01!$A:$A,0)),"")</f>
        <v>Extension 0f Time Claim No. 1</v>
      </c>
      <c r="R69" s="176" t="str">
        <f>IFERROR(INDEX(Program_01!$V:$V,MATCH($B69,Program_01!$A:$A,0)),"")</f>
        <v>1TB01006-006C23-RMA-LTR-0052</v>
      </c>
      <c r="S69" s="180">
        <f>IFERROR(INDEX(Program_01!$W:$W,MATCH($B69,Program_01!$A:$A,0)),"")</f>
        <v>45671</v>
      </c>
      <c r="T69" s="178"/>
      <c r="U69" s="176" t="str">
        <f>IFERROR(INDEX(Program_01!$Z:$Z,MATCH($B69,Program_01!$A:$A,0)),"")</f>
        <v>1TB01006-006C23-AMA-LTR-0054</v>
      </c>
      <c r="V69" s="181">
        <f>IFERROR(INDEX(Program_01!$AA:$AA,MATCH($B69,Program_01!$A:$A,0)),"")</f>
        <v>45707</v>
      </c>
      <c r="W69" s="182">
        <f t="shared" ca="1" si="0"/>
        <v>36</v>
      </c>
      <c r="X69" s="51"/>
      <c r="Y69" s="179">
        <f>IFERROR(INDEX(Program_01!$BD:$BD,MATCH($B69,Program_01!$A:$A,0)),"")</f>
        <v>0</v>
      </c>
      <c r="Z69" s="51"/>
      <c r="AA69" s="183" t="str">
        <f>IFERROR(IF((INDEX(Program_01!$AD:$AD,MATCH($B69,Program_01!$A:$A,0))=""),INDEX(Program_01!$V:$V,MATCH($B69,Program_01!$A:$A,0)),INDEX(Program_01!$AD:$AD,MATCH($B69,Program_01!$A:$A,0))),"")</f>
        <v>REA-TRANSMIT-000190 on 17 Apr 25
1Tb01006-006C23-RMA-LTR-0107
REA-TRANSMIT-000303 (13 Jul 26)</v>
      </c>
      <c r="AB69" s="147">
        <f>IFERROR(IF((INDEX(Program_01!$AE:$AE,MATCH($B69,Program_01!$A:$A,0))=""),INDEX(Program_01!$W:$W,MATCH($B69,Program_01!$A:$A,0)),INDEX(Program_01!$AE:$AE,MATCH($B69,Program_01!$A:$A,0))),"")</f>
        <v>46216</v>
      </c>
      <c r="AC69" s="183">
        <f>IFERROR(IF($I69="EOT",INDEX(Program_01!$AN:$AN,MATCH($B69,Program_01!$A:$A,0)),INDEX(Program_01!$AY:$AY,MATCH($B69,Program_01!$A:$A,0))),"")</f>
        <v>0</v>
      </c>
      <c r="AD69" s="181">
        <f>IFERROR(IF($I69="EOT",INDEX(Program_01!$AO:$AO,MATCH($B69,Program_01!$A:$A,0)),INDEX(Program_01!$AZ:$AZ,MATCH($B69,Program_01!$A:$A,0))),"")</f>
        <v>0</v>
      </c>
      <c r="AE69" s="51"/>
      <c r="AF69" s="183"/>
      <c r="AG69" s="181"/>
      <c r="AH69" s="183" t="str">
        <f>IF(OR($D69="",$AS69="VO Issued",$AS69="Open"),"",IF(OR($AC69="Rejected",$AC69="Superseded",$AC69="Dealt Separately"),$AC69,IF($I69="EOT",INDEX(Program_01!$AR:$AR,MATCH($B69,Program_01!$A:$A,0)),INDEX(Program_01!$BB:$BB,MATCH($B69,Program_01!$A:$A,0)))))</f>
        <v/>
      </c>
      <c r="AI69" s="181" t="str">
        <f>IF(OR($A69="",$B69="",$I69="",$AS69="VO Issued",$AS69="Open"),"",IF(OR($AD69="N/A"),$AD69,IF($I69="EOT",INDEX(Program_01!$AS:$AS,MATCH($B69,Program_01!$A:$A,0)),INDEX(Program_01!$BC:$BC,MATCH($B69,Program_01!$A:$A,0)))))</f>
        <v/>
      </c>
      <c r="AJ69" s="183" t="str">
        <f>IF(OR($D69="",$I69="",$AS69="Determination Issued",$AS69="Rejected",$AS69="Open"),"",IF(OR($AH69="Rejected",$AH69="Dealt Separately",$AH69="Superseded",$AH69="Withdrawn"),"N/A",IF($I69="EOT",INDEX(Program_01!AR:AR,MATCH($B69,Program_01!A:A,0)),INDEX(Program_01!BB:BB,MATCH($B69,Program_01!A:A,0)))))</f>
        <v/>
      </c>
      <c r="AK69" s="181" t="str">
        <f>IF(OR($A69="",$B69="",$I69="",$AS69="Determination Issued",$AS69="Rejected",$AS69="Open"),"",IF($AJ69="N/A","N/A",IF($I69="EOT",INDEX(Program_01!AS:AS,MATCH($B69,Program_01!A:A,0)),INDEX(Program_01!BC:BC,MATCH($B69,Program_01!A:A,0)))))</f>
        <v/>
      </c>
      <c r="AL69" s="51"/>
      <c r="AM69" s="184">
        <f>IFERROR(INDEX(Program_01!$BT:$BT,MATCH($B69,Program_01!$A:$A,0)),"")</f>
        <v>0</v>
      </c>
      <c r="AN69" s="184">
        <f>IFERROR(INDEX(Program_01!$BU:$BU,MATCH($B69,Program_01!$A:$A,0)),"")</f>
        <v>0</v>
      </c>
      <c r="AO69" s="184">
        <f>IFERROR(INDEX(Program_01!$BV:$BV,MATCH($B69,Program_01!$A:$A,0)),"")</f>
        <v>0</v>
      </c>
      <c r="AP69" s="51" t="str">
        <f t="shared" si="12"/>
        <v/>
      </c>
      <c r="AQ69" s="184">
        <f>IFERROR(INDEX(Program_01!$BN:$BN,MATCH($B69,Program_01!$A:$A,0)),"")</f>
        <v>0</v>
      </c>
      <c r="AR69" s="184" t="str">
        <f>IFERROR(INDEX(Program_01!$BO:$BO,MATCH($B69,Program_01!$A:$A,0)),"")</f>
        <v>Pending</v>
      </c>
      <c r="AS69" s="184" t="str">
        <f>IFERROR(INDEX(Program_01!$BP:$BP,MATCH($B69,Program_01!$A:$A,0)),"")</f>
        <v>Open</v>
      </c>
      <c r="AT69" s="185" t="str">
        <f>IFERROR(INDEX(Program_01!$BQ:$BQ,MATCH($B69,Program_01!$A:$A,0)),"")</f>
        <v>Commercial Team</v>
      </c>
      <c r="AU69" s="179" t="str">
        <f>IFERROR(INDEX(Program_01!$BR:$BR,MATCH($B69,Program_01!$A:$A,0)),"")</f>
        <v>15 Dec 25: draft response to revise &amp; resubmit the claim under process. letter to be sent to contractor by 23 Dec 25
05 Jan 26 - Letter sent to Contractor to submit further particulars on 25 Dec 25 (Ref. AMA01006-GENCORR-004106)
10 Jan 26 - Awaiting response from Contractor
27 Jan 26 - ditto, Comm to issue reminder
07 Feb 26 - Reminder was issued on 02 Feb 26 (Ref. AMA01006-GENCORR-004294)
09 Feb 26: Ditto
23 Feb 26: Ditto
09 Mar 26: Awaiting Contractor's revised submission, commercial to issue a 2nd reminder via aconex
18 April 26: 2nd reminder sent on 18 March 26 AMA01006-GENCORR-004474 for the revised submission
06 Apr 26: awaiting revised submission
20 April 26: Awaiting Contractor's revised submission, commercial to issue a follow up letter
02 May 2026: Reminder sent to REEM (AMA01006-GENCORR-004649)
04 May 26: Ditto
18 May 26: Awaiting Contractor's submission
31 May 26: Ditto
04 Jun 26: Ditto
15 Jun 26: commercial to issue a follow up letter
29 Jun 26: follow up letter issued to the Contractor for  Submission of EOT no.1 via AMA01006-GENCORR-004818 dated 21 June 26
11 July 26: Awaiting Contractor's submission
27 July 26: Awaiting Contractor's submission
10 Aug 26: Awaiting Contractor'submission
23 Aug 26: Contractor Submitted Supporting Information (ref. REA-TRANSMIT-000303 on 13 Jul 26).  Target date TBC
07 Sep 26: Commercial to review
21 Sep 26: Ditto</v>
      </c>
      <c r="AV69" s="186" t="str">
        <f t="shared" si="1"/>
        <v/>
      </c>
      <c r="AW69" s="186" t="str">
        <f t="shared" si="13"/>
        <v>OPEN</v>
      </c>
      <c r="AX69" s="186" t="str">
        <f t="shared" si="2"/>
        <v>OPEN</v>
      </c>
      <c r="AY69" s="181">
        <f t="shared" si="14"/>
        <v>46216</v>
      </c>
      <c r="AZ69" s="181" t="str">
        <f t="shared" si="27"/>
        <v/>
      </c>
      <c r="BA69" s="181" t="str">
        <f t="shared" si="4"/>
        <v/>
      </c>
      <c r="BC69" s="181">
        <f>IFERROR(INDEX(Program_01!BF:BF,MATCH($B69,Program_01!$A:$A,0)),"")</f>
        <v>46216</v>
      </c>
      <c r="BD69" s="188">
        <f ca="1">IFERROR(INDEX(Program_01!BG:BG,MATCH($B69,Program_01!$A:$A,0)),"")</f>
        <v>84</v>
      </c>
      <c r="BE69" s="181">
        <f>IFERROR(INDEX(Program_01!BH:BH,MATCH($B69,Program_01!$A:$A,0)),"")</f>
        <v>0</v>
      </c>
      <c r="BF69" s="189">
        <f ca="1">IFERROR(INDEX(Program_01!BI:BI,MATCH($B69,Program_01!$A:$A,0)),"")</f>
        <v>0</v>
      </c>
      <c r="BG69" s="181">
        <f>IFERROR(INDEX(Program_01!BJ:BJ,MATCH($B69,Program_01!$A:$A,0)),"")</f>
        <v>0</v>
      </c>
      <c r="BH69" s="189">
        <f ca="1">IFERROR(INDEX(Program_01!BK:BK,MATCH($B69,Program_01!$A:$A,0)),"")</f>
        <v>0</v>
      </c>
      <c r="BI69" s="181">
        <f>IFERROR(INDEX(Program_01!BL:BL,MATCH($B69,Program_01!$A:$A,0)),"")</f>
        <v>0</v>
      </c>
      <c r="BK69" s="190" t="str">
        <f>IFERROR(IF(INDEX(Program_01!$BX:$BX,MATCH($B69,Program_01!$A:$A,0))=DATE(1900,1,0),"",INDEX(Program_01!$BX:$BX,MATCH($B69,Program_01!$A:$A,0))),"")</f>
        <v/>
      </c>
      <c r="BL69" s="190" t="str">
        <f>IFERROR(IF(INDEX(Program_01!$BY:$BY,MATCH($B69,Program_01!$A:$A,0))=DATE(1900,1,0),"",INDEX(Program_01!$BY:$BY,MATCH($B69,Program_01!$A:$A,0))),"")</f>
        <v/>
      </c>
      <c r="BM69" s="188" t="str">
        <f t="shared" ca="1" si="15"/>
        <v/>
      </c>
      <c r="BN69" s="191">
        <f t="shared" ca="1" si="16"/>
        <v>84</v>
      </c>
      <c r="BO69" s="188" t="str">
        <f t="shared" si="5"/>
        <v/>
      </c>
      <c r="BP69" s="188" t="str">
        <f t="shared" si="6"/>
        <v/>
      </c>
      <c r="BQ69" s="188" t="str">
        <f t="shared" ca="1" si="17"/>
        <v/>
      </c>
      <c r="BR69" s="181" t="str">
        <f t="shared" ca="1" si="28"/>
        <v/>
      </c>
      <c r="BT69" s="190" t="str">
        <f>IFERROR(IF(INDEX(Program_01!$BZ:$BZ,MATCH($B69,Program_01!$A:$A,0))=DATE(1900,1,0),"",INDEX(Program_01!$BZ:$BZ,MATCH($B69,Program_01!$A:$A,0))),"")</f>
        <v/>
      </c>
      <c r="BU69" s="182" t="str">
        <f t="shared" ca="1" si="22"/>
        <v/>
      </c>
      <c r="BV69" s="188" t="str">
        <f t="shared" si="7"/>
        <v/>
      </c>
      <c r="BW69" s="188" t="str">
        <f t="shared" si="8"/>
        <v/>
      </c>
      <c r="BX69" s="188" t="str">
        <f t="shared" ca="1" si="9"/>
        <v/>
      </c>
      <c r="BY69" s="181" t="str">
        <f t="shared" ca="1" si="29"/>
        <v/>
      </c>
      <c r="CA69" s="192" t="str">
        <f t="shared" si="20"/>
        <v>N</v>
      </c>
      <c r="CB69" s="192" t="str">
        <f t="shared" si="21"/>
        <v>N</v>
      </c>
      <c r="CC69" s="193">
        <f>IFERROR(INDEX(Program_01!$CE:$CE,MATCH($B69,Program_01!$A:$A,0)),"")</f>
        <v>45683</v>
      </c>
      <c r="CD69" s="193">
        <f t="shared" si="30"/>
        <v>45683</v>
      </c>
      <c r="CG69" s="194">
        <f>IFERROR(INDEX(Program_01!$AT:$AT,MATCH($B69,Program_01!$A:$A,0)),"")</f>
        <v>0</v>
      </c>
      <c r="CH69" s="194">
        <f>IFERROR(INDEX(Program_01!$AX:$AX,MATCH($B69,Program_01!$A:$A,0)),"")</f>
        <v>0</v>
      </c>
    </row>
    <row r="70" spans="1:86" s="187" customFormat="1" ht="372">
      <c r="A70" s="174" t="s">
        <v>1</v>
      </c>
      <c r="B70" s="175">
        <v>52</v>
      </c>
      <c r="C70" s="176" t="str">
        <f>IFERROR(INDEX(Program_01!$B:$B,MATCH($B70,Program_01!$A:$A,0)),"")</f>
        <v>HLEAR</v>
      </c>
      <c r="D70" s="176" t="str">
        <f>IFERROR(INDEX(Program_01!$D:$D,MATCH($B70,Program_01!$A:$A,0)),"")</f>
        <v>1TB01002C24</v>
      </c>
      <c r="E70" s="176" t="str">
        <f>IFERROR(INDEX(Program_01!$E:$E,MATCH($B70,Program_01!$A:$A,0)),"")</f>
        <v>1.TB.01.002.99</v>
      </c>
      <c r="F70" s="176" t="str">
        <f>IFERROR(INDEX(Program_01!$F:$F,MATCH($B70,Program_01!$A:$A,0)),"")</f>
        <v>Marina Lifestyle Hotel &amp; Village</v>
      </c>
      <c r="G70" s="176" t="str">
        <f>IFERROR(INDEX(Program_01!$G:$G,MATCH($B70,Program_01!$A:$A,0)),"")</f>
        <v>Aluminum &amp; Glazing works for Marina Lifestyle Hotel</v>
      </c>
      <c r="H70" s="176" t="str">
        <f>IFERROR(INDEX(Program_01!$H:$H,MATCH($B70,Program_01!$A:$A,0)),"")</f>
        <v>REEM Emirates Company Limited</v>
      </c>
      <c r="I70" s="176" t="str">
        <f t="shared" si="11"/>
        <v>EOT</v>
      </c>
      <c r="J70" s="176">
        <f>IFERROR(INDEX(Program_01!$I:$I,MATCH($B70,Program_01!$A:$A,0)),"")</f>
        <v>1</v>
      </c>
      <c r="K70" s="176">
        <f>IFERROR(INDEX(Program_01!$J:$J,MATCH($B70,Program_01!$A:$A,0)),"")</f>
        <v>0</v>
      </c>
      <c r="L70" s="176">
        <f>IFERROR(INDEX(Program_01!$K:$K,MATCH($B70,Program_01!$A:$A,0)),"")</f>
        <v>0</v>
      </c>
      <c r="M70" s="176">
        <f>IFERROR(INDEX(Program_01!$L:$L,MATCH($B70,Program_01!$A:$A,0)),"")</f>
        <v>0</v>
      </c>
      <c r="N70" s="176">
        <f>IFERROR(INDEX(Program_01!$L:$L,MATCH($B70,Program_01!$A:$A,0)),"")</f>
        <v>0</v>
      </c>
      <c r="O70" s="176">
        <f>IFERROR(INDEX(Program_01!$N:$N,MATCH($B70,Program_01!$A:$A,0)),"")</f>
        <v>0</v>
      </c>
      <c r="P70" s="178"/>
      <c r="Q70" s="179" t="str">
        <f>IFERROR(INDEX(Program_01!$C:$C,MATCH($B70,Program_01!$A:$A,0)),"")</f>
        <v>Extension 0f Time Claim No. 1</v>
      </c>
      <c r="R70" s="176" t="str">
        <f>IFERROR(INDEX(Program_01!$V:$V,MATCH($B70,Program_01!$A:$A,0)),"")</f>
        <v>1TB01002-002C24-RMA-LTR-0028</v>
      </c>
      <c r="S70" s="180">
        <f>IFERROR(INDEX(Program_01!$W:$W,MATCH($B70,Program_01!$A:$A,0)),"")</f>
        <v>45671</v>
      </c>
      <c r="T70" s="178"/>
      <c r="U70" s="176" t="str">
        <f>IFERROR(INDEX(Program_01!$Z:$Z,MATCH($B70,Program_01!$A:$A,0)),"")</f>
        <v>1TB01002-002C24-AMA-LTR-0051</v>
      </c>
      <c r="V70" s="181">
        <f>IFERROR(INDEX(Program_01!$AA:$AA,MATCH($B70,Program_01!$A:$A,0)),"")</f>
        <v>45697</v>
      </c>
      <c r="W70" s="182">
        <f t="shared" ca="1" si="0"/>
        <v>26</v>
      </c>
      <c r="X70" s="51"/>
      <c r="Y70" s="179" t="str">
        <f>IFERROR(INDEX(Program_01!$BD:$BD,MATCH($B70,Program_01!$A:$A,0)),"")</f>
        <v>1TB01002-002C24-RMA-LTR-0028 on 14 Jan (EOT Nr 01)
1TB01002-002C24-AMA-LTR-0051 on 9 Feb - revise and resubmit
REA-TRANSMIT-000099,  1TB01002-002C24-AMA-LTR-0052 dated 03 Apr 25
REA-TRANSMIT-000100,101,102, dated 07 Apr 25</v>
      </c>
      <c r="Z70" s="51"/>
      <c r="AA70" s="183" t="str">
        <f>IFERROR(IF((INDEX(Program_01!$AD:$AD,MATCH($B70,Program_01!$A:$A,0))=""),INDEX(Program_01!$V:$V,MATCH($B70,Program_01!$A:$A,0)),INDEX(Program_01!$AD:$AD,MATCH($B70,Program_01!$A:$A,0))),"")</f>
        <v xml:space="preserve">
REA-TRANSMIT-000099,  dated 03 Apr 25 
1TB01002-002C24-RMA-LTR-0052
REA-TRANSMIT-000100,101,102 on 07 Apr 25
1TB01002-002C24-RMA-LTR-0087
REA-TRANSMIT-000187</v>
      </c>
      <c r="AB70" s="147">
        <f>IFERROR(IF((INDEX(Program_01!$AE:$AE,MATCH($B70,Program_01!$A:$A,0))=""),INDEX(Program_01!$W:$W,MATCH($B70,Program_01!$A:$A,0)),INDEX(Program_01!$AE:$AE,MATCH($B70,Program_01!$A:$A,0))),"")</f>
        <v>45996</v>
      </c>
      <c r="AC70" s="183">
        <f>IFERROR(IF($I70="EOT",INDEX(Program_01!$AN:$AN,MATCH($B70,Program_01!$A:$A,0)),INDEX(Program_01!$AY:$AY,MATCH($B70,Program_01!$A:$A,0))),"")</f>
        <v>0</v>
      </c>
      <c r="AD70" s="181">
        <f>IFERROR(IF($I70="EOT",INDEX(Program_01!$AO:$AO,MATCH($B70,Program_01!$A:$A,0)),INDEX(Program_01!$AZ:$AZ,MATCH($B70,Program_01!$A:$A,0))),"")</f>
        <v>0</v>
      </c>
      <c r="AE70" s="51"/>
      <c r="AF70" s="183"/>
      <c r="AG70" s="181"/>
      <c r="AH70" s="183" t="str">
        <f>IF(OR($D70="",$AS70="VO Issued",$AS70="Open"),"",IF(OR($AC70="Rejected",$AC70="Superseded",$AC70="Dealt Separately"),$AC70,IF($I70="EOT",INDEX(Program_01!$AR:$AR,MATCH($B70,Program_01!$A:$A,0)),INDEX(Program_01!$BB:$BB,MATCH($B70,Program_01!$A:$A,0)))))</f>
        <v/>
      </c>
      <c r="AI70" s="181" t="str">
        <f>IF(OR($A70="",$B70="",$I70="",$AS70="VO Issued",$AS70="Open"),"",IF(OR($AD70="N/A"),$AD70,IF($I70="EOT",INDEX(Program_01!$AS:$AS,MATCH($B70,Program_01!$A:$A,0)),INDEX(Program_01!$BC:$BC,MATCH($B70,Program_01!$A:$A,0)))))</f>
        <v/>
      </c>
      <c r="AJ70" s="183" t="str">
        <f>IF(OR($D70="",$I70="",$AS70="Determination Issued",$AS70="Rejected",$AS70="Open"),"",IF(OR($AH70="Rejected",$AH70="Dealt Separately",$AH70="Superseded",$AH70="Withdrawn"),"N/A",IF($I70="EOT",INDEX(Program_01!AR:AR,MATCH($B70,Program_01!A:A,0)),INDEX(Program_01!BB:BB,MATCH($B70,Program_01!A:A,0)))))</f>
        <v/>
      </c>
      <c r="AK70" s="181" t="str">
        <f>IF(OR($A70="",$B70="",$I70="",$AS70="Determination Issued",$AS70="Rejected",$AS70="Open"),"",IF($AJ70="N/A","N/A",IF($I70="EOT",INDEX(Program_01!AS:AS,MATCH($B70,Program_01!A:A,0)),INDEX(Program_01!BC:BC,MATCH($B70,Program_01!A:A,0)))))</f>
        <v/>
      </c>
      <c r="AL70" s="51"/>
      <c r="AM70" s="184">
        <f>IFERROR(INDEX(Program_01!$BT:$BT,MATCH($B70,Program_01!$A:$A,0)),"")</f>
        <v>0</v>
      </c>
      <c r="AN70" s="184">
        <f>IFERROR(INDEX(Program_01!$BU:$BU,MATCH($B70,Program_01!$A:$A,0)),"")</f>
        <v>0</v>
      </c>
      <c r="AO70" s="184">
        <f>IFERROR(INDEX(Program_01!$BV:$BV,MATCH($B70,Program_01!$A:$A,0)),"")</f>
        <v>0</v>
      </c>
      <c r="AP70" s="51" t="str">
        <f t="shared" si="12"/>
        <v/>
      </c>
      <c r="AQ70" s="184">
        <f>IFERROR(INDEX(Program_01!$BN:$BN,MATCH($B70,Program_01!$A:$A,0)),"")</f>
        <v>0</v>
      </c>
      <c r="AR70" s="184" t="str">
        <f>IFERROR(INDEX(Program_01!$BO:$BO,MATCH($B70,Program_01!$A:$A,0)),"")</f>
        <v>Pending</v>
      </c>
      <c r="AS70" s="184" t="str">
        <f>IFERROR(INDEX(Program_01!$BP:$BP,MATCH($B70,Program_01!$A:$A,0)),"")</f>
        <v>Open</v>
      </c>
      <c r="AT70" s="185" t="str">
        <f>IFERROR(INDEX(Program_01!$BQ:$BQ,MATCH($B70,Program_01!$A:$A,0)),"")</f>
        <v>Commercial Team</v>
      </c>
      <c r="AU70" s="179" t="str">
        <f>IFERROR(INDEX(Program_01!$BR:$BR,MATCH($B70,Program_01!$A:$A,0)),"")</f>
        <v>23 Feb 26: Awaiting resubmission from the Contractor. Reminder sent on 21 Feb 2026 (during the WS meeting). 
08 March 26: Ditto
09 Mar 26: formal reminder via Aconex sent via AMA01002-GENCORR-003139
06 Apr 26: A formal reminder to submit the EOT claim was sent via Aconex  ref  AMA01002-GENCORR-003166 dated 02 Apr 26 .
20 April 26 : Pending submission from the Contractor. 
02 May 26: A formal reminder was sent via Aconex AMA01002-GENCORR-003188 on 20-Apr-26.
04 may 26: Ditto
18 May 26: Awaiting resubmission from the Contractor
31 May 26: Ditto
04 Jun 26: Ditto
15 Jun 26: commercial to issue a follow up letter
29 Jun 26:  follow up letter issued to the Contractor for  Submission of EOT no.1 via AMA01002-GENCORR-003274 issued on 18 June 26
11 July 26: Awaiting resubmission from the Contractor. Reminder issued to be on 12 July 2026. still with PMIS to initiate a WF
13 Jul 26: follow up letter targeted to issue by 16 Jul 26
26 July 26: Reminder letter issued on 15 July 26 (Ref. 1TB01002-002C24-AMA-LTR-0113)
10 Aug 26: Awaiting Contractor'submission
24 Aug 26: Ditto
6 Sep 26: Internal management approval obtained to "Levy the Delay Damages". Therefore, no further reminder sent to the Contractor seeking the EOT submission. Clarified and confirmed with Claims team during EOT meeting on 24 Aug 26-
21 Sep 26: -Ditto-. Contractor yet to submit the EOT. Commercial to process HLEAR as confirmed/approved by claims team during the fornightly meeting on 21 Sep 26
04 Oct 26: Action with Commercial. Target date: 31 Oct 2026</v>
      </c>
      <c r="AV70" s="186" t="str">
        <f t="shared" si="1"/>
        <v/>
      </c>
      <c r="AW70" s="186" t="str">
        <f t="shared" si="13"/>
        <v>OPEN</v>
      </c>
      <c r="AX70" s="186" t="str">
        <f t="shared" si="2"/>
        <v>OPEN</v>
      </c>
      <c r="AY70" s="181">
        <f t="shared" si="14"/>
        <v>46286</v>
      </c>
      <c r="AZ70" s="181" t="str">
        <f t="shared" si="27"/>
        <v/>
      </c>
      <c r="BA70" s="181" t="str">
        <f t="shared" si="4"/>
        <v/>
      </c>
      <c r="BC70" s="181">
        <f>IFERROR(INDEX(Program_01!BF:BF,MATCH($B70,Program_01!$A:$A,0)),"")</f>
        <v>46286</v>
      </c>
      <c r="BD70" s="188">
        <f ca="1">IFERROR(INDEX(Program_01!BG:BG,MATCH($B70,Program_01!$A:$A,0)),"")</f>
        <v>14</v>
      </c>
      <c r="BE70" s="181">
        <f>IFERROR(INDEX(Program_01!BH:BH,MATCH($B70,Program_01!$A:$A,0)),"")</f>
        <v>0</v>
      </c>
      <c r="BF70" s="189">
        <f ca="1">IFERROR(INDEX(Program_01!BI:BI,MATCH($B70,Program_01!$A:$A,0)),"")</f>
        <v>0</v>
      </c>
      <c r="BG70" s="181">
        <f>IFERROR(INDEX(Program_01!BJ:BJ,MATCH($B70,Program_01!$A:$A,0)),"")</f>
        <v>0</v>
      </c>
      <c r="BH70" s="189">
        <f ca="1">IFERROR(INDEX(Program_01!BK:BK,MATCH($B70,Program_01!$A:$A,0)),"")</f>
        <v>0</v>
      </c>
      <c r="BI70" s="181">
        <f>IFERROR(INDEX(Program_01!BL:BL,MATCH($B70,Program_01!$A:$A,0)),"")</f>
        <v>0</v>
      </c>
      <c r="BK70" s="190" t="str">
        <f>IFERROR(IF(INDEX(Program_01!$BX:$BX,MATCH($B70,Program_01!$A:$A,0))=DATE(1900,1,0),"",INDEX(Program_01!$BX:$BX,MATCH($B70,Program_01!$A:$A,0))),"")</f>
        <v/>
      </c>
      <c r="BL70" s="190" t="str">
        <f>IFERROR(IF(INDEX(Program_01!$BY:$BY,MATCH($B70,Program_01!$A:$A,0))=DATE(1900,1,0),"",INDEX(Program_01!$BY:$BY,MATCH($B70,Program_01!$A:$A,0))),"")</f>
        <v/>
      </c>
      <c r="BM70" s="188" t="str">
        <f t="shared" ca="1" si="15"/>
        <v/>
      </c>
      <c r="BN70" s="191">
        <f t="shared" ca="1" si="16"/>
        <v>14</v>
      </c>
      <c r="BO70" s="188" t="str">
        <f t="shared" si="5"/>
        <v/>
      </c>
      <c r="BP70" s="188" t="str">
        <f t="shared" si="6"/>
        <v/>
      </c>
      <c r="BQ70" s="188" t="str">
        <f t="shared" ca="1" si="17"/>
        <v/>
      </c>
      <c r="BR70" s="181" t="str">
        <f t="shared" ca="1" si="28"/>
        <v/>
      </c>
      <c r="BT70" s="190" t="str">
        <f>IFERROR(IF(INDEX(Program_01!$BZ:$BZ,MATCH($B70,Program_01!$A:$A,0))=DATE(1900,1,0),"",INDEX(Program_01!$BZ:$BZ,MATCH($B70,Program_01!$A:$A,0))),"")</f>
        <v/>
      </c>
      <c r="BU70" s="182" t="str">
        <f t="shared" ca="1" si="22"/>
        <v/>
      </c>
      <c r="BV70" s="188" t="str">
        <f t="shared" si="7"/>
        <v/>
      </c>
      <c r="BW70" s="188" t="str">
        <f t="shared" si="8"/>
        <v/>
      </c>
      <c r="BX70" s="188" t="str">
        <f t="shared" ca="1" si="9"/>
        <v/>
      </c>
      <c r="BY70" s="181" t="str">
        <f t="shared" ca="1" si="29"/>
        <v/>
      </c>
      <c r="CA70" s="192" t="str">
        <f t="shared" si="20"/>
        <v>N</v>
      </c>
      <c r="CB70" s="192" t="str">
        <f t="shared" si="21"/>
        <v>N</v>
      </c>
      <c r="CC70" s="193">
        <f>IFERROR(INDEX(Program_01!$CE:$CE,MATCH($B70,Program_01!$A:$A,0)),"")</f>
        <v>45683</v>
      </c>
      <c r="CD70" s="193">
        <f t="shared" si="30"/>
        <v>45683</v>
      </c>
      <c r="CG70" s="194">
        <f>IFERROR(INDEX(Program_01!$AT:$AT,MATCH($B70,Program_01!$A:$A,0)),"")</f>
        <v>0</v>
      </c>
      <c r="CH70" s="194">
        <f>IFERROR(INDEX(Program_01!$AX:$AX,MATCH($B70,Program_01!$A:$A,0)),"")</f>
        <v>0</v>
      </c>
    </row>
    <row r="71" spans="1:86" s="187" customFormat="1" ht="408.75" customHeight="1">
      <c r="A71" s="174" t="s">
        <v>1</v>
      </c>
      <c r="B71" s="175">
        <v>53</v>
      </c>
      <c r="C71" s="176" t="str">
        <f>IFERROR(INDEX(Program_01!$B:$B,MATCH($B71,Program_01!$A:$A,0)),"")</f>
        <v>FULL TIA EAR</v>
      </c>
      <c r="D71" s="176" t="str">
        <f>IFERROR(INDEX(Program_01!$D:$D,MATCH($B71,Program_01!$A:$A,0)),"")</f>
        <v>1TB01100C29</v>
      </c>
      <c r="E71" s="176" t="str">
        <f>IFERROR(INDEX(Program_01!$E:$E,MATCH($B71,Program_01!$A:$A,0)),"")</f>
        <v>1.TB.01.100.00</v>
      </c>
      <c r="F71" s="176" t="str">
        <f>IFERROR(INDEX(Program_01!$F:$F,MATCH($B71,Program_01!$A:$A,0)),"")</f>
        <v>Marina Village - Wide</v>
      </c>
      <c r="G71" s="176" t="str">
        <f>IFERROR(INDEX(Program_01!$G:$G,MATCH($B71,Program_01!$A:$A,0)),"")</f>
        <v>AMAALA  Secondary Infrastructure Concrete Chambers MV Cabling  Dry  Wet Utilities South Corridor Works Package</v>
      </c>
      <c r="H71" s="176" t="str">
        <f>IFERROR(INDEX(Program_01!$H:$H,MATCH($B71,Program_01!$A:$A,0)),"")</f>
        <v>Arab Supply &amp; Trading Co. (ASTRA Construction)</v>
      </c>
      <c r="I71" s="176" t="str">
        <f t="shared" si="11"/>
        <v>EOT</v>
      </c>
      <c r="J71" s="176">
        <f>IFERROR(INDEX(Program_01!$I:$I,MATCH($B71,Program_01!$A:$A,0)),"")</f>
        <v>1</v>
      </c>
      <c r="K71" s="176">
        <f>IFERROR(INDEX(Program_01!$J:$J,MATCH($B71,Program_01!$A:$A,0)),"")</f>
        <v>0</v>
      </c>
      <c r="L71" s="176">
        <f>IFERROR(INDEX(Program_01!$K:$K,MATCH($B71,Program_01!$A:$A,0)),"")</f>
        <v>0</v>
      </c>
      <c r="M71" s="176">
        <f>IFERROR(INDEX(Program_01!$L:$L,MATCH($B71,Program_01!$A:$A,0)),"")</f>
        <v>0</v>
      </c>
      <c r="N71" s="176">
        <f>IFERROR(INDEX(Program_01!$L:$L,MATCH($B71,Program_01!$A:$A,0)),"")</f>
        <v>0</v>
      </c>
      <c r="O71" s="176">
        <f>IFERROR(INDEX(Program_01!$N:$N,MATCH($B71,Program_01!$A:$A,0)),"")</f>
        <v>0</v>
      </c>
      <c r="P71" s="178"/>
      <c r="Q71" s="179" t="str">
        <f>IFERROR(INDEX(Program_01!$C:$C,MATCH($B71,Program_01!$A:$A,0)),"")</f>
        <v>Extension 0f Time Claim No. 1</v>
      </c>
      <c r="R71" s="176" t="str">
        <f>IFERROR(INDEX(Program_01!$V:$V,MATCH($B71,Program_01!$A:$A,0)),"")</f>
        <v>1TB01100-100C29-ACN-LTR-0025</v>
      </c>
      <c r="S71" s="180">
        <f>IFERROR(INDEX(Program_01!$W:$W,MATCH($B71,Program_01!$A:$A,0)),"")</f>
        <v>45694</v>
      </c>
      <c r="T71" s="178"/>
      <c r="U71" s="176" t="str">
        <f>IFERROR(INDEX(Program_01!$Z:$Z,MATCH($B71,Program_01!$A:$A,0)),"")</f>
        <v>1TB01100-100C29-AMA-LTR-0030</v>
      </c>
      <c r="V71" s="181">
        <f>IFERROR(INDEX(Program_01!$AA:$AA,MATCH($B71,Program_01!$A:$A,0)),"")</f>
        <v>45776</v>
      </c>
      <c r="W71" s="182">
        <f ca="1">IF(OR($S71="",$V71="N/A"),"",IF(AND($S71&lt;&gt;0,$V71=0),TODAY()-$S71,IF(AND($S71&lt;&gt;"",$V71&lt;&gt;""),$V71-$S71)))</f>
        <v>82</v>
      </c>
      <c r="X71" s="51"/>
      <c r="Y71" s="179">
        <f>IFERROR(INDEX(Program_01!$BD:$BD,MATCH($B71,Program_01!$A:$A,0)),"")</f>
        <v>0</v>
      </c>
      <c r="Z71" s="51"/>
      <c r="AA71" s="183" t="str">
        <f>IFERROR(IF((INDEX(Program_01!$AD:$AD,MATCH($B71,Program_01!$A:$A,0))=""),INDEX(Program_01!$V:$V,MATCH($B71,Program_01!$A:$A,0)),INDEX(Program_01!$AD:$AD,MATCH($B71,Program_01!$A:$A,0))),"")</f>
        <v>1TB01100-100C29-ACC-LTR-0045 on 03 Jun 25
Astra shared supporting docuements via email on 11 Sep 25
Astra shared further supporting docuements via email to support some DEs on 14 Sep 25</v>
      </c>
      <c r="AB71" s="147">
        <f>IFERROR(IF((INDEX(Program_01!$AE:$AE,MATCH($B71,Program_01!$A:$A,0))=""),INDEX(Program_01!$W:$W,MATCH($B71,Program_01!$A:$A,0)),INDEX(Program_01!$AE:$AE,MATCH($B71,Program_01!$A:$A,0))),"")</f>
        <v>45914</v>
      </c>
      <c r="AC71" s="183" t="str">
        <f>IFERROR(IF($I71="EOT",INDEX(Program_01!$AN:$AN,MATCH($B71,Program_01!$A:$A,0)),INDEX(Program_01!$AY:$AY,MATCH($B71,Program_01!$A:$A,0))),"")</f>
        <v>1TB01100-100C29-AMA-LTR-0069</v>
      </c>
      <c r="AD71" s="181">
        <f>IFERROR(IF($I71="EOT",INDEX(Program_01!$AO:$AO,MATCH($B71,Program_01!$A:$A,0)),INDEX(Program_01!$AZ:$AZ,MATCH($B71,Program_01!$A:$A,0))),"")</f>
        <v>46042</v>
      </c>
      <c r="AE71" s="51"/>
      <c r="AF71" s="183"/>
      <c r="AG71" s="181"/>
      <c r="AH71" s="183">
        <f>IF(OR($D71="",$AS71="VO Issued",$AS71="Open"),"",IF(OR($AC71="Rejected",$AC71="Superseded",$AC71="Dealt Separately"),$AC71,IF($I71="EOT",INDEX(Program_01!$AR:$AR,MATCH($B71,Program_01!$A:$A,0)),INDEX(Program_01!$BB:$BB,MATCH($B71,Program_01!$A:$A,0)))))</f>
        <v>0</v>
      </c>
      <c r="AI71" s="181">
        <f>IF(OR($A71="",$B71="",$I71="",$AS71="VO Issued",$AS71="Open"),"",IF(OR($AD71="N/A"),$AD71,IF($I71="EOT",INDEX(Program_01!$AS:$AS,MATCH($B71,Program_01!$A:$A,0)),INDEX(Program_01!$BC:$BC,MATCH($B71,Program_01!$A:$A,0)))))</f>
        <v>0</v>
      </c>
      <c r="AJ71" s="183">
        <f>IF(OR($D71="",$I71="",$AS71="Determination Issued",$AS71="Rejected",$AS71="Open"),"",IF(OR($AH71="Rejected",$AH71="Dealt Separately",$AH71="Superseded",$AH71="Withdrawn"),"N/A",IF($I71="EOT",INDEX(Program_01!AR:AR,MATCH($B71,Program_01!A:A,0)),INDEX(Program_01!BB:BB,MATCH($B71,Program_01!A:A,0)))))</f>
        <v>0</v>
      </c>
      <c r="AK71" s="181">
        <f>IF(OR($A71="",$B71="",$I71="",$AS71="Determination Issued",$AS71="Rejected",$AS71="Open"),"",IF($AJ71="N/A","N/A",IF($I71="EOT",INDEX(Program_01!AS:AS,MATCH($B71,Program_01!A:A,0)),INDEX(Program_01!BC:BC,MATCH($B71,Program_01!A:A,0)))))</f>
        <v>0</v>
      </c>
      <c r="AL71" s="51"/>
      <c r="AM71" s="184">
        <f>IFERROR(INDEX(Program_01!$BT:$BT,MATCH($B71,Program_01!$A:$A,0)),"")</f>
        <v>0</v>
      </c>
      <c r="AN71" s="184">
        <f>IFERROR(INDEX(Program_01!$BU:$BU,MATCH($B71,Program_01!$A:$A,0)),"")</f>
        <v>0</v>
      </c>
      <c r="AO71" s="184">
        <f>IFERROR(INDEX(Program_01!$BV:$BV,MATCH($B71,Program_01!$A:$A,0)),"")</f>
        <v>0</v>
      </c>
      <c r="AP71" s="51" t="str">
        <f t="shared" si="12"/>
        <v/>
      </c>
      <c r="AQ71" s="184">
        <f>IFERROR(INDEX(Program_01!$BN:$BN,MATCH($B71,Program_01!$A:$A,0)),"")</f>
        <v>0</v>
      </c>
      <c r="AR71" s="184" t="str">
        <f>IFERROR(INDEX(Program_01!$BO:$BO,MATCH($B71,Program_01!$A:$A,0)),"")</f>
        <v>Assessment Report Issued</v>
      </c>
      <c r="AS71" s="184" t="str">
        <f>IFERROR(INDEX(Program_01!$BP:$BP,MATCH($B71,Program_01!$A:$A,0)),"")</f>
        <v>EI Issued</v>
      </c>
      <c r="AT71" s="185" t="str">
        <f>IFERROR(INDEX(Program_01!$BQ:$BQ,MATCH($B71,Program_01!$A:$A,0)),"")</f>
        <v>Closed</v>
      </c>
      <c r="AU71" s="179" t="str">
        <f>IFERROR(INDEX(Program_01!$BR:$BR,MATCH($B71,Program_01!$A:$A,0)),"")</f>
        <v>08 Sept 25: Targeted to finalise and submit to claims by 14 September 2025
24 Sep 25: Draft EAR sent to claims for review
06 Oct 25: ditto, review under progress, EAR reviewed by BK and sent back to commercial to update and resubmit using the right template.
19 Oct 25: EAR targeted to be send to claims team for review by 20 Oct 25.  
20 Oct 25: Draft EAR sent to claims for review
23 Oct 25: Draft report sent to planning to proceed with TIA
27 Oct 25: Targeted to conclude by (TBC) by next meeting
03 Nov 25: Ditto (Shaju to provide Target date)
10 Nov 25: Targeted to revert by 18 Nov 25
17 Nov 25: Ditto
23 Nov 25: Targeted to revert by 25 Nov 25
24 Nov 25: TIA being finalised, targeted to revert by 25 Nov 25
01 Dec 25: Ditto, Targeted to finalise by 03 Dec 2025
04 Dec 25: TIA incorporated and sent to commercial for finalisation
07 Dec 25: Final Draft sent to claims team for final review &amp; pre-approval prior to WF approvals
15 Dec 25: final draftf reviewed and pre approved by ED-Claims. commercial to initiate WF
11 Jan 26: Final EoT Report pending GCEO approval in WF-019516, 
12 Jan 26: EAR approved by GCEO, comm to prepare cover letter 
20 Jan 26: EAR issued to contractor via 1TB01100-100C29-AMA-LTR-0069
27 Jan 26: EAR issued to ASTRA via letter  (1TB01100-100C29-AMA-LTR-0069 date 20 Jan 2026) . Awaiting their feedback
07 Feb 26: Ditto
09 Feb 26: awaiting contractor's response
23 Feb 26: Contractor agreed with RSG assesment (1TB01100-100C29-ACC-LTR-0144 dated 01 February 2026). EI to award time in the WF for approval (WF-020844)
08 Mar 26 : EI issued to Astra Ref. 1TB01100-100C29-AMA-EMI-PM-0012</v>
      </c>
      <c r="AV71" s="186" t="str">
        <f t="shared" si="1"/>
        <v/>
      </c>
      <c r="AW71" s="186" t="str">
        <f t="shared" si="13"/>
        <v>CLOSED</v>
      </c>
      <c r="AX71" s="186" t="str">
        <f t="shared" si="2"/>
        <v>CLOSED</v>
      </c>
      <c r="AY71" s="181">
        <f t="shared" si="14"/>
        <v>45914</v>
      </c>
      <c r="AZ71" s="181">
        <f t="shared" si="27"/>
        <v>46042</v>
      </c>
      <c r="BA71" s="181">
        <f t="shared" si="4"/>
        <v>0</v>
      </c>
      <c r="BC71" s="181">
        <f>IFERROR(INDEX(Program_01!BF:BF,MATCH($B71,Program_01!$A:$A,0)),"")</f>
        <v>45914</v>
      </c>
      <c r="BD71" s="188" t="str">
        <f ca="1">IFERROR(INDEX(Program_01!BG:BG,MATCH($B71,Program_01!$A:$A,0)),"")</f>
        <v>N/A</v>
      </c>
      <c r="BE71" s="181">
        <f>IFERROR(INDEX(Program_01!BH:BH,MATCH($B71,Program_01!$A:$A,0)),"")</f>
        <v>0</v>
      </c>
      <c r="BF71" s="189">
        <f ca="1">IFERROR(INDEX(Program_01!BI:BI,MATCH($B71,Program_01!$A:$A,0)),"")</f>
        <v>0</v>
      </c>
      <c r="BG71" s="181">
        <f>IFERROR(INDEX(Program_01!BJ:BJ,MATCH($B71,Program_01!$A:$A,0)),"")</f>
        <v>0</v>
      </c>
      <c r="BH71" s="189">
        <f ca="1">IFERROR(INDEX(Program_01!BK:BK,MATCH($B71,Program_01!$A:$A,0)),"")</f>
        <v>0</v>
      </c>
      <c r="BI71" s="181">
        <f>IFERROR(INDEX(Program_01!BL:BL,MATCH($B71,Program_01!$A:$A,0)),"")</f>
        <v>0</v>
      </c>
      <c r="BK71" s="190">
        <f>IFERROR(IF(INDEX(Program_01!$BX:$BX,MATCH($B71,Program_01!$A:$A,0))=DATE(1900,1,0),"",INDEX(Program_01!$BX:$BX,MATCH($B71,Program_01!$A:$A,0))),"")</f>
        <v>46023</v>
      </c>
      <c r="BL71" s="190" t="str">
        <f>IFERROR(IF(INDEX(Program_01!$BY:$BY,MATCH($B71,Program_01!$A:$A,0))=DATE(1900,1,0),"",INDEX(Program_01!$BY:$BY,MATCH($B71,Program_01!$A:$A,0))),"")</f>
        <v/>
      </c>
      <c r="BM71" s="188">
        <f t="shared" ca="1" si="15"/>
        <v>128</v>
      </c>
      <c r="BN71" s="191">
        <f t="shared" ca="1" si="16"/>
        <v>128</v>
      </c>
      <c r="BO71" s="188">
        <f t="shared" ca="1" si="5"/>
        <v>128</v>
      </c>
      <c r="BP71" s="188" t="str">
        <f t="shared" si="6"/>
        <v>1</v>
      </c>
      <c r="BQ71" s="188" t="str">
        <f t="shared" ca="1" si="17"/>
        <v/>
      </c>
      <c r="BR71" s="181" t="str">
        <f t="shared" ca="1" si="28"/>
        <v/>
      </c>
      <c r="BT71" s="190" t="str">
        <f>IFERROR(IF(INDEX(Program_01!$BZ:$BZ,MATCH($B71,Program_01!$A:$A,0))=DATE(1900,1,0),"",INDEX(Program_01!$BZ:$BZ,MATCH($B71,Program_01!$A:$A,0))),"")</f>
        <v/>
      </c>
      <c r="BU71" s="182" t="str">
        <f t="shared" ca="1" si="22"/>
        <v/>
      </c>
      <c r="BV71" s="188" t="str">
        <f t="shared" si="7"/>
        <v/>
      </c>
      <c r="BW71" s="188" t="str">
        <f t="shared" si="8"/>
        <v>1</v>
      </c>
      <c r="BX71" s="188" t="str">
        <f t="shared" ca="1" si="9"/>
        <v/>
      </c>
      <c r="BY71" s="181" t="str">
        <f t="shared" ca="1" si="29"/>
        <v/>
      </c>
      <c r="CA71" s="192" t="str">
        <f t="shared" si="20"/>
        <v>Y</v>
      </c>
      <c r="CB71" s="192" t="str">
        <f t="shared" si="21"/>
        <v>N</v>
      </c>
      <c r="CC71" s="193">
        <f>IFERROR(INDEX(Program_01!$CE:$CE,MATCH($B71,Program_01!$A:$A,0)),"")</f>
        <v>45699</v>
      </c>
      <c r="CD71" s="193">
        <f t="shared" si="30"/>
        <v>45699</v>
      </c>
      <c r="CG71" s="194">
        <f>IFERROR(INDEX(Program_01!$AT:$AT,MATCH($B71,Program_01!$A:$A,0)),"")</f>
        <v>0</v>
      </c>
      <c r="CH71" s="194">
        <f>IFERROR(INDEX(Program_01!$AX:$AX,MATCH($B71,Program_01!$A:$A,0)),"")</f>
        <v>0</v>
      </c>
    </row>
    <row r="72" spans="1:86" s="187" customFormat="1" ht="408.75" customHeight="1">
      <c r="A72" s="174" t="s">
        <v>1</v>
      </c>
      <c r="B72" s="175">
        <v>54</v>
      </c>
      <c r="C72" s="176" t="str">
        <f>IFERROR(INDEX(Program_01!$B:$B,MATCH($B72,Program_01!$A:$A,0)),"")</f>
        <v>FULL TIA EAR</v>
      </c>
      <c r="D72" s="176" t="str">
        <f>IFERROR(INDEX(Program_01!$D:$D,MATCH($B72,Program_01!$A:$A,0)),"")</f>
        <v>1TB01005C45</v>
      </c>
      <c r="E72" s="176" t="str">
        <f>IFERROR(INDEX(Program_01!$E:$E,MATCH($B72,Program_01!$A:$A,0)),"")</f>
        <v>1.TB.01.005.01</v>
      </c>
      <c r="F72" s="176" t="str">
        <f>IFERROR(INDEX(Program_01!$F:$F,MATCH($B72,Program_01!$A:$A,0)),"")</f>
        <v>Red Sea Marine Life Institute</v>
      </c>
      <c r="G72" s="176" t="str">
        <f>IFERROR(INDEX(Program_01!$G:$G,MATCH($B72,Program_01!$A:$A,0)),"")</f>
        <v>Relocation and Construction of Marine Life Operational Facility</v>
      </c>
      <c r="H72" s="176" t="str">
        <f>IFERROR(INDEX(Program_01!$H:$H,MATCH($B72,Program_01!$A:$A,0)),"")</f>
        <v>OJEC ARABIA</v>
      </c>
      <c r="I72" s="176" t="str">
        <f t="shared" si="11"/>
        <v>EOT</v>
      </c>
      <c r="J72" s="176">
        <f>IFERROR(INDEX(Program_01!$I:$I,MATCH($B72,Program_01!$A:$A,0)),"")</f>
        <v>1</v>
      </c>
      <c r="K72" s="176">
        <f>IFERROR(INDEX(Program_01!$J:$J,MATCH($B72,Program_01!$A:$A,0)),"")</f>
        <v>0</v>
      </c>
      <c r="L72" s="176">
        <f>IFERROR(INDEX(Program_01!$K:$K,MATCH($B72,Program_01!$A:$A,0)),"")</f>
        <v>0</v>
      </c>
      <c r="M72" s="176">
        <f>IFERROR(INDEX(Program_01!$L:$L,MATCH($B72,Program_01!$A:$A,0)),"")</f>
        <v>0</v>
      </c>
      <c r="N72" s="176">
        <f>IFERROR(INDEX(Program_01!$L:$L,MATCH($B72,Program_01!$A:$A,0)),"")</f>
        <v>0</v>
      </c>
      <c r="O72" s="176">
        <f>IFERROR(INDEX(Program_01!$N:$N,MATCH($B72,Program_01!$A:$A,0)),"")</f>
        <v>0</v>
      </c>
      <c r="P72" s="178"/>
      <c r="Q72" s="179" t="str">
        <f>IFERROR(INDEX(Program_01!$C:$C,MATCH($B72,Program_01!$A:$A,0)),"")</f>
        <v>Extension 0f Time Claim No. 1</v>
      </c>
      <c r="R72" s="176" t="str">
        <f>IFERROR(INDEX(Program_01!$V:$V,MATCH($B72,Program_01!$A:$A,0)),"")</f>
        <v>1TB01005-005C45-OJC-LTR-0001</v>
      </c>
      <c r="S72" s="180">
        <f>IFERROR(INDEX(Program_01!$W:$W,MATCH($B72,Program_01!$A:$A,0)),"")</f>
        <v>45694</v>
      </c>
      <c r="T72" s="178"/>
      <c r="U72" s="176" t="str">
        <f>IFERROR(INDEX(Program_01!$Z:$Z,MATCH($B72,Program_01!$A:$A,0)),"")</f>
        <v>N/A</v>
      </c>
      <c r="V72" s="181" t="str">
        <f>IFERROR(INDEX(Program_01!$AA:$AA,MATCH($B72,Program_01!$A:$A,0)),"")</f>
        <v>N/A</v>
      </c>
      <c r="W72" s="182" t="str">
        <f t="shared" ca="1" si="0"/>
        <v/>
      </c>
      <c r="X72" s="51"/>
      <c r="Y72" s="179">
        <f>IFERROR(INDEX(Program_01!$BD:$BD,MATCH($B72,Program_01!$A:$A,0)),"")</f>
        <v>0</v>
      </c>
      <c r="Z72" s="51"/>
      <c r="AA72" s="183" t="str">
        <f>IFERROR(IF((INDEX(Program_01!$AD:$AD,MATCH($B72,Program_01!$A:$A,0))=""),INDEX(Program_01!$V:$V,MATCH($B72,Program_01!$A:$A,0)),INDEX(Program_01!$AD:$AD,MATCH($B72,Program_01!$A:$A,0))),"")</f>
        <v>1TB01005-005C45-OJC-LTR-0001</v>
      </c>
      <c r="AB72" s="147">
        <f>IFERROR(IF((INDEX(Program_01!$AE:$AE,MATCH($B72,Program_01!$A:$A,0))=""),INDEX(Program_01!$W:$W,MATCH($B72,Program_01!$A:$A,0)),INDEX(Program_01!$AE:$AE,MATCH($B72,Program_01!$A:$A,0))),"")</f>
        <v>45694</v>
      </c>
      <c r="AC72" s="183" t="str">
        <f>IFERROR(IF($I72="EOT",INDEX(Program_01!$AN:$AN,MATCH($B72,Program_01!$A:$A,0)),INDEX(Program_01!$AY:$AY,MATCH($B72,Program_01!$A:$A,0))),"")</f>
        <v>1TB01005-005C45-AMA-LTR-0012</v>
      </c>
      <c r="AD72" s="181">
        <f>IFERROR(IF($I72="EOT",INDEX(Program_01!$AO:$AO,MATCH($B72,Program_01!$A:$A,0)),INDEX(Program_01!$AZ:$AZ,MATCH($B72,Program_01!$A:$A,0))),"")</f>
        <v>45855</v>
      </c>
      <c r="AE72" s="51"/>
      <c r="AF72" s="183"/>
      <c r="AG72" s="181"/>
      <c r="AH72" s="183">
        <f>IF(OR($D72="",$AS72="VO Issued",$AS72="Open"),"",IF(OR($AC72="Rejected",$AC72="Superseded",$AC72="Dealt Separately"),$AC72,IF($I72="EOT",INDEX(Program_01!$AR:$AR,MATCH($B72,Program_01!$A:$A,0)),INDEX(Program_01!$BB:$BB,MATCH($B72,Program_01!$A:$A,0)))))</f>
        <v>0</v>
      </c>
      <c r="AI72" s="181">
        <f>IF(OR($A72="",$B72="",$I72="",$AS72="VO Issued",$AS72="Open"),"",IF(OR($AD72="N/A"),$AD72,IF($I72="EOT",INDEX(Program_01!$AS:$AS,MATCH($B72,Program_01!$A:$A,0)),INDEX(Program_01!$BC:$BC,MATCH($B72,Program_01!$A:$A,0)))))</f>
        <v>0</v>
      </c>
      <c r="AJ72" s="183" t="str">
        <f>IF(OR($D72="",$I72="",$AS72="Determination Issued",$AS72="Rejected",$AS72="Open"),"",IF(OR($AH72="Rejected",$AH72="Dealt Separately",$AH72="Superseded",$AH72="Withdrawn"),"N/A",IF($I72="EOT",INDEX(Program_01!AR:AR,MATCH($B72,Program_01!A:A,0)),INDEX(Program_01!BB:BB,MATCH($B72,Program_01!A:A,0)))))</f>
        <v/>
      </c>
      <c r="AK72" s="181" t="str">
        <f>IF(OR($A72="",$B72="",$I72="",$AS72="Determination Issued",$AS72="Rejected",$AS72="Open"),"",IF($AJ72="N/A","N/A",IF($I72="EOT",INDEX(Program_01!AS:AS,MATCH($B72,Program_01!A:A,0)),INDEX(Program_01!BC:BC,MATCH($B72,Program_01!A:A,0)))))</f>
        <v/>
      </c>
      <c r="AL72" s="51"/>
      <c r="AM72" s="184">
        <f>IFERROR(INDEX(Program_01!$BT:$BT,MATCH($B72,Program_01!$A:$A,0)),"")</f>
        <v>0</v>
      </c>
      <c r="AN72" s="184">
        <f>IFERROR(INDEX(Program_01!$BU:$BU,MATCH($B72,Program_01!$A:$A,0)),"")</f>
        <v>0</v>
      </c>
      <c r="AO72" s="184">
        <f>IFERROR(INDEX(Program_01!$BV:$BV,MATCH($B72,Program_01!$A:$A,0)),"")</f>
        <v>0</v>
      </c>
      <c r="AP72" s="51" t="str">
        <f t="shared" si="12"/>
        <v/>
      </c>
      <c r="AQ72" s="184">
        <f>IFERROR(INDEX(Program_01!$BN:$BN,MATCH($B72,Program_01!$A:$A,0)),"")</f>
        <v>0</v>
      </c>
      <c r="AR72" s="184" t="str">
        <f>IFERROR(INDEX(Program_01!$BO:$BO,MATCH($B72,Program_01!$A:$A,0)),"")</f>
        <v>Assessment Report Issued</v>
      </c>
      <c r="AS72" s="184" t="str">
        <f>IFERROR(INDEX(Program_01!$BP:$BP,MATCH($B72,Program_01!$A:$A,0)),"")</f>
        <v>Determination Issued</v>
      </c>
      <c r="AT72" s="185" t="str">
        <f>IFERROR(INDEX(Program_01!$BQ:$BQ,MATCH($B72,Program_01!$A:$A,0)),"")</f>
        <v>Closed</v>
      </c>
      <c r="AU72" s="179" t="str">
        <f>IFERROR(INDEX(Program_01!$BR:$BR,MATCH($B72,Program_01!$A:$A,0)),"")</f>
        <v xml:space="preserve">14 Apr 25: TIA under process, targted to revert by end of the week (17 Apr 25)
22 Apr 24: Ditto, will be revereted EoD
24 Apr 24: commercial to confirm that the quantities from the claim submission has been reviewed and accepted by the Commercial team
28 Apr 25: Draft EAR sent to claims for review
05 may 25: Ditto
07 May 25: Final assessment report approved by claims &amp; sent to commercial to proceed with WF
18 May 2025 - EOT assessment report issued to WF but rejected due to date discrepancy - Updated needed with re-issue to WF
26 May 25: Revised EAR draft sent to claims team for approval
01 Jun 25: Final EAR approved by claims, commercial to initiate WF
02 Jun 25: Workflow initiated for EAR under ref WF-030183
14 June 25: Ditto
30 Jun 25: Assessment report WF approved on 25 Jun - Cover letter and claim on WF in WF (WF-031024)
13 Jul 25: Awaiting response from Contractor. (comm to provide letter ref and issued date)
14 Jul 25: cover letter still in workflow, approval pendfing with lead planning, assessment report yet to be issued to contractor 
17 Jul 25: Assessment report issued to contractor via 1TB01005-005C45-AMA-LTR-0012, awaiting contractor's acceptance
28 Jul 25 Ditto
12 Aug 25 - Commercial team chasing for a response.
25 Aug 23: Ditto - Contractor keeps postponing the acceptence, because it is linked with ToC documents submission and OJEC EOT 02 resubmission - Contractor's internal approval proccess issue. 
06 Sept 25: Additional information recieved via email on 25 Aug 25 - This is being reviewed by the Project team, by 11 Sept
08 Sept 25: additiaonl info refered to above did not challenge EOT-01.  Commercial to proceed with Determination 
06 Oct 25: 1TB01005-005C45-AMA-LTR-0017 determination issued 02 Oct </v>
      </c>
      <c r="AV72" s="186" t="str">
        <f t="shared" si="1"/>
        <v/>
      </c>
      <c r="AW72" s="186" t="str">
        <f t="shared" si="13"/>
        <v>CLOSED</v>
      </c>
      <c r="AX72" s="186" t="str">
        <f t="shared" si="2"/>
        <v>CLOSED</v>
      </c>
      <c r="AY72" s="181">
        <f t="shared" si="14"/>
        <v>45694</v>
      </c>
      <c r="AZ72" s="181">
        <f t="shared" si="27"/>
        <v>45855</v>
      </c>
      <c r="BA72" s="181">
        <f t="shared" si="4"/>
        <v>0</v>
      </c>
      <c r="BC72" s="181">
        <f>IFERROR(INDEX(Program_01!BF:BF,MATCH($B72,Program_01!$A:$A,0)),"")</f>
        <v>45694</v>
      </c>
      <c r="BD72" s="188" t="str">
        <f ca="1">IFERROR(INDEX(Program_01!BG:BG,MATCH($B72,Program_01!$A:$A,0)),"")</f>
        <v>N/A</v>
      </c>
      <c r="BE72" s="181">
        <f>IFERROR(INDEX(Program_01!BH:BH,MATCH($B72,Program_01!$A:$A,0)),"")</f>
        <v>0</v>
      </c>
      <c r="BF72" s="189">
        <f ca="1">IFERROR(INDEX(Program_01!BI:BI,MATCH($B72,Program_01!$A:$A,0)),"")</f>
        <v>0</v>
      </c>
      <c r="BG72" s="181">
        <f>IFERROR(INDEX(Program_01!BJ:BJ,MATCH($B72,Program_01!$A:$A,0)),"")</f>
        <v>0</v>
      </c>
      <c r="BH72" s="189">
        <f ca="1">IFERROR(INDEX(Program_01!BK:BK,MATCH($B72,Program_01!$A:$A,0)),"")</f>
        <v>0</v>
      </c>
      <c r="BI72" s="181">
        <f>IFERROR(INDEX(Program_01!BL:BL,MATCH($B72,Program_01!$A:$A,0)),"")</f>
        <v>0</v>
      </c>
      <c r="BK72" s="190">
        <f>IFERROR(IF(INDEX(Program_01!$BX:$BX,MATCH($B72,Program_01!$A:$A,0))=DATE(1900,1,0),"",INDEX(Program_01!$BX:$BX,MATCH($B72,Program_01!$A:$A,0))),"")</f>
        <v>45855</v>
      </c>
      <c r="BL72" s="190" t="str">
        <f>IFERROR(IF(INDEX(Program_01!$BY:$BY,MATCH($B72,Program_01!$A:$A,0))=DATE(1900,1,0),"",INDEX(Program_01!$BY:$BY,MATCH($B72,Program_01!$A:$A,0))),"")</f>
        <v/>
      </c>
      <c r="BM72" s="188">
        <f t="shared" ca="1" si="15"/>
        <v>161</v>
      </c>
      <c r="BN72" s="191">
        <f t="shared" ca="1" si="16"/>
        <v>161</v>
      </c>
      <c r="BO72" s="188">
        <f t="shared" ca="1" si="5"/>
        <v>161</v>
      </c>
      <c r="BP72" s="188" t="str">
        <f t="shared" si="6"/>
        <v>1</v>
      </c>
      <c r="BQ72" s="188" t="str">
        <f t="shared" ca="1" si="17"/>
        <v/>
      </c>
      <c r="BR72" s="181" t="str">
        <f t="shared" ca="1" si="28"/>
        <v/>
      </c>
      <c r="BT72" s="190" t="str">
        <f>IFERROR(IF(INDEX(Program_01!$BZ:$BZ,MATCH($B72,Program_01!$A:$A,0))=DATE(1900,1,0),"",INDEX(Program_01!$BZ:$BZ,MATCH($B72,Program_01!$A:$A,0))),"")</f>
        <v/>
      </c>
      <c r="BU72" s="182" t="str">
        <f t="shared" ca="1" si="22"/>
        <v/>
      </c>
      <c r="BV72" s="188" t="str">
        <f t="shared" ca="1" si="7"/>
        <v/>
      </c>
      <c r="BW72" s="188" t="str">
        <f t="shared" si="8"/>
        <v>1</v>
      </c>
      <c r="BX72" s="188" t="str">
        <f t="shared" ca="1" si="9"/>
        <v/>
      </c>
      <c r="BY72" s="181" t="str">
        <f t="shared" ca="1" si="29"/>
        <v/>
      </c>
      <c r="CA72" s="192" t="str">
        <f t="shared" si="20"/>
        <v>Y</v>
      </c>
      <c r="CB72" s="192" t="str">
        <f t="shared" si="21"/>
        <v>Y</v>
      </c>
      <c r="CC72" s="193">
        <f>IFERROR(INDEX(Program_01!$CE:$CE,MATCH($B72,Program_01!$A:$A,0)),"")</f>
        <v>45699</v>
      </c>
      <c r="CD72" s="193">
        <f t="shared" si="30"/>
        <v>45699</v>
      </c>
      <c r="CG72" s="194">
        <f>IFERROR(INDEX(Program_01!$AT:$AT,MATCH($B72,Program_01!$A:$A,0)),"")</f>
        <v>0</v>
      </c>
      <c r="CH72" s="194">
        <f>IFERROR(INDEX(Program_01!$AX:$AX,MATCH($B72,Program_01!$A:$A,0)),"")</f>
        <v>0</v>
      </c>
    </row>
    <row r="73" spans="1:86" s="187" customFormat="1" ht="409.6">
      <c r="A73" s="174" t="s">
        <v>1</v>
      </c>
      <c r="B73" s="175">
        <v>55</v>
      </c>
      <c r="C73" s="176" t="str">
        <f>IFERROR(INDEX(Program_01!$B:$B,MATCH($B73,Program_01!$A:$A,0)),"")</f>
        <v>COST EAR</v>
      </c>
      <c r="D73" s="176" t="str">
        <f>IFERROR(INDEX(Program_01!$D:$D,MATCH($B73,Program_01!$A:$A,0)),"")</f>
        <v>1TB01005C45</v>
      </c>
      <c r="E73" s="176" t="str">
        <f>IFERROR(INDEX(Program_01!$E:$E,MATCH($B73,Program_01!$A:$A,0)),"")</f>
        <v>1.TB.01.005.01</v>
      </c>
      <c r="F73" s="176" t="str">
        <f>IFERROR(INDEX(Program_01!$F:$F,MATCH($B73,Program_01!$A:$A,0)),"")</f>
        <v>Red Sea Marine Life Institute</v>
      </c>
      <c r="G73" s="176" t="str">
        <f>IFERROR(INDEX(Program_01!$G:$G,MATCH($B73,Program_01!$A:$A,0)),"")</f>
        <v>Relocation and Construction of Marine Life Operational Facility</v>
      </c>
      <c r="H73" s="176" t="str">
        <f>IFERROR(INDEX(Program_01!$H:$H,MATCH($B73,Program_01!$A:$A,0)),"")</f>
        <v>OJEC ARABIA</v>
      </c>
      <c r="I73" s="176" t="str">
        <f t="shared" si="11"/>
        <v>Prolongation</v>
      </c>
      <c r="J73" s="176">
        <f>IFERROR(INDEX(Program_01!$I:$I,MATCH($B73,Program_01!$A:$A,0)),"")</f>
        <v>0</v>
      </c>
      <c r="K73" s="176">
        <f>IFERROR(INDEX(Program_01!$J:$J,MATCH($B73,Program_01!$A:$A,0)),"")</f>
        <v>1</v>
      </c>
      <c r="L73" s="176">
        <f>IFERROR(INDEX(Program_01!$K:$K,MATCH($B73,Program_01!$A:$A,0)),"")</f>
        <v>0</v>
      </c>
      <c r="M73" s="176">
        <f>IFERROR(INDEX(Program_01!$L:$L,MATCH($B73,Program_01!$A:$A,0)),"")</f>
        <v>0</v>
      </c>
      <c r="N73" s="176">
        <f>IFERROR(INDEX(Program_01!$L:$L,MATCH($B73,Program_01!$A:$A,0)),"")</f>
        <v>0</v>
      </c>
      <c r="O73" s="176">
        <f>IFERROR(INDEX(Program_01!$N:$N,MATCH($B73,Program_01!$A:$A,0)),"")</f>
        <v>0</v>
      </c>
      <c r="P73" s="178"/>
      <c r="Q73" s="179" t="str">
        <f>IFERROR(INDEX(Program_01!$C:$C,MATCH($B73,Program_01!$A:$A,0)),"")</f>
        <v>Extension 0f Time Claim No. 1</v>
      </c>
      <c r="R73" s="176" t="str">
        <f>IFERROR(INDEX(Program_01!$V:$V,MATCH($B73,Program_01!$A:$A,0)),"")</f>
        <v>1TB01005-005C45-OJC-LTR-0001</v>
      </c>
      <c r="S73" s="180">
        <f>IFERROR(INDEX(Program_01!$W:$W,MATCH($B73,Program_01!$A:$A,0)),"")</f>
        <v>45694</v>
      </c>
      <c r="T73" s="178"/>
      <c r="U73" s="176">
        <f>IFERROR(INDEX(Program_01!$Z:$Z,MATCH($B73,Program_01!$A:$A,0)),"")</f>
        <v>0</v>
      </c>
      <c r="V73" s="181" t="str">
        <f>IFERROR(INDEX(Program_01!$AA:$AA,MATCH($B73,Program_01!$A:$A,0)),"")</f>
        <v>N/A</v>
      </c>
      <c r="W73" s="182" t="str">
        <f t="shared" ca="1" si="0"/>
        <v/>
      </c>
      <c r="X73" s="51"/>
      <c r="Y73" s="179">
        <f>IFERROR(INDEX(Program_01!$BD:$BD,MATCH($B73,Program_01!$A:$A,0)),"")</f>
        <v>0</v>
      </c>
      <c r="Z73" s="51"/>
      <c r="AA73" s="183" t="str">
        <f>IFERROR(IF((INDEX(Program_01!$AD:$AD,MATCH($B73,Program_01!$A:$A,0))=""),INDEX(Program_01!$V:$V,MATCH($B73,Program_01!$A:$A,0)),INDEX(Program_01!$AD:$AD,MATCH($B73,Program_01!$A:$A,0))),"")</f>
        <v>1TB01005-005C45-OJC-LTR-0001</v>
      </c>
      <c r="AB73" s="147">
        <f>IFERROR(IF((INDEX(Program_01!$AE:$AE,MATCH($B73,Program_01!$A:$A,0))=""),INDEX(Program_01!$W:$W,MATCH($B73,Program_01!$A:$A,0)),INDEX(Program_01!$AE:$AE,MATCH($B73,Program_01!$A:$A,0))),"")</f>
        <v>45694</v>
      </c>
      <c r="AC73" s="183" t="str">
        <f>IFERROR(IF($I73="EOT",INDEX(Program_01!$AN:$AN,MATCH($B73,Program_01!$A:$A,0)),INDEX(Program_01!$AY:$AY,MATCH($B73,Program_01!$A:$A,0))),"")</f>
        <v>1TB01005-005C45-AMA-DVO-CM-0001</v>
      </c>
      <c r="AD73" s="181">
        <f>IFERROR(IF($I73="EOT",INDEX(Program_01!$AO:$AO,MATCH($B73,Program_01!$A:$A,0)),INDEX(Program_01!$AZ:$AZ,MATCH($B73,Program_01!$A:$A,0))),"")</f>
        <v>46174</v>
      </c>
      <c r="AE73" s="51"/>
      <c r="AF73" s="183"/>
      <c r="AG73" s="181"/>
      <c r="AH73" s="183">
        <f>IF(OR($D73="",$AS73="VO Issued",$AS73="Open"),"",IF(OR($AC73="Rejected",$AC73="Superseded",$AC73="Dealt Separately"),$AC73,IF($I73="EOT",INDEX(Program_01!$AR:$AR,MATCH($B73,Program_01!$A:$A,0)),INDEX(Program_01!$BB:$BB,MATCH($B73,Program_01!$A:$A,0)))))</f>
        <v>0</v>
      </c>
      <c r="AI73" s="181">
        <f>IF(OR($A73="",$B73="",$I73="",$AS73="VO Issued",$AS73="Open"),"",IF(OR($AD73="N/A"),$AD73,IF($I73="EOT",INDEX(Program_01!$AS:$AS,MATCH($B73,Program_01!$A:$A,0)),INDEX(Program_01!$BC:$BC,MATCH($B73,Program_01!$A:$A,0)))))</f>
        <v>0</v>
      </c>
      <c r="AJ73" s="183">
        <f>IF(OR($D73="",$I73="",$AS73="Determination Issued",$AS73="Rejected",$AS73="Open"),"",IF(OR($AH73="Rejected",$AH73="Dealt Separately",$AH73="Superseded",$AH73="Withdrawn"),"N/A",IF($I73="EOT",INDEX(Program_01!AR:AR,MATCH($B73,Program_01!A:A,0)),INDEX(Program_01!BB:BB,MATCH($B73,Program_01!A:A,0)))))</f>
        <v>0</v>
      </c>
      <c r="AK73" s="181">
        <f>IF(OR($A73="",$B73="",$I73="",$AS73="Determination Issued",$AS73="Rejected",$AS73="Open"),"",IF($AJ73="N/A","N/A",IF($I73="EOT",INDEX(Program_01!AS:AS,MATCH($B73,Program_01!A:A,0)),INDEX(Program_01!BC:BC,MATCH($B73,Program_01!A:A,0)))))</f>
        <v>0</v>
      </c>
      <c r="AL73" s="51"/>
      <c r="AM73" s="184">
        <f>IFERROR(INDEX(Program_01!$BT:$BT,MATCH($B73,Program_01!$A:$A,0)),"")</f>
        <v>0</v>
      </c>
      <c r="AN73" s="184">
        <f>IFERROR(INDEX(Program_01!$BU:$BU,MATCH($B73,Program_01!$A:$A,0)),"")</f>
        <v>0</v>
      </c>
      <c r="AO73" s="184">
        <f>IFERROR(INDEX(Program_01!$BV:$BV,MATCH($B73,Program_01!$A:$A,0)),"")</f>
        <v>0</v>
      </c>
      <c r="AP73" s="51" t="str">
        <f t="shared" si="12"/>
        <v/>
      </c>
      <c r="AQ73" s="184">
        <f>IFERROR(INDEX(Program_01!$BN:$BN,MATCH($B73,Program_01!$A:$A,0)),"")</f>
        <v>0</v>
      </c>
      <c r="AR73" s="184" t="str">
        <f>IFERROR(INDEX(Program_01!$BO:$BO,MATCH($B73,Program_01!$A:$A,0)),"")</f>
        <v>Canceled</v>
      </c>
      <c r="AS73" s="184" t="str">
        <f>IFERROR(INDEX(Program_01!$BP:$BP,MATCH($B73,Program_01!$A:$A,0)),"")</f>
        <v>DVO Issued</v>
      </c>
      <c r="AT73" s="185" t="str">
        <f>IFERROR(INDEX(Program_01!$BQ:$BQ,MATCH($B73,Program_01!$A:$A,0)),"")</f>
        <v>Closed</v>
      </c>
      <c r="AU73" s="179" t="str">
        <f>IFERROR(INDEX(Program_01!$BR:$BR,MATCH($B73,Program_01!$A:$A,0)),"")</f>
        <v xml:space="preserve">22 Feb 25: BK issued commercial assessment report to claims team on 20 Feb 25
02 June 25: WF reinitiated WF-030183 claim rejected (no prolongation cost)
14 June 25: Ditto
28 Jun 25: Assessment report WF approved on 25 Jun - Cover letter and claim on WF and will be issued when approved
17 Nov 25: Meetings on-going with OJEC to close any prelim costs with the Variaition 01 - Conclusion targeted by end Nov 25.
01 Dec 25: Ditto
12 Dec 25: Project team responded to Contractor's latest submission via email on 11 Dec 25 - Project team to raise RFA internally to gain approval on formal determination. To be submitted to WF by Mid Jan.
09 Jan 26: Variation Order 01 is determined and Variation Costs are agreed. We will proceed to formally determine EoT 1 - By End Jan.
22 Jan 26: Ditto
07 Feb 26: EI award issued on 03 Feb 26 (1TB01005-005C45-AMA-LTR-0020) 
21 Feb 26: No response from Contractor. Project team believe this matter is now closed? Please advise any further action? 
23 Feb 26: Comm to confirm with the contractor whether the contractor will be claiming for further cost other than the variation
08 Mar 26: We have asked the question but the Contractor is reluctant to do so. They are still waiting to receive the EoT 02 assessment, the feel they should have been given other Variations and they are unable to obtain a TOC due to FLS compliance.
06 Apr 26 - Ditto
20 Apr 26 - Ditto
04 May 26 - Ditto
18 May 26 - Ditto
31 May 26: Ditto
04 Jun 26: Ditto
15 Jun 26: Ditto
29 June 26: Ditto
13 Jul 26: Ditto, commercial to check and confirm the determination
26 Jul 26: Employer Instruction No.PM-0003 (1TB01005-005C45-AMA-EMI-PM-0003) confirms that the Contractor's Cost Entitlement for EoT 01 has been determined via DVO 01. (1TB01005-005C45-AMA-DVO-CM-0001)
</v>
      </c>
      <c r="AV73" s="186" t="str">
        <f t="shared" si="1"/>
        <v/>
      </c>
      <c r="AW73" s="186" t="str">
        <f t="shared" si="13"/>
        <v>CLOSED</v>
      </c>
      <c r="AX73" s="186" t="str">
        <f t="shared" si="2"/>
        <v>CLOSED</v>
      </c>
      <c r="AY73" s="181">
        <f t="shared" si="14"/>
        <v>45694</v>
      </c>
      <c r="AZ73" s="181">
        <f t="shared" si="27"/>
        <v>46174</v>
      </c>
      <c r="BA73" s="181">
        <f t="shared" si="4"/>
        <v>0</v>
      </c>
      <c r="BC73" s="181">
        <f>IFERROR(INDEX(Program_01!BF:BF,MATCH($B73,Program_01!$A:$A,0)),"")</f>
        <v>45694</v>
      </c>
      <c r="BD73" s="188" t="str">
        <f ca="1">IFERROR(INDEX(Program_01!BG:BG,MATCH($B73,Program_01!$A:$A,0)),"")</f>
        <v>N/A</v>
      </c>
      <c r="BE73" s="181">
        <f>IFERROR(INDEX(Program_01!BH:BH,MATCH($B73,Program_01!$A:$A,0)),"")</f>
        <v>0</v>
      </c>
      <c r="BF73" s="189" t="str">
        <f ca="1">IFERROR(INDEX(Program_01!BI:BI,MATCH($B73,Program_01!$A:$A,0)),"")</f>
        <v>N/A</v>
      </c>
      <c r="BG73" s="181">
        <f>IFERROR(INDEX(Program_01!BJ:BJ,MATCH($B73,Program_01!$A:$A,0)),"")</f>
        <v>0</v>
      </c>
      <c r="BH73" s="189">
        <f ca="1">IFERROR(INDEX(Program_01!BK:BK,MATCH($B73,Program_01!$A:$A,0)),"")</f>
        <v>0</v>
      </c>
      <c r="BI73" s="181">
        <f>IFERROR(INDEX(Program_01!BL:BL,MATCH($B73,Program_01!$A:$A,0)),"")</f>
        <v>0</v>
      </c>
      <c r="BK73" s="190">
        <f>IFERROR(IF(INDEX(Program_01!$BX:$BX,MATCH($B73,Program_01!$A:$A,0))=DATE(1900,1,0),"",INDEX(Program_01!$BX:$BX,MATCH($B73,Program_01!$A:$A,0))),"")</f>
        <v>46235</v>
      </c>
      <c r="BL73" s="190" t="str">
        <f>IFERROR(IF(INDEX(Program_01!$BY:$BY,MATCH($B73,Program_01!$A:$A,0))=DATE(1900,1,0),"",INDEX(Program_01!$BY:$BY,MATCH($B73,Program_01!$A:$A,0))),"")</f>
        <v/>
      </c>
      <c r="BM73" s="188">
        <f t="shared" ca="1" si="15"/>
        <v>480</v>
      </c>
      <c r="BN73" s="191">
        <f t="shared" ca="1" si="16"/>
        <v>480</v>
      </c>
      <c r="BO73" s="188" t="str">
        <f t="shared" si="5"/>
        <v/>
      </c>
      <c r="BP73" s="188" t="str">
        <f t="shared" si="6"/>
        <v>1</v>
      </c>
      <c r="BQ73" s="188" t="str">
        <f t="shared" ca="1" si="17"/>
        <v/>
      </c>
      <c r="BR73" s="181" t="str">
        <f t="shared" ca="1" si="28"/>
        <v/>
      </c>
      <c r="BT73" s="190">
        <f>IFERROR(IF(INDEX(Program_01!$BZ:$BZ,MATCH($B73,Program_01!$A:$A,0))=DATE(1900,1,0),"",INDEX(Program_01!$BZ:$BZ,MATCH($B73,Program_01!$A:$A,0))),"")</f>
        <v>46174</v>
      </c>
      <c r="BU73" s="182" t="str">
        <f t="shared" ca="1" si="22"/>
        <v/>
      </c>
      <c r="BV73" s="188" t="str">
        <f t="shared" si="7"/>
        <v/>
      </c>
      <c r="BW73" s="188" t="str">
        <f t="shared" si="8"/>
        <v>1</v>
      </c>
      <c r="BX73" s="188" t="str">
        <f t="shared" ca="1" si="9"/>
        <v/>
      </c>
      <c r="BY73" s="181" t="str">
        <f t="shared" ca="1" si="29"/>
        <v/>
      </c>
      <c r="CA73" s="192" t="str">
        <f t="shared" si="20"/>
        <v>N</v>
      </c>
      <c r="CB73" s="192" t="str">
        <f t="shared" si="21"/>
        <v>N</v>
      </c>
      <c r="CC73" s="193">
        <f>IFERROR(INDEX(Program_01!$CE:$CE,MATCH($B73,Program_01!$A:$A,0)),"")</f>
        <v>45699</v>
      </c>
      <c r="CD73" s="193">
        <f t="shared" si="30"/>
        <v>45699</v>
      </c>
      <c r="CG73" s="194">
        <f>IFERROR(INDEX(Program_01!$AT:$AT,MATCH($B73,Program_01!$A:$A,0)),"")</f>
        <v>2988659.46</v>
      </c>
      <c r="CH73" s="194">
        <f>IFERROR(INDEX(Program_01!$AX:$AX,MATCH($B73,Program_01!$A:$A,0)),"")</f>
        <v>0</v>
      </c>
    </row>
    <row r="74" spans="1:86" s="187" customFormat="1" ht="408.75" customHeight="1">
      <c r="A74" s="174" t="s">
        <v>1</v>
      </c>
      <c r="B74" s="175">
        <v>56</v>
      </c>
      <c r="C74" s="176" t="str">
        <f>IFERROR(INDEX(Program_01!$B:$B,MATCH($B74,Program_01!$A:$A,0)),"")</f>
        <v>FULL TIA EAR</v>
      </c>
      <c r="D74" s="176" t="str">
        <f>IFERROR(INDEX(Program_01!$D:$D,MATCH($B74,Program_01!$A:$A,0)),"")</f>
        <v>1TB01003C27</v>
      </c>
      <c r="E74" s="176" t="str">
        <f>IFERROR(INDEX(Program_01!$E:$E,MATCH($B74,Program_01!$A:$A,0)),"")</f>
        <v>1.TB.01.003.01</v>
      </c>
      <c r="F74" s="176" t="str">
        <f>IFERROR(INDEX(Program_01!$F:$F,MATCH($B74,Program_01!$A:$A,0)),"")</f>
        <v xml:space="preserve">AMAALA Yacht Club </v>
      </c>
      <c r="G74" s="176" t="str">
        <f>IFERROR(INDEX(Program_01!$G:$G,MATCH($B74,Program_01!$A:$A,0)),"")</f>
        <v>Aluminium &amp; Glazing Works for the AMAALA Yacht Club</v>
      </c>
      <c r="H74" s="176" t="str">
        <f>IFERROR(INDEX(Program_01!$H:$H,MATCH($B74,Program_01!$A:$A,0)),"")</f>
        <v>Aluminium Technology Auxiliary Industries (Alutec) WLL</v>
      </c>
      <c r="I74" s="176" t="str">
        <f t="shared" si="11"/>
        <v>EOT</v>
      </c>
      <c r="J74" s="176">
        <f>IFERROR(INDEX(Program_01!$I:$I,MATCH($B74,Program_01!$A:$A,0)),"")</f>
        <v>1</v>
      </c>
      <c r="K74" s="176">
        <f>IFERROR(INDEX(Program_01!$J:$J,MATCH($B74,Program_01!$A:$A,0)),"")</f>
        <v>0</v>
      </c>
      <c r="L74" s="176">
        <f>IFERROR(INDEX(Program_01!$K:$K,MATCH($B74,Program_01!$A:$A,0)),"")</f>
        <v>0</v>
      </c>
      <c r="M74" s="176">
        <f>IFERROR(INDEX(Program_01!$L:$L,MATCH($B74,Program_01!$A:$A,0)),"")</f>
        <v>0</v>
      </c>
      <c r="N74" s="176">
        <f>IFERROR(INDEX(Program_01!$L:$L,MATCH($B74,Program_01!$A:$A,0)),"")</f>
        <v>0</v>
      </c>
      <c r="O74" s="176">
        <f>IFERROR(INDEX(Program_01!$N:$N,MATCH($B74,Program_01!$A:$A,0)),"")</f>
        <v>0</v>
      </c>
      <c r="P74" s="178"/>
      <c r="Q74" s="179" t="str">
        <f>IFERROR(INDEX(Program_01!$C:$C,MATCH($B74,Program_01!$A:$A,0)),"")</f>
        <v>Extention of time 001 under Clause 8.4.1 Conditions of Contract</v>
      </c>
      <c r="R74" s="176" t="str">
        <f>IFERROR(INDEX(Program_01!$V:$V,MATCH($B74,Program_01!$A:$A,0)),"")</f>
        <v>1TB01003-003C27-ATA-LTR-0021</v>
      </c>
      <c r="S74" s="180">
        <f>IFERROR(INDEX(Program_01!$W:$W,MATCH($B74,Program_01!$A:$A,0)),"")</f>
        <v>45691</v>
      </c>
      <c r="T74" s="178"/>
      <c r="U74" s="176" t="str">
        <f>IFERROR(INDEX(Program_01!$Z:$Z,MATCH($B74,Program_01!$A:$A,0)),"")</f>
        <v xml:space="preserve">1TB01003-003C27-AMA-LTR-0030 </v>
      </c>
      <c r="V74" s="181">
        <f>IFERROR(INDEX(Program_01!$AA:$AA,MATCH($B74,Program_01!$A:$A,0)),"")</f>
        <v>45708</v>
      </c>
      <c r="W74" s="182">
        <f t="shared" ca="1" si="0"/>
        <v>17</v>
      </c>
      <c r="X74" s="51"/>
      <c r="Y74" s="179" t="str">
        <f>IFERROR(INDEX(Program_01!$BD:$BD,MATCH($B74,Program_01!$A:$A,0)),"")</f>
        <v>1TB01003-003C27-AMA-LTR-0023 dated 22 Jan 2025 - Delay damages Notification
1TB01003-003C27-ATA-LTR-0021 dated 3 Feb 2025 EOT Submission
- 1TB01003-003C27-AMA-LTR-0030  dated 20 Feb 25.</v>
      </c>
      <c r="Z74" s="51"/>
      <c r="AA74" s="183" t="str">
        <f>IFERROR(IF((INDEX(Program_01!$AD:$AD,MATCH($B74,Program_01!$A:$A,0))=""),INDEX(Program_01!$V:$V,MATCH($B74,Program_01!$A:$A,0)),INDEX(Program_01!$AD:$AD,MATCH($B74,Program_01!$A:$A,0))),"")</f>
        <v xml:space="preserve">	
1TB01003-003C27-ATA-LTR-0027 dated 03 Jun 25
1TB01003-003C27-ATA-LTR-0028. on 21 Aug 25
1TB01003-003C27-ATA-LTR-0029</v>
      </c>
      <c r="AB74" s="147">
        <f>IFERROR(IF((INDEX(Program_01!$AE:$AE,MATCH($B74,Program_01!$A:$A,0))=""),INDEX(Program_01!$W:$W,MATCH($B74,Program_01!$A:$A,0)),INDEX(Program_01!$AE:$AE,MATCH($B74,Program_01!$A:$A,0))),"")</f>
        <v>45895</v>
      </c>
      <c r="AC74" s="183">
        <f>IFERROR(IF($I74="EOT",INDEX(Program_01!$AN:$AN,MATCH($B74,Program_01!$A:$A,0)),INDEX(Program_01!$AY:$AY,MATCH($B74,Program_01!$A:$A,0))),"")</f>
        <v>0</v>
      </c>
      <c r="AD74" s="181">
        <f>IFERROR(IF($I74="EOT",INDEX(Program_01!$AO:$AO,MATCH($B74,Program_01!$A:$A,0)),INDEX(Program_01!$AZ:$AZ,MATCH($B74,Program_01!$A:$A,0))),"")</f>
        <v>0</v>
      </c>
      <c r="AE74" s="51"/>
      <c r="AF74" s="183"/>
      <c r="AG74" s="181"/>
      <c r="AH74" s="183" t="str">
        <f>IF(OR($D74="",$AS74="VO Issued",$AS74="Open"),"",IF(OR($AC74="Rejected",$AC74="Superseded",$AC74="Dealt Separately"),$AC74,IF($I74="EOT",INDEX(Program_01!$AR:$AR,MATCH($B74,Program_01!$A:$A,0)),INDEX(Program_01!$BB:$BB,MATCH($B74,Program_01!$A:$A,0)))))</f>
        <v/>
      </c>
      <c r="AI74" s="181" t="str">
        <f>IF(OR($A74="",$B74="",$I74="",$AS74="VO Issued",$AS74="Open"),"",IF(OR($AD74="N/A"),$AD74,IF($I74="EOT",INDEX(Program_01!$AS:$AS,MATCH($B74,Program_01!$A:$A,0)),INDEX(Program_01!$BC:$BC,MATCH($B74,Program_01!$A:$A,0)))))</f>
        <v/>
      </c>
      <c r="AJ74" s="183" t="str">
        <f>IF(OR($D74="",$I74="",$AS74="Determination Issued",$AS74="Rejected",$AS74="Open"),"",IF(OR($AH74="Rejected",$AH74="Dealt Separately",$AH74="Superseded",$AH74="Withdrawn"),"N/A",IF($I74="EOT",INDEX(Program_01!AR:AR,MATCH($B74,Program_01!A:A,0)),INDEX(Program_01!BB:BB,MATCH($B74,Program_01!A:A,0)))))</f>
        <v/>
      </c>
      <c r="AK74" s="181" t="str">
        <f>IF(OR($A74="",$B74="",$I74="",$AS74="Determination Issued",$AS74="Rejected",$AS74="Open"),"",IF($AJ74="N/A","N/A",IF($I74="EOT",INDEX(Program_01!AS:AS,MATCH($B74,Program_01!A:A,0)),INDEX(Program_01!BC:BC,MATCH($B74,Program_01!A:A,0)))))</f>
        <v/>
      </c>
      <c r="AL74" s="51"/>
      <c r="AM74" s="184" t="str">
        <f>IFERROR(INDEX(Program_01!$BT:$BT,MATCH($B74,Program_01!$A:$A,0)),"")</f>
        <v>Revise &amp; resubmit</v>
      </c>
      <c r="AN74" s="184">
        <f>IFERROR(INDEX(Program_01!$BU:$BU,MATCH($B74,Program_01!$A:$A,0)),"")</f>
        <v>0</v>
      </c>
      <c r="AO74" s="184">
        <f>IFERROR(INDEX(Program_01!$BV:$BV,MATCH($B74,Program_01!$A:$A,0)),"")</f>
        <v>0</v>
      </c>
      <c r="AP74" s="51" t="str">
        <f t="shared" si="12"/>
        <v/>
      </c>
      <c r="AQ74" s="184">
        <f>IFERROR(INDEX(Program_01!$BN:$BN,MATCH($B74,Program_01!$A:$A,0)),"")</f>
        <v>0</v>
      </c>
      <c r="AR74" s="184" t="str">
        <f>IFERROR(INDEX(Program_01!$BO:$BO,MATCH($B74,Program_01!$A:$A,0)),"")</f>
        <v>Pending</v>
      </c>
      <c r="AS74" s="184" t="str">
        <f>IFERROR(INDEX(Program_01!$BP:$BP,MATCH($B74,Program_01!$A:$A,0)),"")</f>
        <v>Open</v>
      </c>
      <c r="AT74" s="185" t="str">
        <f>IFERROR(INDEX(Program_01!$BQ:$BQ,MATCH($B74,Program_01!$A:$A,0)),"")</f>
        <v>Contractor</v>
      </c>
      <c r="AU74" s="179" t="str">
        <f>IFERROR(INDEX(Program_01!$BR:$BR,MATCH($B74,Program_01!$A:$A,0)),"")</f>
        <v>01 Dec 25: Updated draft EAR sent back to claims team for review
02 Dec 25: Draft EAR sent to claims team for review
05 Dec 25: Draft EAR sent to planning for TIA
08 Dec 25: TIA targeted to conclude by (TBC)
13 Dec 25: EAR with Planning Team for Time Impact Assessment (TIA). shaju to update
17 Dec25: Chronology of Events will be updated for DE-03 as per the information received from Planning Team on 17 Dec 25.
11 Jan 26: action with commercial to update the chronology  (to be concluded by 15 Jan 26)
19 Jan 26: Updated EAR sent to Planning for TIA. Following this, Planning confirmed that the Contractor will resubmit the claim based on their recent discussions. Awaiting the Contractor’s resubmission.
24 Jan 26: As agreed between RSG and Alutec Planning Team, Alutec to resubmit EOT 001, updating the cut-off date (AMA01003-GENCORR-001436 dated 20 Jan 26).
07 Feb 26: Awaiting revised submission from Alutec.
09 Feb 26: Ditto, commercial to issue a follow up letter
21 Feb 26: Ditto, follow-up letter in WF for approval. WF- 020184
08 Mar 26: Awaiting revised submission from Alutec. Follow-up letter issued on 1 Mar 26 under Aconex mail reference 1TB01003-003C27-AMA-LTR-0062.
06 Apr 26 - Ditto
20 Apr 26 - Ditto, commercial to issue a follow up letter
04 May 26: Follow up letter (WF-021052) under approval in Aconex workflow.
18 May 26: Follow up letter issued to Alutec on 4 May 2026 under  1TB01003-003C27-AMA-LTR-0070.	
31 May 26: Ditto
04 Jun 26: Ditto
15 Jun 26: Ditto
29 June 26: Follow-up letter issued on 22 June 26 (Ref. AMA01003-GENCORR-001562)
11 Jul 26: Still awaiting from Alutec revised EOT submission.
27 July 26: Awaiting Contractor's submisison
10 Aug 26: Ditto, comm to issue 2nd follow up letter
24 Aug 26: follow up Letter issued on 15 Aug 26 Ref AMA01003-GENCORR-001611
5 Sep 26: Awaiting Contractor's submission</v>
      </c>
      <c r="AV74" s="186" t="str">
        <f t="shared" si="1"/>
        <v/>
      </c>
      <c r="AW74" s="186" t="str">
        <f t="shared" si="13"/>
        <v>OPEN</v>
      </c>
      <c r="AX74" s="186" t="str">
        <f t="shared" si="2"/>
        <v>OPEN</v>
      </c>
      <c r="AY74" s="181">
        <f t="shared" si="14"/>
        <v>45895</v>
      </c>
      <c r="AZ74" s="181" t="str">
        <f t="shared" si="27"/>
        <v/>
      </c>
      <c r="BA74" s="181" t="str">
        <f t="shared" si="4"/>
        <v/>
      </c>
      <c r="BC74" s="181">
        <f>IFERROR(INDEX(Program_01!BF:BF,MATCH($B74,Program_01!$A:$A,0)),"")</f>
        <v>45895</v>
      </c>
      <c r="BD74" s="188">
        <f ca="1">IFERROR(INDEX(Program_01!BG:BG,MATCH($B74,Program_01!$A:$A,0)),"")</f>
        <v>0</v>
      </c>
      <c r="BE74" s="181">
        <f>IFERROR(INDEX(Program_01!BH:BH,MATCH($B74,Program_01!$A:$A,0)),"")</f>
        <v>0</v>
      </c>
      <c r="BF74" s="189">
        <f ca="1">IFERROR(INDEX(Program_01!BI:BI,MATCH($B74,Program_01!$A:$A,0)),"")</f>
        <v>0</v>
      </c>
      <c r="BG74" s="181">
        <f>IFERROR(INDEX(Program_01!BJ:BJ,MATCH($B74,Program_01!$A:$A,0)),"")</f>
        <v>0</v>
      </c>
      <c r="BH74" s="189">
        <f ca="1">IFERROR(INDEX(Program_01!BK:BK,MATCH($B74,Program_01!$A:$A,0)),"")</f>
        <v>0</v>
      </c>
      <c r="BI74" s="181">
        <f>IFERROR(INDEX(Program_01!BL:BL,MATCH($B74,Program_01!$A:$A,0)),"")</f>
        <v>0</v>
      </c>
      <c r="BK74" s="190" t="str">
        <f>IFERROR(IF(INDEX(Program_01!$BX:$BX,MATCH($B74,Program_01!$A:$A,0))=DATE(1900,1,0),"",INDEX(Program_01!$BX:$BX,MATCH($B74,Program_01!$A:$A,0))),"")</f>
        <v/>
      </c>
      <c r="BL74" s="190" t="str">
        <f>IFERROR(IF(INDEX(Program_01!$BY:$BY,MATCH($B74,Program_01!$A:$A,0))=DATE(1900,1,0),"",INDEX(Program_01!$BY:$BY,MATCH($B74,Program_01!$A:$A,0))),"")</f>
        <v/>
      </c>
      <c r="BM74" s="188" t="str">
        <f t="shared" ca="1" si="15"/>
        <v/>
      </c>
      <c r="BN74" s="191">
        <f t="shared" ca="1" si="16"/>
        <v>0</v>
      </c>
      <c r="BO74" s="188" t="str">
        <f t="shared" si="5"/>
        <v/>
      </c>
      <c r="BP74" s="188" t="str">
        <f t="shared" si="6"/>
        <v/>
      </c>
      <c r="BQ74" s="188" t="str">
        <f t="shared" ca="1" si="17"/>
        <v/>
      </c>
      <c r="BR74" s="181" t="str">
        <f t="shared" ca="1" si="28"/>
        <v/>
      </c>
      <c r="BT74" s="190" t="str">
        <f>IFERROR(IF(INDEX(Program_01!$BZ:$BZ,MATCH($B74,Program_01!$A:$A,0))=DATE(1900,1,0),"",INDEX(Program_01!$BZ:$BZ,MATCH($B74,Program_01!$A:$A,0))),"")</f>
        <v/>
      </c>
      <c r="BU74" s="182" t="str">
        <f t="shared" ca="1" si="22"/>
        <v/>
      </c>
      <c r="BV74" s="188" t="str">
        <f t="shared" si="7"/>
        <v/>
      </c>
      <c r="BW74" s="188" t="str">
        <f t="shared" si="8"/>
        <v/>
      </c>
      <c r="BX74" s="188" t="str">
        <f t="shared" ca="1" si="9"/>
        <v/>
      </c>
      <c r="BY74" s="181" t="str">
        <f t="shared" ca="1" si="29"/>
        <v/>
      </c>
      <c r="CA74" s="192" t="str">
        <f t="shared" si="20"/>
        <v>N</v>
      </c>
      <c r="CB74" s="192" t="str">
        <f t="shared" si="21"/>
        <v>N</v>
      </c>
      <c r="CC74" s="193">
        <f>IFERROR(INDEX(Program_01!$CE:$CE,MATCH($B74,Program_01!$A:$A,0)),"")</f>
        <v>45699</v>
      </c>
      <c r="CD74" s="193">
        <f t="shared" si="30"/>
        <v>45699</v>
      </c>
      <c r="CG74" s="194">
        <f>IFERROR(INDEX(Program_01!$AT:$AT,MATCH($B74,Program_01!$A:$A,0)),"")</f>
        <v>0</v>
      </c>
      <c r="CH74" s="194">
        <f>IFERROR(INDEX(Program_01!$AX:$AX,MATCH($B74,Program_01!$A:$A,0)),"")</f>
        <v>0</v>
      </c>
    </row>
    <row r="75" spans="1:86" s="187" customFormat="1" ht="375.75" customHeight="1">
      <c r="A75" s="174" t="s">
        <v>1</v>
      </c>
      <c r="B75" s="175">
        <v>57</v>
      </c>
      <c r="C75" s="176" t="str">
        <f>IFERROR(INDEX(Program_01!$B:$B,MATCH($B75,Program_01!$A:$A,0)),"")</f>
        <v>FULL TIA EAR</v>
      </c>
      <c r="D75" s="176" t="str">
        <f>IFERROR(INDEX(Program_01!$D:$D,MATCH($B75,Program_01!$A:$A,0)),"")</f>
        <v>1TB01003F03</v>
      </c>
      <c r="E75" s="176" t="str">
        <f>IFERROR(INDEX(Program_01!$E:$E,MATCH($B75,Program_01!$A:$A,0)),"")</f>
        <v>1.TB.01.003.01</v>
      </c>
      <c r="F75" s="176" t="str">
        <f>IFERROR(INDEX(Program_01!$F:$F,MATCH($B75,Program_01!$A:$A,0)),"")</f>
        <v xml:space="preserve">AMAALA Yacht Club </v>
      </c>
      <c r="G75" s="176" t="str">
        <f>IFERROR(INDEX(Program_01!$G:$G,MATCH($B75,Program_01!$A:$A,0)),"")</f>
        <v>Vertical Transportation Works</v>
      </c>
      <c r="H75" s="176" t="str">
        <f>IFERROR(INDEX(Program_01!$H:$H,MATCH($B75,Program_01!$A:$A,0)),"")</f>
        <v>Elevator Systems Contracting Company (ESCCO)</v>
      </c>
      <c r="I75" s="176" t="str">
        <f t="shared" si="11"/>
        <v>EOT</v>
      </c>
      <c r="J75" s="176">
        <f>IFERROR(INDEX(Program_01!$I:$I,MATCH($B75,Program_01!$A:$A,0)),"")</f>
        <v>1</v>
      </c>
      <c r="K75" s="176">
        <f>IFERROR(INDEX(Program_01!$J:$J,MATCH($B75,Program_01!$A:$A,0)),"")</f>
        <v>0</v>
      </c>
      <c r="L75" s="176">
        <f>IFERROR(INDEX(Program_01!$K:$K,MATCH($B75,Program_01!$A:$A,0)),"")</f>
        <v>0</v>
      </c>
      <c r="M75" s="176">
        <f>IFERROR(INDEX(Program_01!$L:$L,MATCH($B75,Program_01!$A:$A,0)),"")</f>
        <v>0</v>
      </c>
      <c r="N75" s="176">
        <f>IFERROR(INDEX(Program_01!$L:$L,MATCH($B75,Program_01!$A:$A,0)),"")</f>
        <v>0</v>
      </c>
      <c r="O75" s="176">
        <f>IFERROR(INDEX(Program_01!$N:$N,MATCH($B75,Program_01!$A:$A,0)),"")</f>
        <v>0</v>
      </c>
      <c r="P75" s="178"/>
      <c r="Q75" s="179" t="str">
        <f>IFERROR(INDEX(Program_01!$C:$C,MATCH($B75,Program_01!$A:$A,0)),"")</f>
        <v xml:space="preserve">Extention of time 001 under Clause 6.3 Conditions of Contract </v>
      </c>
      <c r="R75" s="176" t="str">
        <f>IFERROR(INDEX(Program_01!$V:$V,MATCH($B75,Program_01!$A:$A,0)),"")</f>
        <v>ESCO1003-TRANSMIT-000121
1TB01003-003F03-ESC-LTR-0011</v>
      </c>
      <c r="S75" s="180">
        <f>IFERROR(INDEX(Program_01!$W:$W,MATCH($B75,Program_01!$A:$A,0)),"")</f>
        <v>45683</v>
      </c>
      <c r="T75" s="178"/>
      <c r="U75" s="176" t="str">
        <f>IFERROR(INDEX(Program_01!$Z:$Z,MATCH($B75,Program_01!$A:$A,0)),"")</f>
        <v>AMA01003-GENCORR-000985</v>
      </c>
      <c r="V75" s="181">
        <f>IFERROR(INDEX(Program_01!$AA:$AA,MATCH($B75,Program_01!$A:$A,0)),"")</f>
        <v>45690</v>
      </c>
      <c r="W75" s="182">
        <f t="shared" ca="1" si="0"/>
        <v>7</v>
      </c>
      <c r="X75" s="51"/>
      <c r="Y75" s="179" t="str">
        <f>IFERROR(INDEX(Program_01!$BD:$BD,MATCH($B75,Program_01!$A:$A,0)),"")</f>
        <v>ESC01003-TRANSMIT-000121 dated 26 Jan 2025
AMA01003-GENCORR-000985 dated 2 Feb 2025
ESC01003-GENCORR-000019 dated 3 Feb 2025
AMA01003-GENCORR-000986 Dated 3 Feb 2025
AMA01003-GENCORR-000988 dated 5 Feb 2025
ESC01003-GENCORR-000020 dated 5 Feb 2025</v>
      </c>
      <c r="Z75" s="51"/>
      <c r="AA75" s="183" t="str">
        <f>IFERROR(IF((INDEX(Program_01!$AD:$AD,MATCH($B75,Program_01!$A:$A,0))=""),INDEX(Program_01!$V:$V,MATCH($B75,Program_01!$A:$A,0)),INDEX(Program_01!$AD:$AD,MATCH($B75,Program_01!$A:$A,0))),"")</f>
        <v>ESC01003-GENCORR-000019 dated 03 Feb 25
ESC01003-GENCORR-000020</v>
      </c>
      <c r="AB75" s="147">
        <f>IFERROR(IF((INDEX(Program_01!$AE:$AE,MATCH($B75,Program_01!$A:$A,0))=""),INDEX(Program_01!$W:$W,MATCH($B75,Program_01!$A:$A,0)),INDEX(Program_01!$AE:$AE,MATCH($B75,Program_01!$A:$A,0))),"")</f>
        <v>45693</v>
      </c>
      <c r="AC75" s="183" t="str">
        <f>IFERROR(IF($I75="EOT",INDEX(Program_01!$AN:$AN,MATCH($B75,Program_01!$A:$A,0)),INDEX(Program_01!$AY:$AY,MATCH($B75,Program_01!$A:$A,0))),"")</f>
        <v>1TB01003-003F03-AMA-LTR-0033</v>
      </c>
      <c r="AD75" s="181">
        <f>IFERROR(IF($I75="EOT",INDEX(Program_01!$AO:$AO,MATCH($B75,Program_01!$A:$A,0)),INDEX(Program_01!$AZ:$AZ,MATCH($B75,Program_01!$A:$A,0))),"")</f>
        <v>45757</v>
      </c>
      <c r="AE75" s="51"/>
      <c r="AF75" s="183"/>
      <c r="AG75" s="181"/>
      <c r="AH75" s="183">
        <f>IF(OR($D75="",$AS75="VO Issued",$AS75="Open"),"",IF(OR($AC75="Rejected",$AC75="Superseded",$AC75="Dealt Separately"),$AC75,IF($I75="EOT",INDEX(Program_01!$AR:$AR,MATCH($B75,Program_01!$A:$A,0)),INDEX(Program_01!$BB:$BB,MATCH($B75,Program_01!$A:$A,0)))))</f>
        <v>0</v>
      </c>
      <c r="AI75" s="181">
        <f>IF(OR($A75="",$B75="",$I75="",$AS75="VO Issued",$AS75="Open"),"",IF(OR($AD75="N/A"),$AD75,IF($I75="EOT",INDEX(Program_01!$AS:$AS,MATCH($B75,Program_01!$A:$A,0)),INDEX(Program_01!$BC:$BC,MATCH($B75,Program_01!$A:$A,0)))))</f>
        <v>0</v>
      </c>
      <c r="AJ75" s="183" t="str">
        <f>IF(OR($D75="",$I75="",$AS75="Determination Issued",$AS75="Rejected",$AS75="Open"),"",IF(OR($AH75="Rejected",$AH75="Dealt Separately",$AH75="Superseded",$AH75="Withdrawn"),"N/A",IF($I75="EOT",INDEX(Program_01!AR:AR,MATCH($B75,Program_01!A:A,0)),INDEX(Program_01!BB:BB,MATCH($B75,Program_01!A:A,0)))))</f>
        <v/>
      </c>
      <c r="AK75" s="181" t="str">
        <f>IF(OR($A75="",$B75="",$I75="",$AS75="Determination Issued",$AS75="Rejected",$AS75="Open"),"",IF($AJ75="N/A","N/A",IF($I75="EOT",INDEX(Program_01!AS:AS,MATCH($B75,Program_01!A:A,0)),INDEX(Program_01!BC:BC,MATCH($B75,Program_01!A:A,0)))))</f>
        <v/>
      </c>
      <c r="AL75" s="51"/>
      <c r="AM75" s="184">
        <f>IFERROR(INDEX(Program_01!$BT:$BT,MATCH($B75,Program_01!$A:$A,0)),"")</f>
        <v>0</v>
      </c>
      <c r="AN75" s="184">
        <f>IFERROR(INDEX(Program_01!$BU:$BU,MATCH($B75,Program_01!$A:$A,0)),"")</f>
        <v>0</v>
      </c>
      <c r="AO75" s="184">
        <f>IFERROR(INDEX(Program_01!$BV:$BV,MATCH($B75,Program_01!$A:$A,0)),"")</f>
        <v>0</v>
      </c>
      <c r="AP75" s="51" t="str">
        <f t="shared" si="12"/>
        <v/>
      </c>
      <c r="AQ75" s="184">
        <f>IFERROR(INDEX(Program_01!$BN:$BN,MATCH($B75,Program_01!$A:$A,0)),"")</f>
        <v>0</v>
      </c>
      <c r="AR75" s="184" t="str">
        <f>IFERROR(INDEX(Program_01!$BO:$BO,MATCH($B75,Program_01!$A:$A,0)),"")</f>
        <v>Assessment Report Issued</v>
      </c>
      <c r="AS75" s="184" t="str">
        <f>IFERROR(INDEX(Program_01!$BP:$BP,MATCH($B75,Program_01!$A:$A,0)),"")</f>
        <v>Determination Issued</v>
      </c>
      <c r="AT75" s="185" t="str">
        <f>IFERROR(INDEX(Program_01!$BQ:$BQ,MATCH($B75,Program_01!$A:$A,0)),"")</f>
        <v>Closed</v>
      </c>
      <c r="AU75" s="179" t="str">
        <f>IFERROR(INDEX(Program_01!$BR:$BR,MATCH($B75,Program_01!$A:$A,0)),"")</f>
        <v>10 Feb 2025 - Commercial are currently preparing the EOT report with the planning team,  still awaiting  backup info from Escco requested on 03 Feb (Aconex)
16 Feb 25: Draft report sent to claims and planning for review and TIA on 15 Feb 25
18 Feb 25: Draft report sent to claims for review
26 Feb 25: sent to planning for TIA
02 Mar 25: Draft report sent to commercial incorporating TIA
05 Mar 25: Final Draft sent to claims team for approval
09 Mar 25: EAR under approval with claims (KM)
16 Mar 25: EAR approved by Claims team &amp; commercial to proceed with WF process
23 Mar 25: EOT (time) under WF approval (WF-011601)
06 Apr 25: EOT approved by GCEO on 03 April 25 - Draft letter in WF for approval (WF-011890)
16 Apr 25:  EAR issued to ESCCO on 10 Apr 25 1TB01003-003F03-AMA-LTR-0033. awaiting acceptance from contractor
22 Apr 25: Ditto.
05 May 25: Ditto
18 May 25: Ditto
16 Jun 25: Ditto, commercial to issue a reminder
29 Jun 25: Ditto
14 Jul 25: Reminder letter sent on 13 Jul 25,  ref  1TB01003-003F03-AMA-LTR-0034
28 July 25: awaiting Contractor's response. 
10 Aug 25: Employers Determination currently WF-014837 for approval
24 Aug 25: Employer's Determination (time and cost) issued to ESCCO under 1TB01003-003F03-AMA-LTR-0038. Can this be closed?</v>
      </c>
      <c r="AV75" s="186" t="str">
        <f t="shared" si="1"/>
        <v/>
      </c>
      <c r="AW75" s="186" t="str">
        <f t="shared" si="13"/>
        <v>CLOSED</v>
      </c>
      <c r="AX75" s="186" t="str">
        <f t="shared" si="2"/>
        <v>CLOSED</v>
      </c>
      <c r="AY75" s="181">
        <f t="shared" si="14"/>
        <v>45693</v>
      </c>
      <c r="AZ75" s="181">
        <f t="shared" si="27"/>
        <v>45757</v>
      </c>
      <c r="BA75" s="181">
        <f t="shared" si="4"/>
        <v>0</v>
      </c>
      <c r="BC75" s="181">
        <f>IFERROR(INDEX(Program_01!BF:BF,MATCH($B75,Program_01!$A:$A,0)),"")</f>
        <v>45693</v>
      </c>
      <c r="BD75" s="188" t="str">
        <f ca="1">IFERROR(INDEX(Program_01!BG:BG,MATCH($B75,Program_01!$A:$A,0)),"")</f>
        <v>N/A</v>
      </c>
      <c r="BE75" s="181">
        <f>IFERROR(INDEX(Program_01!BH:BH,MATCH($B75,Program_01!$A:$A,0)),"")</f>
        <v>0</v>
      </c>
      <c r="BF75" s="189">
        <f ca="1">IFERROR(INDEX(Program_01!BI:BI,MATCH($B75,Program_01!$A:$A,0)),"")</f>
        <v>0</v>
      </c>
      <c r="BG75" s="181">
        <f>IFERROR(INDEX(Program_01!BJ:BJ,MATCH($B75,Program_01!$A:$A,0)),"")</f>
        <v>0</v>
      </c>
      <c r="BH75" s="189">
        <f ca="1">IFERROR(INDEX(Program_01!BK:BK,MATCH($B75,Program_01!$A:$A,0)),"")</f>
        <v>0</v>
      </c>
      <c r="BI75" s="181">
        <f>IFERROR(INDEX(Program_01!BL:BL,MATCH($B75,Program_01!$A:$A,0)),"")</f>
        <v>0</v>
      </c>
      <c r="BK75" s="190">
        <f>IFERROR(IF(INDEX(Program_01!$BX:$BX,MATCH($B75,Program_01!$A:$A,0))=DATE(1900,1,0),"",INDEX(Program_01!$BX:$BX,MATCH($B75,Program_01!$A:$A,0))),"")</f>
        <v>45757</v>
      </c>
      <c r="BL75" s="190" t="str">
        <f>IFERROR(IF(INDEX(Program_01!$BY:$BY,MATCH($B75,Program_01!$A:$A,0))=DATE(1900,1,0),"",INDEX(Program_01!$BY:$BY,MATCH($B75,Program_01!$A:$A,0))),"")</f>
        <v/>
      </c>
      <c r="BM75" s="188">
        <f t="shared" ca="1" si="15"/>
        <v>64</v>
      </c>
      <c r="BN75" s="191">
        <f t="shared" ca="1" si="16"/>
        <v>64</v>
      </c>
      <c r="BO75" s="188">
        <f t="shared" ca="1" si="5"/>
        <v>64</v>
      </c>
      <c r="BP75" s="188" t="str">
        <f t="shared" si="6"/>
        <v>1</v>
      </c>
      <c r="BQ75" s="188" t="str">
        <f t="shared" ca="1" si="17"/>
        <v/>
      </c>
      <c r="BR75" s="181" t="str">
        <f t="shared" ca="1" si="28"/>
        <v/>
      </c>
      <c r="BT75" s="190" t="str">
        <f>IFERROR(IF(INDEX(Program_01!$BZ:$BZ,MATCH($B75,Program_01!$A:$A,0))=DATE(1900,1,0),"",INDEX(Program_01!$BZ:$BZ,MATCH($B75,Program_01!$A:$A,0))),"")</f>
        <v/>
      </c>
      <c r="BU75" s="182" t="str">
        <f t="shared" ca="1" si="22"/>
        <v/>
      </c>
      <c r="BV75" s="188" t="str">
        <f t="shared" ca="1" si="7"/>
        <v/>
      </c>
      <c r="BW75" s="188" t="str">
        <f t="shared" si="8"/>
        <v>1</v>
      </c>
      <c r="BX75" s="188" t="str">
        <f t="shared" ca="1" si="9"/>
        <v/>
      </c>
      <c r="BY75" s="181" t="str">
        <f t="shared" ca="1" si="29"/>
        <v/>
      </c>
      <c r="CA75" s="192" t="str">
        <f t="shared" si="20"/>
        <v>Y</v>
      </c>
      <c r="CB75" s="192" t="str">
        <f t="shared" si="21"/>
        <v>Y</v>
      </c>
      <c r="CC75" s="193">
        <f>IFERROR(INDEX(Program_01!$CE:$CE,MATCH($B75,Program_01!$A:$A,0)),"")</f>
        <v>45699</v>
      </c>
      <c r="CD75" s="193">
        <f t="shared" si="30"/>
        <v>45699</v>
      </c>
      <c r="CG75" s="194">
        <f>IFERROR(INDEX(Program_01!$AT:$AT,MATCH($B75,Program_01!$A:$A,0)),"")</f>
        <v>0</v>
      </c>
      <c r="CH75" s="194">
        <f>IFERROR(INDEX(Program_01!$AX:$AX,MATCH($B75,Program_01!$A:$A,0)),"")</f>
        <v>0</v>
      </c>
    </row>
    <row r="76" spans="1:86" s="187" customFormat="1" ht="409.5" customHeight="1">
      <c r="A76" s="174" t="s">
        <v>1</v>
      </c>
      <c r="B76" s="175">
        <v>58</v>
      </c>
      <c r="C76" s="176" t="str">
        <f>IFERROR(INDEX(Program_01!$B:$B,MATCH($B76,Program_01!$A:$A,0)),"")</f>
        <v>FULL TIA EAR</v>
      </c>
      <c r="D76" s="176" t="str">
        <f>IFERROR(INDEX(Program_01!$D:$D,MATCH($B76,Program_01!$A:$A,0)),"")</f>
        <v>1TB01009C05</v>
      </c>
      <c r="E76" s="176" t="str">
        <f>IFERROR(INDEX(Program_01!$E:$E,MATCH($B76,Program_01!$A:$A,0)),"")</f>
        <v>1.TB.01.009.01</v>
      </c>
      <c r="F76" s="176" t="str">
        <f>IFERROR(INDEX(Program_01!$F:$F,MATCH($B76,Program_01!$A:$A,0)),"")</f>
        <v>Marina Hotel 3</v>
      </c>
      <c r="G76" s="176" t="str">
        <f>IFERROR(INDEX(Program_01!$G:$G,MATCH($B76,Program_01!$A:$A,0)),"")</f>
        <v>MEP Works</v>
      </c>
      <c r="H76" s="176" t="str">
        <f>IFERROR(INDEX(Program_01!$H:$H,MATCH($B76,Program_01!$A:$A,0)),"")</f>
        <v>Kortech Sharqawi JV</v>
      </c>
      <c r="I76" s="176" t="str">
        <f t="shared" si="11"/>
        <v>EOT</v>
      </c>
      <c r="J76" s="176">
        <f>IFERROR(INDEX(Program_01!$I:$I,MATCH($B76,Program_01!$A:$A,0)),"")</f>
        <v>1</v>
      </c>
      <c r="K76" s="176">
        <f>IFERROR(INDEX(Program_01!$J:$J,MATCH($B76,Program_01!$A:$A,0)),"")</f>
        <v>0</v>
      </c>
      <c r="L76" s="176">
        <f>IFERROR(INDEX(Program_01!$K:$K,MATCH($B76,Program_01!$A:$A,0)),"")</f>
        <v>0</v>
      </c>
      <c r="M76" s="176">
        <f>IFERROR(INDEX(Program_01!$L:$L,MATCH($B76,Program_01!$A:$A,0)),"")</f>
        <v>0</v>
      </c>
      <c r="N76" s="176">
        <f>IFERROR(INDEX(Program_01!$L:$L,MATCH($B76,Program_01!$A:$A,0)),"")</f>
        <v>0</v>
      </c>
      <c r="O76" s="176">
        <f>IFERROR(INDEX(Program_01!$N:$N,MATCH($B76,Program_01!$A:$A,0)),"")</f>
        <v>0</v>
      </c>
      <c r="P76" s="178"/>
      <c r="Q76" s="179" t="str">
        <f>IFERROR(INDEX(Program_01!$C:$C,MATCH($B76,Program_01!$A:$A,0)),"")</f>
        <v>Extension of Time and Additional Payment – Claim No.01</v>
      </c>
      <c r="R76" s="176" t="str">
        <f>IFERROR(INDEX(Program_01!$V:$V,MATCH($B76,Program_01!$A:$A,0)),"")</f>
        <v>1TB01009-009C05-KTH-LTR-0081</v>
      </c>
      <c r="S76" s="180">
        <f>IFERROR(INDEX(Program_01!$W:$W,MATCH($B76,Program_01!$A:$A,0)),"")</f>
        <v>45718</v>
      </c>
      <c r="T76" s="178"/>
      <c r="U76" s="176" t="str">
        <f>IFERROR(INDEX(Program_01!$Z:$Z,MATCH($B76,Program_01!$A:$A,0)),"")</f>
        <v>1TB01009-009C05-AMA-LTR-0076</v>
      </c>
      <c r="V76" s="181">
        <f>IFERROR(INDEX(Program_01!$AA:$AA,MATCH($B76,Program_01!$A:$A,0)),"")</f>
        <v>45790</v>
      </c>
      <c r="W76" s="182">
        <f t="shared" ca="1" si="0"/>
        <v>72</v>
      </c>
      <c r="X76" s="51"/>
      <c r="Y76" s="179">
        <f>IFERROR(INDEX(Program_01!$BD:$BD,MATCH($B76,Program_01!$A:$A,0)),"")</f>
        <v>0</v>
      </c>
      <c r="Z76" s="51"/>
      <c r="AA76" s="183" t="str">
        <f>IFERROR(IF((INDEX(Program_01!$AD:$AD,MATCH($B76,Program_01!$A:$A,0))=""),INDEX(Program_01!$V:$V,MATCH($B76,Program_01!$A:$A,0)),INDEX(Program_01!$AD:$AD,MATCH($B76,Program_01!$A:$A,0))),"")</f>
        <v>KTH01009-TRANSMIT-000190 on 05 Aug 25
1TB01009-009C05-KTH-LTR-0153 - KTH01009 on 13 Nov 25
KTH01009-RESP-000015</v>
      </c>
      <c r="AB76" s="147">
        <f>IFERROR(IF((INDEX(Program_01!$AE:$AE,MATCH($B76,Program_01!$A:$A,0))=""),INDEX(Program_01!$W:$W,MATCH($B76,Program_01!$A:$A,0)),INDEX(Program_01!$AE:$AE,MATCH($B76,Program_01!$A:$A,0))),"")</f>
        <v>45991</v>
      </c>
      <c r="AC76" s="183" t="str">
        <f>IFERROR(IF($I76="EOT",INDEX(Program_01!$AN:$AN,MATCH($B76,Program_01!$A:$A,0)),INDEX(Program_01!$AY:$AY,MATCH($B76,Program_01!$A:$A,0))),"")</f>
        <v>N/A</v>
      </c>
      <c r="AD76" s="181" t="str">
        <f>IFERROR(IF($I76="EOT",INDEX(Program_01!$AO:$AO,MATCH($B76,Program_01!$A:$A,0)),INDEX(Program_01!$AZ:$AZ,MATCH($B76,Program_01!$A:$A,0))),"")</f>
        <v>N/A</v>
      </c>
      <c r="AE76" s="51"/>
      <c r="AF76" s="183"/>
      <c r="AG76" s="181"/>
      <c r="AH76" s="183">
        <f>IF(OR($D76="",$AS76="VO Issued",$AS76="Open"),"",IF(OR($AC76="Rejected",$AC76="Superseded",$AC76="Dealt Separately"),$AC76,IF($I76="EOT",INDEX(Program_01!$AR:$AR,MATCH($B76,Program_01!$A:$A,0)),INDEX(Program_01!$BB:$BB,MATCH($B76,Program_01!$A:$A,0)))))</f>
        <v>0</v>
      </c>
      <c r="AI76" s="181" t="str">
        <f>IF(OR($A76="",$B76="",$I76="",$AS76="VO Issued",$AS76="Open"),"",IF(OR($AD76="N/A"),$AD76,IF($I76="EOT",INDEX(Program_01!$AS:$AS,MATCH($B76,Program_01!$A:$A,0)),INDEX(Program_01!$BC:$BC,MATCH($B76,Program_01!$A:$A,0)))))</f>
        <v>N/A</v>
      </c>
      <c r="AJ76" s="183">
        <f>IF(OR($D76="",$I76="",$AS76="Determination Issued",$AS76="Rejected",$AS76="Open"),"",IF(OR($AH76="Rejected",$AH76="Dealt Separately",$AH76="Superseded",$AH76="Withdrawn"),"N/A",IF($I76="EOT",INDEX(Program_01!AR:AR,MATCH($B76,Program_01!A:A,0)),INDEX(Program_01!BB:BB,MATCH($B76,Program_01!A:A,0)))))</f>
        <v>0</v>
      </c>
      <c r="AK76" s="181">
        <f>IF(OR($A76="",$B76="",$I76="",$AS76="Determination Issued",$AS76="Rejected",$AS76="Open"),"",IF($AJ76="N/A","N/A",IF($I76="EOT",INDEX(Program_01!AS:AS,MATCH($B76,Program_01!A:A,0)),INDEX(Program_01!BC:BC,MATCH($B76,Program_01!A:A,0)))))</f>
        <v>0</v>
      </c>
      <c r="AL76" s="51"/>
      <c r="AM76" s="184">
        <f>IFERROR(INDEX(Program_01!$BT:$BT,MATCH($B76,Program_01!$A:$A,0)),"")</f>
        <v>0</v>
      </c>
      <c r="AN76" s="184">
        <f>IFERROR(INDEX(Program_01!$BU:$BU,MATCH($B76,Program_01!$A:$A,0)),"")</f>
        <v>0</v>
      </c>
      <c r="AO76" s="184">
        <f>IFERROR(INDEX(Program_01!$BV:$BV,MATCH($B76,Program_01!$A:$A,0)),"")</f>
        <v>0</v>
      </c>
      <c r="AP76" s="51" t="str">
        <f t="shared" si="12"/>
        <v/>
      </c>
      <c r="AQ76" s="184">
        <f>IFERROR(INDEX(Program_01!$BN:$BN,MATCH($B76,Program_01!$A:$A,0)),"")</f>
        <v>0</v>
      </c>
      <c r="AR76" s="184" t="str">
        <f>IFERROR(INDEX(Program_01!$BO:$BO,MATCH($B76,Program_01!$A:$A,0)),"")</f>
        <v>Canceled</v>
      </c>
      <c r="AS76" s="184" t="str">
        <f>IFERROR(INDEX(Program_01!$BP:$BP,MATCH($B76,Program_01!$A:$A,0)),"")</f>
        <v>Dealt Separately</v>
      </c>
      <c r="AT76" s="185" t="str">
        <f>IFERROR(INDEX(Program_01!$BQ:$BQ,MATCH($B76,Program_01!$A:$A,0)),"")</f>
        <v>Closed</v>
      </c>
      <c r="AU76" s="179" t="str">
        <f>IFERROR(INDEX(Program_01!$BR:$BR,MATCH($B76,Program_01!$A:$A,0)),"")</f>
        <v>18 Oct 25: The teams meeting with the Contractor held on 07 October, and the way forward agreed- collaborative work on assessment.  
20 Oct 25: Targeted to submit for claim's review by 06 Nov 2025
03 Nov 25: Target date moved to 17 Nov 25
17 Nov 25: Target date moved to 04 Dec 25
01 Dec 25: Ditto, contractor resubmitted on 13 Nov 25, via (1TB01009-009C05-KTH-LTR-0153 - KTH01009), and further update on 30 Nov 2025 (-RESP-000015) .  Planning to review TIA methodology applied by the contracor,Commercial targeted to submit the EAR for claims review by 25 Dec 2025
13 Dec 25: Ditto
10 Jan 26: Draft EAR being prepared. Target date 25 Jan 26.
12 Jan 26: Target date to conclude the EAR by 15 Apr 26
27 Jan 26: Ditto
09 Feb 26: Ditto
22 Feb 26: Ditto
08 March 26: Ditto
06 Apr 26: Second stage is finalised and RFA being prepared. Contractor shall resubmit the EOT post second stage agreement based on the amended Programme. Target date to finalise 2nd stage by (TBC) // Comm to write to the contractor to resubmit the claims upon agreement of stage 2
20 Apr 26: awaiting 2 stage agreement, 
04 May 26: Ditto, 2 stage CA to be put in WF
16 May 26 : Second Stage RFA is being reviewed and discussed with Planning / Forensic team
18 May 26: Commercial to write to the contractor rejecting the existing claim and to advise them to resubmit upon completion of stage two
31 May 26: This EOT has been closed following the approval of the Second Stage RFA with revised Completion dates. RFA approved under WF-088923 (@NE to advise whether to close or not)
04 Jun 26 - CA issued to Contractor via letter refer AMA0109-Transmit-002758 on 01 Jun 26
15 Jun 26: stage 2 
RFA for 2nd stage &amp; EOT has been approved under WF 088923
28 Jun 26: letter issued to the contractor to resubmit the claim incorporating 2nd stage conversion via ref on (date)</v>
      </c>
      <c r="AV76" s="186" t="str">
        <f t="shared" si="1"/>
        <v/>
      </c>
      <c r="AW76" s="186" t="str">
        <f t="shared" si="13"/>
        <v>CLOSED</v>
      </c>
      <c r="AX76" s="186" t="str">
        <f t="shared" si="2"/>
        <v>CLOSED</v>
      </c>
      <c r="AY76" s="181">
        <f t="shared" si="14"/>
        <v>45991</v>
      </c>
      <c r="AZ76" s="181" t="str">
        <f t="shared" si="27"/>
        <v>N/A</v>
      </c>
      <c r="BA76" s="181" t="str">
        <f t="shared" si="4"/>
        <v>N/A</v>
      </c>
      <c r="BC76" s="181">
        <f>IFERROR(INDEX(Program_01!BF:BF,MATCH($B76,Program_01!$A:$A,0)),"")</f>
        <v>45991</v>
      </c>
      <c r="BD76" s="188" t="str">
        <f ca="1">IFERROR(INDEX(Program_01!BG:BG,MATCH($B76,Program_01!$A:$A,0)),"")</f>
        <v>N/A</v>
      </c>
      <c r="BE76" s="181">
        <f>IFERROR(INDEX(Program_01!BH:BH,MATCH($B76,Program_01!$A:$A,0)),"")</f>
        <v>0</v>
      </c>
      <c r="BF76" s="189">
        <f ca="1">IFERROR(INDEX(Program_01!BI:BI,MATCH($B76,Program_01!$A:$A,0)),"")</f>
        <v>0</v>
      </c>
      <c r="BG76" s="181">
        <f>IFERROR(INDEX(Program_01!BJ:BJ,MATCH($B76,Program_01!$A:$A,0)),"")</f>
        <v>0</v>
      </c>
      <c r="BH76" s="189">
        <f ca="1">IFERROR(INDEX(Program_01!BK:BK,MATCH($B76,Program_01!$A:$A,0)),"")</f>
        <v>0</v>
      </c>
      <c r="BI76" s="181">
        <f>IFERROR(INDEX(Program_01!BL:BL,MATCH($B76,Program_01!$A:$A,0)),"")</f>
        <v>0</v>
      </c>
      <c r="BK76" s="190">
        <f>IFERROR(IF(INDEX(Program_01!$BX:$BX,MATCH($B76,Program_01!$A:$A,0))=DATE(1900,1,0),"",INDEX(Program_01!$BX:$BX,MATCH($B76,Program_01!$A:$A,0))),"")</f>
        <v>46204</v>
      </c>
      <c r="BL76" s="190" t="str">
        <f>IFERROR(IF(INDEX(Program_01!$BY:$BY,MATCH($B76,Program_01!$A:$A,0))=DATE(1900,1,0),"",INDEX(Program_01!$BY:$BY,MATCH($B76,Program_01!$A:$A,0))),"")</f>
        <v/>
      </c>
      <c r="BM76" s="188" t="str">
        <f t="shared" ca="1" si="15"/>
        <v/>
      </c>
      <c r="BN76" s="191">
        <f t="shared" ca="1" si="16"/>
        <v>0</v>
      </c>
      <c r="BO76" s="188" t="str">
        <f t="shared" si="5"/>
        <v/>
      </c>
      <c r="BP76" s="188" t="str">
        <f t="shared" si="6"/>
        <v>1</v>
      </c>
      <c r="BQ76" s="188" t="str">
        <f t="shared" ca="1" si="17"/>
        <v/>
      </c>
      <c r="BR76" s="181" t="str">
        <f t="shared" ca="1" si="28"/>
        <v/>
      </c>
      <c r="BT76" s="190" t="str">
        <f>IFERROR(IF(INDEX(Program_01!$BZ:$BZ,MATCH($B76,Program_01!$A:$A,0))=DATE(1900,1,0),"",INDEX(Program_01!$BZ:$BZ,MATCH($B76,Program_01!$A:$A,0))),"")</f>
        <v/>
      </c>
      <c r="BU76" s="182" t="str">
        <f t="shared" ca="1" si="22"/>
        <v/>
      </c>
      <c r="BV76" s="188" t="str">
        <f t="shared" si="7"/>
        <v/>
      </c>
      <c r="BW76" s="188" t="str">
        <f t="shared" si="8"/>
        <v>1</v>
      </c>
      <c r="BX76" s="188" t="str">
        <f t="shared" ca="1" si="9"/>
        <v/>
      </c>
      <c r="BY76" s="181" t="str">
        <f t="shared" ca="1" si="29"/>
        <v/>
      </c>
      <c r="CA76" s="192" t="str">
        <f t="shared" si="20"/>
        <v>N</v>
      </c>
      <c r="CB76" s="192" t="str">
        <f t="shared" si="21"/>
        <v>N</v>
      </c>
      <c r="CC76" s="193">
        <f>IFERROR(INDEX(Program_01!$CE:$CE,MATCH($B76,Program_01!$A:$A,0)),"")</f>
        <v>45725</v>
      </c>
      <c r="CD76" s="193">
        <f t="shared" si="30"/>
        <v>45725</v>
      </c>
      <c r="CG76" s="194">
        <f>IFERROR(INDEX(Program_01!$AT:$AT,MATCH($B76,Program_01!$A:$A,0)),"")</f>
        <v>0</v>
      </c>
      <c r="CH76" s="194">
        <f>IFERROR(INDEX(Program_01!$AX:$AX,MATCH($B76,Program_01!$A:$A,0)),"")</f>
        <v>0</v>
      </c>
    </row>
    <row r="77" spans="1:86" s="187" customFormat="1" ht="409.5" customHeight="1">
      <c r="A77" s="174" t="s">
        <v>1</v>
      </c>
      <c r="B77" s="175">
        <v>59</v>
      </c>
      <c r="C77" s="176" t="str">
        <f>IFERROR(INDEX(Program_01!$B:$B,MATCH($B77,Program_01!$A:$A,0)),"")</f>
        <v>FULL TIA EAR</v>
      </c>
      <c r="D77" s="176" t="str">
        <f>IFERROR(INDEX(Program_01!$D:$D,MATCH($B77,Program_01!$A:$A,0)),"")</f>
        <v>1TB01009C03</v>
      </c>
      <c r="E77" s="176" t="str">
        <f>IFERROR(INDEX(Program_01!$E:$E,MATCH($B77,Program_01!$A:$A,0)),"")</f>
        <v>1.TB.01.009.01</v>
      </c>
      <c r="F77" s="176" t="str">
        <f>IFERROR(INDEX(Program_01!$F:$F,MATCH($B77,Program_01!$A:$A,0)),"")</f>
        <v>Marina Hotel 3</v>
      </c>
      <c r="G77" s="176" t="str">
        <f>IFERROR(INDEX(Program_01!$G:$G,MATCH($B77,Program_01!$A:$A,0)),"")</f>
        <v>Concrete, Civil, Structural Steel and Builders Works - Phase 2</v>
      </c>
      <c r="H77" s="176" t="str">
        <f>IFERROR(INDEX(Program_01!$H:$H,MATCH($B77,Program_01!$A:$A,0)),"")</f>
        <v>Hassan Allam Construction Saudi Limited</v>
      </c>
      <c r="I77" s="176" t="str">
        <f t="shared" si="11"/>
        <v>EOT</v>
      </c>
      <c r="J77" s="176">
        <f>IFERROR(INDEX(Program_01!$I:$I,MATCH($B77,Program_01!$A:$A,0)),"")</f>
        <v>1</v>
      </c>
      <c r="K77" s="176">
        <f>IFERROR(INDEX(Program_01!$J:$J,MATCH($B77,Program_01!$A:$A,0)),"")</f>
        <v>0</v>
      </c>
      <c r="L77" s="176">
        <f>IFERROR(INDEX(Program_01!$K:$K,MATCH($B77,Program_01!$A:$A,0)),"")</f>
        <v>0</v>
      </c>
      <c r="M77" s="176">
        <f>IFERROR(INDEX(Program_01!$L:$L,MATCH($B77,Program_01!$A:$A,0)),"")</f>
        <v>0</v>
      </c>
      <c r="N77" s="176">
        <f>IFERROR(INDEX(Program_01!$L:$L,MATCH($B77,Program_01!$A:$A,0)),"")</f>
        <v>0</v>
      </c>
      <c r="O77" s="176">
        <f>IFERROR(INDEX(Program_01!$N:$N,MATCH($B77,Program_01!$A:$A,0)),"")</f>
        <v>0</v>
      </c>
      <c r="P77" s="178"/>
      <c r="Q77" s="179" t="str">
        <f>IFERROR(INDEX(Program_01!$C:$C,MATCH($B77,Program_01!$A:$A,0)),"")</f>
        <v>Extension of Time Claim No. 02 - Interim Report No. 01</v>
      </c>
      <c r="R77" s="176" t="str">
        <f>IFERROR(INDEX(Program_01!$V:$V,MATCH($B77,Program_01!$A:$A,0)),"")</f>
        <v>1TB01009-009C03-HAM-LTR-0200</v>
      </c>
      <c r="S77" s="180">
        <f>IFERROR(INDEX(Program_01!$W:$W,MATCH($B77,Program_01!$A:$A,0)),"")</f>
        <v>45729</v>
      </c>
      <c r="T77" s="178"/>
      <c r="U77" s="176" t="str">
        <f>IFERROR(INDEX(Program_01!$Z:$Z,MATCH($B77,Program_01!$A:$A,0)),"")</f>
        <v xml:space="preserve">1TB01009-009C03-AMA-LTR-0174 </v>
      </c>
      <c r="V77" s="181">
        <f>IFERROR(INDEX(Program_01!$AA:$AA,MATCH($B77,Program_01!$A:$A,0)),"")</f>
        <v>45818</v>
      </c>
      <c r="W77" s="182">
        <f t="shared" ca="1" si="0"/>
        <v>89</v>
      </c>
      <c r="X77" s="51"/>
      <c r="Y77" s="179">
        <f>IFERROR(INDEX(Program_01!$BD:$BD,MATCH($B77,Program_01!$A:$A,0)),"")</f>
        <v>0</v>
      </c>
      <c r="Z77" s="51"/>
      <c r="AA77" s="183" t="str">
        <f>IFERROR(IF((INDEX(Program_01!$AD:$AD,MATCH($B77,Program_01!$A:$A,0))=""),INDEX(Program_01!$V:$V,MATCH($B77,Program_01!$A:$A,0)),INDEX(Program_01!$AD:$AD,MATCH($B77,Program_01!$A:$A,0))),"")</f>
        <v xml:space="preserve">1TB01009-009C03-HAM-LTR-0239 on 03 Jun 25
1TB01009-009C03-HAM-LTR-0254 on 11 Nov 25
1TB01009-009C03-HAM-LTR-0269 </v>
      </c>
      <c r="AB77" s="147">
        <f>IFERROR(IF((INDEX(Program_01!$AE:$AE,MATCH($B77,Program_01!$A:$A,0))=""),INDEX(Program_01!$W:$W,MATCH($B77,Program_01!$A:$A,0)),INDEX(Program_01!$AE:$AE,MATCH($B77,Program_01!$A:$A,0))),"")</f>
        <v>46042</v>
      </c>
      <c r="AC77" s="183">
        <f>IFERROR(IF($I77="EOT",INDEX(Program_01!$AN:$AN,MATCH($B77,Program_01!$A:$A,0)),INDEX(Program_01!$AY:$AY,MATCH($B77,Program_01!$A:$A,0))),"")</f>
        <v>0</v>
      </c>
      <c r="AD77" s="181">
        <f>IFERROR(IF($I77="EOT",INDEX(Program_01!$AO:$AO,MATCH($B77,Program_01!$A:$A,0)),INDEX(Program_01!$AZ:$AZ,MATCH($B77,Program_01!$A:$A,0))),"")</f>
        <v>0</v>
      </c>
      <c r="AE77" s="51"/>
      <c r="AF77" s="183"/>
      <c r="AG77" s="181"/>
      <c r="AH77" s="183" t="str">
        <f>IF(OR($D77="",$AS77="VO Issued",$AS77="Open"),"",IF(OR($AC77="Rejected",$AC77="Superseded",$AC77="Dealt Separately"),$AC77,IF($I77="EOT",INDEX(Program_01!$AR:$AR,MATCH($B77,Program_01!$A:$A,0)),INDEX(Program_01!$BB:$BB,MATCH($B77,Program_01!$A:$A,0)))))</f>
        <v/>
      </c>
      <c r="AI77" s="181" t="str">
        <f>IF(OR($A77="",$B77="",$I77="",$AS77="VO Issued",$AS77="Open"),"",IF(OR($AD77="N/A"),$AD77,IF($I77="EOT",INDEX(Program_01!$AS:$AS,MATCH($B77,Program_01!$A:$A,0)),INDEX(Program_01!$BC:$BC,MATCH($B77,Program_01!$A:$A,0)))))</f>
        <v/>
      </c>
      <c r="AJ77" s="183" t="str">
        <f>IF(OR($D77="",$I77="",$AS77="Determination Issued",$AS77="Rejected",$AS77="Open"),"",IF(OR($AH77="Rejected",$AH77="Dealt Separately",$AH77="Superseded",$AH77="Withdrawn"),"N/A",IF($I77="EOT",INDEX(Program_01!AR:AR,MATCH($B77,Program_01!A:A,0)),INDEX(Program_01!BB:BB,MATCH($B77,Program_01!A:A,0)))))</f>
        <v/>
      </c>
      <c r="AK77" s="181" t="str">
        <f>IF(OR($A77="",$B77="",$I77="",$AS77="Determination Issued",$AS77="Rejected",$AS77="Open"),"",IF($AJ77="N/A","N/A",IF($I77="EOT",INDEX(Program_01!AS:AS,MATCH($B77,Program_01!A:A,0)),INDEX(Program_01!BC:BC,MATCH($B77,Program_01!A:A,0)))))</f>
        <v/>
      </c>
      <c r="AL77" s="51"/>
      <c r="AM77" s="184" t="str">
        <f>IFERROR(INDEX(Program_01!$BT:$BT,MATCH($B77,Program_01!$A:$A,0)),"")</f>
        <v>Revise &amp; resubmit</v>
      </c>
      <c r="AN77" s="184">
        <f>IFERROR(INDEX(Program_01!$BU:$BU,MATCH($B77,Program_01!$A:$A,0)),"")</f>
        <v>0</v>
      </c>
      <c r="AO77" s="184">
        <f>IFERROR(INDEX(Program_01!$BV:$BV,MATCH($B77,Program_01!$A:$A,0)),"")</f>
        <v>0</v>
      </c>
      <c r="AP77" s="51" t="str">
        <f t="shared" si="12"/>
        <v/>
      </c>
      <c r="AQ77" s="184">
        <f>IFERROR(INDEX(Program_01!$BN:$BN,MATCH($B77,Program_01!$A:$A,0)),"")</f>
        <v>0</v>
      </c>
      <c r="AR77" s="184" t="str">
        <f>IFERROR(INDEX(Program_01!$BO:$BO,MATCH($B77,Program_01!$A:$A,0)),"")</f>
        <v>Pending</v>
      </c>
      <c r="AS77" s="184" t="str">
        <f>IFERROR(INDEX(Program_01!$BP:$BP,MATCH($B77,Program_01!$A:$A,0)),"")</f>
        <v>Open</v>
      </c>
      <c r="AT77" s="185" t="str">
        <f>IFERROR(INDEX(Program_01!$BQ:$BQ,MATCH($B77,Program_01!$A:$A,0)),"")</f>
        <v>Contractor</v>
      </c>
      <c r="AU77" s="179" t="str">
        <f>IFERROR(INDEX(Program_01!$BR:$BR,MATCH($B77,Program_01!$A:$A,0)),"")</f>
        <v>15 Dec 25: Commercial to review the claim by First Week of January and prepare the report.
10 Jan 26: Meeting held with Contractor. The Contractor agreed to update abd resubmit their EOT report. Formal letter shall be issued confirming this. 
20 Jan 26: Contractor resubmitted their EOT claim ref. 1TB01009-009C03-HAM-LTR-0269 on 20 Jan 2026. 
27 Jan 26: Shall be reviewed and processed once their second stage is concluded. Target date - 25 Feb 26. 
09 Feb 26: Ditto
23 Feb 26: Ditto
08 Mar 26: Shall be reviewed and processed once their second stage is concluded. Target date to conclude 2 stage by 21 March 26. 
06 Apr 26: Target date to complete second stage is 30 Apr 26. Once the revised Programme is agreed, EOT shall be revised and reviewed accordingly
20 Apr 26: Ditto
04 May 26: Ditto. Target date to complete second stage moved to 20 May 26. 
18 May 26: Ditto. Target date deferred to 15 Jun 26.
18 May 26: Commercial to write to the contractor rejecting the existing claim and to advise them to resubmit upon completion of stage two
31 May 26: Second stage RFA with Claims for Review. Once Second stage contract addendum is issued, Contractor will revise the EOT to incorporate second stage + delay events and resubmit.
04 Jun 26: Commercial submitted CA to legal for offline approval.
15 Jun 26: CA with legal team for offline approval
17 Jun 26: Legal team reviewd and revereted to commercial for issuance 
24 Jun 26: contractor has been informed to resubmit the claim upon finalising the 2 stage conversion via AMA01009-GENCORR-006373 
29 Jun 26: Ditto
13 Jul 26: Contractor to submit revised claim based on 2nd stage
25 Jul 26: Ditto
10 Aug 26: Ditto, Commercial to issue a letter requesting the contractor for revised claims based on 2nd stage
24 Aug 26: Letter requesting the Contractor to revise the Programme based on the agreed second stage and subsequently update the EOT is under WF approval. WF-098713
5 Sep 26: Above letter ref. 1TB01009-009C03-AMA-LTR-0216 issued on 24 Aug 26
19 Sep 26:Stage 2 Addendum was issued to the Contractor on 24 August 2026. Awaiting the Contractor’s revised EOT submission.</v>
      </c>
      <c r="AV77" s="186" t="str">
        <f t="shared" si="1"/>
        <v/>
      </c>
      <c r="AW77" s="186" t="str">
        <f t="shared" si="13"/>
        <v>OPEN</v>
      </c>
      <c r="AX77" s="186" t="str">
        <f t="shared" si="2"/>
        <v>OPEN</v>
      </c>
      <c r="AY77" s="181">
        <f t="shared" si="14"/>
        <v>46042</v>
      </c>
      <c r="AZ77" s="181" t="str">
        <f t="shared" si="27"/>
        <v/>
      </c>
      <c r="BA77" s="181" t="str">
        <f t="shared" si="4"/>
        <v/>
      </c>
      <c r="BC77" s="181">
        <f>IFERROR(INDEX(Program_01!BF:BF,MATCH($B77,Program_01!$A:$A,0)),"")</f>
        <v>46042</v>
      </c>
      <c r="BD77" s="188">
        <f ca="1">IFERROR(INDEX(Program_01!BG:BG,MATCH($B77,Program_01!$A:$A,0)),"")</f>
        <v>0</v>
      </c>
      <c r="BE77" s="181">
        <f>IFERROR(INDEX(Program_01!BH:BH,MATCH($B77,Program_01!$A:$A,0)),"")</f>
        <v>0</v>
      </c>
      <c r="BF77" s="189">
        <f ca="1">IFERROR(INDEX(Program_01!BI:BI,MATCH($B77,Program_01!$A:$A,0)),"")</f>
        <v>0</v>
      </c>
      <c r="BG77" s="181">
        <f>IFERROR(INDEX(Program_01!BJ:BJ,MATCH($B77,Program_01!$A:$A,0)),"")</f>
        <v>0</v>
      </c>
      <c r="BH77" s="189">
        <f ca="1">IFERROR(INDEX(Program_01!BK:BK,MATCH($B77,Program_01!$A:$A,0)),"")</f>
        <v>0</v>
      </c>
      <c r="BI77" s="181">
        <f>IFERROR(INDEX(Program_01!BL:BL,MATCH($B77,Program_01!$A:$A,0)),"")</f>
        <v>0</v>
      </c>
      <c r="BK77" s="190" t="str">
        <f>IFERROR(IF(INDEX(Program_01!$BX:$BX,MATCH($B77,Program_01!$A:$A,0))=DATE(1900,1,0),"",INDEX(Program_01!$BX:$BX,MATCH($B77,Program_01!$A:$A,0))),"")</f>
        <v/>
      </c>
      <c r="BL77" s="190" t="str">
        <f>IFERROR(IF(INDEX(Program_01!$BY:$BY,MATCH($B77,Program_01!$A:$A,0))=DATE(1900,1,0),"",INDEX(Program_01!$BY:$BY,MATCH($B77,Program_01!$A:$A,0))),"")</f>
        <v/>
      </c>
      <c r="BM77" s="188" t="str">
        <f t="shared" ca="1" si="15"/>
        <v/>
      </c>
      <c r="BN77" s="191">
        <f t="shared" ca="1" si="16"/>
        <v>0</v>
      </c>
      <c r="BO77" s="188" t="str">
        <f t="shared" si="5"/>
        <v/>
      </c>
      <c r="BP77" s="188" t="str">
        <f t="shared" si="6"/>
        <v/>
      </c>
      <c r="BQ77" s="188" t="str">
        <f t="shared" ca="1" si="17"/>
        <v/>
      </c>
      <c r="BR77" s="181" t="str">
        <f t="shared" ca="1" si="28"/>
        <v/>
      </c>
      <c r="BT77" s="190" t="str">
        <f>IFERROR(IF(INDEX(Program_01!$BZ:$BZ,MATCH($B77,Program_01!$A:$A,0))=DATE(1900,1,0),"",INDEX(Program_01!$BZ:$BZ,MATCH($B77,Program_01!$A:$A,0))),"")</f>
        <v/>
      </c>
      <c r="BU77" s="182" t="str">
        <f t="shared" ca="1" si="22"/>
        <v/>
      </c>
      <c r="BV77" s="188" t="str">
        <f t="shared" si="7"/>
        <v/>
      </c>
      <c r="BW77" s="188" t="str">
        <f t="shared" si="8"/>
        <v/>
      </c>
      <c r="BX77" s="188" t="str">
        <f t="shared" ca="1" si="9"/>
        <v/>
      </c>
      <c r="BY77" s="181" t="str">
        <f t="shared" ca="1" si="29"/>
        <v/>
      </c>
      <c r="CA77" s="192" t="str">
        <f t="shared" si="20"/>
        <v>N</v>
      </c>
      <c r="CB77" s="192" t="str">
        <f t="shared" si="21"/>
        <v>N</v>
      </c>
      <c r="CC77" s="193">
        <f>IFERROR(INDEX(Program_01!$CE:$CE,MATCH($B77,Program_01!$A:$A,0)),"")</f>
        <v>45740</v>
      </c>
      <c r="CD77" s="193">
        <f t="shared" si="30"/>
        <v>45740</v>
      </c>
      <c r="CG77" s="194">
        <f>IFERROR(INDEX(Program_01!$AT:$AT,MATCH($B77,Program_01!$A:$A,0)),"")</f>
        <v>0</v>
      </c>
      <c r="CH77" s="194">
        <f>IFERROR(INDEX(Program_01!$AX:$AX,MATCH($B77,Program_01!$A:$A,0)),"")</f>
        <v>0</v>
      </c>
    </row>
    <row r="78" spans="1:86" s="187" customFormat="1" ht="372">
      <c r="A78" s="174" t="s">
        <v>1</v>
      </c>
      <c r="B78" s="175">
        <v>60</v>
      </c>
      <c r="C78" s="176" t="str">
        <f>IFERROR(INDEX(Program_01!$B:$B,MATCH($B78,Program_01!$A:$A,0)),"")</f>
        <v>FULL TIA EAR</v>
      </c>
      <c r="D78" s="176" t="str">
        <f>IFERROR(INDEX(Program_01!$D:$D,MATCH($B78,Program_01!$A:$A,0)),"")</f>
        <v>1TB01006C42</v>
      </c>
      <c r="E78" s="176" t="str">
        <f>IFERROR(INDEX(Program_01!$E:$E,MATCH($B78,Program_01!$A:$A,0)),"")</f>
        <v>1.TB.01.006.99</v>
      </c>
      <c r="F78" s="176" t="str">
        <f>IFERROR(INDEX(Program_01!$F:$F,MATCH($B78,Program_01!$A:$A,0)),"")</f>
        <v>Village Boutique Hotel</v>
      </c>
      <c r="G78" s="176" t="str">
        <f>IFERROR(INDEX(Program_01!$G:$G,MATCH($B78,Program_01!$A:$A,0)),"")</f>
        <v>Construction of Amaala Triple Bay Marina - Village Boutique Hotel Fit-Out Package 2</v>
      </c>
      <c r="H78" s="176" t="str">
        <f>IFERROR(INDEX(Program_01!$H:$H,MATCH($B78,Program_01!$A:$A,0)),"")</f>
        <v>Havelock One Interiors Company</v>
      </c>
      <c r="I78" s="176" t="str">
        <f t="shared" si="11"/>
        <v>EOT</v>
      </c>
      <c r="J78" s="176">
        <f>IFERROR(INDEX(Program_01!$I:$I,MATCH($B78,Program_01!$A:$A,0)),"")</f>
        <v>1</v>
      </c>
      <c r="K78" s="176">
        <f>IFERROR(INDEX(Program_01!$J:$J,MATCH($B78,Program_01!$A:$A,0)),"")</f>
        <v>0</v>
      </c>
      <c r="L78" s="176">
        <f>IFERROR(INDEX(Program_01!$K:$K,MATCH($B78,Program_01!$A:$A,0)),"")</f>
        <v>0</v>
      </c>
      <c r="M78" s="176">
        <f>IFERROR(INDEX(Program_01!$L:$L,MATCH($B78,Program_01!$A:$A,0)),"")</f>
        <v>0</v>
      </c>
      <c r="N78" s="176">
        <f>IFERROR(INDEX(Program_01!$L:$L,MATCH($B78,Program_01!$A:$A,0)),"")</f>
        <v>0</v>
      </c>
      <c r="O78" s="176">
        <f>IFERROR(INDEX(Program_01!$N:$N,MATCH($B78,Program_01!$A:$A,0)),"")</f>
        <v>0</v>
      </c>
      <c r="P78" s="178"/>
      <c r="Q78" s="179" t="str">
        <f>IFERROR(INDEX(Program_01!$C:$C,MATCH($B78,Program_01!$A:$A,0)),"")</f>
        <v>Extension of Time Claim No. 01 - Interim Report No. 01</v>
      </c>
      <c r="R78" s="176" t="str">
        <f>IFERROR(INDEX(Program_01!$V:$V,MATCH($B78,Program_01!$A:$A,0)),"")</f>
        <v>1TB01006-006C42-HOI-LTR-0004
HOI01006-TRANSMIT-000028</v>
      </c>
      <c r="S78" s="180">
        <f>IFERROR(INDEX(Program_01!$W:$W,MATCH($B78,Program_01!$A:$A,0)),"")</f>
        <v>45742</v>
      </c>
      <c r="T78" s="178"/>
      <c r="U78" s="176" t="str">
        <f>IFERROR(INDEX(Program_01!$Z:$Z,MATCH($B78,Program_01!$A:$A,0)),"")</f>
        <v>1TB01006-006C42-AMA-LTR-0010</v>
      </c>
      <c r="V78" s="181">
        <f>IFERROR(INDEX(Program_01!$AA:$AA,MATCH($B78,Program_01!$A:$A,0)),"")</f>
        <v>45767</v>
      </c>
      <c r="W78" s="182">
        <f t="shared" ca="1" si="0"/>
        <v>25</v>
      </c>
      <c r="X78" s="51"/>
      <c r="Y78" s="179">
        <f>IFERROR(INDEX(Program_01!$BD:$BD,MATCH($B78,Program_01!$A:$A,0)),"")</f>
        <v>0</v>
      </c>
      <c r="Z78" s="51"/>
      <c r="AA78" s="183" t="str">
        <f>IFERROR(IF((INDEX(Program_01!$AD:$AD,MATCH($B78,Program_01!$A:$A,0))=""),INDEX(Program_01!$V:$V,MATCH($B78,Program_01!$A:$A,0)),INDEX(Program_01!$AD:$AD,MATCH($B78,Program_01!$A:$A,0))),"")</f>
        <v>1TB01006-006C42-HOI-LTR-0011
HOI01006-TRANSMIT-000054</v>
      </c>
      <c r="AB78" s="147">
        <f>IFERROR(IF((INDEX(Program_01!$AE:$AE,MATCH($B78,Program_01!$A:$A,0))=""),INDEX(Program_01!$W:$W,MATCH($B78,Program_01!$A:$A,0)),INDEX(Program_01!$AE:$AE,MATCH($B78,Program_01!$A:$A,0))),"")</f>
        <v>45847</v>
      </c>
      <c r="AC78" s="183" t="str">
        <f>IFERROR(IF($I78="EOT",INDEX(Program_01!$AN:$AN,MATCH($B78,Program_01!$A:$A,0)),INDEX(Program_01!$AY:$AY,MATCH($B78,Program_01!$A:$A,0))),"")</f>
        <v>N/A</v>
      </c>
      <c r="AD78" s="181" t="str">
        <f>IFERROR(IF($I78="EOT",INDEX(Program_01!$AO:$AO,MATCH($B78,Program_01!$A:$A,0)),INDEX(Program_01!$AZ:$AZ,MATCH($B78,Program_01!$A:$A,0))),"")</f>
        <v>N/A</v>
      </c>
      <c r="AE78" s="51"/>
      <c r="AF78" s="183"/>
      <c r="AG78" s="181"/>
      <c r="AH78" s="183">
        <f>IF(OR($D78="",$AS78="VO Issued",$AS78="Open"),"",IF(OR($AC78="Rejected",$AC78="Superseded",$AC78="Dealt Separately"),$AC78,IF($I78="EOT",INDEX(Program_01!$AR:$AR,MATCH($B78,Program_01!$A:$A,0)),INDEX(Program_01!$BB:$BB,MATCH($B78,Program_01!$A:$A,0)))))</f>
        <v>0</v>
      </c>
      <c r="AI78" s="181" t="str">
        <f>IF(OR($A78="",$B78="",$I78="",$AS78="VO Issued",$AS78="Open"),"",IF(OR($AD78="N/A"),$AD78,IF($I78="EOT",INDEX(Program_01!$AS:$AS,MATCH($B78,Program_01!$A:$A,0)),INDEX(Program_01!$BC:$BC,MATCH($B78,Program_01!$A:$A,0)))))</f>
        <v>N/A</v>
      </c>
      <c r="AJ78" s="183">
        <f>IF(OR($D78="",$I78="",$AS78="Determination Issued",$AS78="Rejected",$AS78="Open"),"",IF(OR($AH78="Rejected",$AH78="Dealt Separately",$AH78="Superseded",$AH78="Withdrawn"),"N/A",IF($I78="EOT",INDEX(Program_01!AR:AR,MATCH($B78,Program_01!A:A,0)),INDEX(Program_01!BB:BB,MATCH($B78,Program_01!A:A,0)))))</f>
        <v>0</v>
      </c>
      <c r="AK78" s="181">
        <f>IF(OR($A78="",$B78="",$I78="",$AS78="Determination Issued",$AS78="Rejected",$AS78="Open"),"",IF($AJ78="N/A","N/A",IF($I78="EOT",INDEX(Program_01!AS:AS,MATCH($B78,Program_01!A:A,0)),INDEX(Program_01!BC:BC,MATCH($B78,Program_01!A:A,0)))))</f>
        <v>0</v>
      </c>
      <c r="AL78" s="51"/>
      <c r="AM78" s="184">
        <f>IFERROR(INDEX(Program_01!$BT:$BT,MATCH($B78,Program_01!$A:$A,0)),"")</f>
        <v>0</v>
      </c>
      <c r="AN78" s="184">
        <f>IFERROR(INDEX(Program_01!$BU:$BU,MATCH($B78,Program_01!$A:$A,0)),"")</f>
        <v>0</v>
      </c>
      <c r="AO78" s="184">
        <f>IFERROR(INDEX(Program_01!$BV:$BV,MATCH($B78,Program_01!$A:$A,0)),"")</f>
        <v>0</v>
      </c>
      <c r="AP78" s="51" t="str">
        <f t="shared" si="12"/>
        <v/>
      </c>
      <c r="AQ78" s="184">
        <f>IFERROR(INDEX(Program_01!$BN:$BN,MATCH($B78,Program_01!$A:$A,0)),"")</f>
        <v>0</v>
      </c>
      <c r="AR78" s="184" t="str">
        <f>IFERROR(INDEX(Program_01!$BO:$BO,MATCH($B78,Program_01!$A:$A,0)),"")</f>
        <v>Not Applicable</v>
      </c>
      <c r="AS78" s="184" t="str">
        <f>IFERROR(INDEX(Program_01!$BP:$BP,MATCH($B78,Program_01!$A:$A,0)),"")</f>
        <v>Dealt Separately</v>
      </c>
      <c r="AT78" s="185" t="str">
        <f>IFERROR(INDEX(Program_01!$BQ:$BQ,MATCH($B78,Program_01!$A:$A,0)),"")</f>
        <v>Closed</v>
      </c>
      <c r="AU78" s="179" t="str">
        <f>IFERROR(INDEX(Program_01!$BR:$BR,MATCH($B78,Program_01!$A:$A,0)),"")</f>
        <v>31 March 2025 -  This package is subject to Discretionary EOT route, revised completion date is 31 Oct 2025.
10 Apr 25: Initial response under process. Draft letter sent to claims for review. Claims had reviewd and sent back to commercial for issuance
16 Apr 25: Draft response put in WF-028687 for approval on 14 Apr 25
20 Apr 25 - Response was sent to the Contractor on 20 Apr 2025 1TB01006-006C42-AMA-LTR-0010
03  May 25 - Awaiting revised submission from Contractor
19 May 25: Ditto
14 June 25 - Ditto
30 June 25 - Awaiting revsied submission from the Contractor, commercial to issue a follow up letter
14 July 25 - Contractor issued the revised claim on 09 Jul 2025 via HOI01006-TRANSMIT-000054 - 1TB01006-006C42-HOI-LTR-0011, revised claim under review with commercial, 
27 July 2025:  Ditto. Commercial drafting the response, to be issued to Claims by 31 July 25.
13 Aug 25: following  a meeting b/w RSG claims, commercial &amp; planning, it has been decided to move ahead with a Contract Amendment is more suitable than the EOT process as it allows formal restructuring of the Works, Sections, and Completion Dates to reflect major variations while keeping the Contractor’s liability for Delay Damages.
25 Aug 25 - in process of completing contract amendment in coordination with planning 
01 Sep 25: Litha
08 September 25: CA reviewed by Claims and returned to commercial on 03 Sep 25. Commercial to update target date TBC
24 Sep 25: Draft CA sent to commercial for review
25 Sep 25: claims reverted with approval to proceed with offline legal approval prior to WF 
06 Oct 25: CA submitted to legal on 26 September 2025
20 Oct 25: Ditto, 
23 Oct 25: Contract amendment issued to contractor and therefore this line item is now considered closed</v>
      </c>
      <c r="AV78" s="186" t="str">
        <f t="shared" si="1"/>
        <v/>
      </c>
      <c r="AW78" s="186" t="str">
        <f t="shared" si="13"/>
        <v>CLOSED</v>
      </c>
      <c r="AX78" s="186" t="str">
        <f t="shared" si="2"/>
        <v>CLOSED</v>
      </c>
      <c r="AY78" s="181">
        <f t="shared" si="14"/>
        <v>45847</v>
      </c>
      <c r="AZ78" s="181" t="str">
        <f t="shared" si="27"/>
        <v>N/A</v>
      </c>
      <c r="BA78" s="181" t="str">
        <f t="shared" si="4"/>
        <v>N/A</v>
      </c>
      <c r="BC78" s="181">
        <f>IFERROR(INDEX(Program_01!BF:BF,MATCH($B78,Program_01!$A:$A,0)),"")</f>
        <v>45847</v>
      </c>
      <c r="BD78" s="188" t="str">
        <f ca="1">IFERROR(INDEX(Program_01!BG:BG,MATCH($B78,Program_01!$A:$A,0)),"")</f>
        <v>N/A</v>
      </c>
      <c r="BE78" s="181">
        <f>IFERROR(INDEX(Program_01!BH:BH,MATCH($B78,Program_01!$A:$A,0)),"")</f>
        <v>0</v>
      </c>
      <c r="BF78" s="189">
        <f ca="1">IFERROR(INDEX(Program_01!BI:BI,MATCH($B78,Program_01!$A:$A,0)),"")</f>
        <v>0</v>
      </c>
      <c r="BG78" s="181">
        <f>IFERROR(INDEX(Program_01!BJ:BJ,MATCH($B78,Program_01!$A:$A,0)),"")</f>
        <v>0</v>
      </c>
      <c r="BH78" s="189">
        <f ca="1">IFERROR(INDEX(Program_01!BK:BK,MATCH($B78,Program_01!$A:$A,0)),"")</f>
        <v>0</v>
      </c>
      <c r="BI78" s="181">
        <f>IFERROR(INDEX(Program_01!BL:BL,MATCH($B78,Program_01!$A:$A,0)),"")</f>
        <v>0</v>
      </c>
      <c r="BK78" s="190">
        <f>IFERROR(IF(INDEX(Program_01!$BX:$BX,MATCH($B78,Program_01!$A:$A,0))=DATE(1900,1,0),"",INDEX(Program_01!$BX:$BX,MATCH($B78,Program_01!$A:$A,0))),"")</f>
        <v>45953</v>
      </c>
      <c r="BL78" s="190" t="str">
        <f>IFERROR(IF(INDEX(Program_01!$BY:$BY,MATCH($B78,Program_01!$A:$A,0))=DATE(1900,1,0),"",INDEX(Program_01!$BY:$BY,MATCH($B78,Program_01!$A:$A,0))),"")</f>
        <v/>
      </c>
      <c r="BM78" s="188" t="str">
        <f t="shared" ca="1" si="15"/>
        <v/>
      </c>
      <c r="BN78" s="191">
        <f t="shared" ca="1" si="16"/>
        <v>0</v>
      </c>
      <c r="BO78" s="188" t="str">
        <f t="shared" si="5"/>
        <v/>
      </c>
      <c r="BP78" s="188" t="str">
        <f t="shared" si="6"/>
        <v>1</v>
      </c>
      <c r="BQ78" s="188" t="str">
        <f t="shared" ca="1" si="17"/>
        <v/>
      </c>
      <c r="BR78" s="181" t="str">
        <f t="shared" ca="1" si="28"/>
        <v/>
      </c>
      <c r="BT78" s="190" t="str">
        <f>IFERROR(IF(INDEX(Program_01!$BZ:$BZ,MATCH($B78,Program_01!$A:$A,0))=DATE(1900,1,0),"",INDEX(Program_01!$BZ:$BZ,MATCH($B78,Program_01!$A:$A,0))),"")</f>
        <v/>
      </c>
      <c r="BU78" s="182" t="str">
        <f t="shared" ca="1" si="22"/>
        <v/>
      </c>
      <c r="BV78" s="188" t="str">
        <f t="shared" si="7"/>
        <v/>
      </c>
      <c r="BW78" s="188" t="str">
        <f t="shared" si="8"/>
        <v>1</v>
      </c>
      <c r="BX78" s="188" t="str">
        <f t="shared" ca="1" si="9"/>
        <v/>
      </c>
      <c r="BY78" s="181" t="str">
        <f t="shared" ca="1" si="29"/>
        <v/>
      </c>
      <c r="CA78" s="192" t="str">
        <f t="shared" si="20"/>
        <v>N</v>
      </c>
      <c r="CB78" s="192" t="str">
        <f t="shared" si="21"/>
        <v>N</v>
      </c>
      <c r="CC78" s="193">
        <f>IFERROR(INDEX(Program_01!$CE:$CE,MATCH($B78,Program_01!$A:$A,0)),"")</f>
        <v>45762</v>
      </c>
      <c r="CD78" s="193">
        <f t="shared" si="30"/>
        <v>45762</v>
      </c>
      <c r="CG78" s="194">
        <f>IFERROR(INDEX(Program_01!$AT:$AT,MATCH($B78,Program_01!$A:$A,0)),"")</f>
        <v>0</v>
      </c>
      <c r="CH78" s="194">
        <f>IFERROR(INDEX(Program_01!$AX:$AX,MATCH($B78,Program_01!$A:$A,0)),"")</f>
        <v>0</v>
      </c>
    </row>
    <row r="79" spans="1:86" s="187" customFormat="1" ht="408.75" customHeight="1">
      <c r="A79" s="174" t="s">
        <v>1</v>
      </c>
      <c r="B79" s="175">
        <v>61</v>
      </c>
      <c r="C79" s="176" t="str">
        <f>IFERROR(INDEX(Program_01!$B:$B,MATCH($B79,Program_01!$A:$A,0)),"")</f>
        <v>FULL TIA EAR</v>
      </c>
      <c r="D79" s="176" t="str">
        <f>IFERROR(INDEX(Program_01!$D:$D,MATCH($B79,Program_01!$A:$A,0)),"")</f>
        <v>1TB01031C10</v>
      </c>
      <c r="E79" s="176" t="str">
        <f>IFERROR(INDEX(Program_01!$E:$E,MATCH($B79,Program_01!$A:$A,0)),"")</f>
        <v>1.TB.01.031.10</v>
      </c>
      <c r="F79" s="176" t="str">
        <f>IFERROR(INDEX(Program_01!$F:$F,MATCH($B79,Program_01!$A:$A,0)),"")</f>
        <v>The Marina</v>
      </c>
      <c r="G79" s="176" t="str">
        <f>IFERROR(INDEX(Program_01!$G:$G,MATCH($B79,Program_01!$A:$A,0)),"")</f>
        <v>Design, Engineering, Procurement and Construction of Floating Pontoons for a The Marina at AMAALA Triple Bay</v>
      </c>
      <c r="H79" s="176" t="str">
        <f>IFERROR(INDEX(Program_01!$H:$H,MATCH($B79,Program_01!$A:$A,0)),"")</f>
        <v xml:space="preserve">MME Marine Engineering LLC </v>
      </c>
      <c r="I79" s="176" t="str">
        <f t="shared" si="11"/>
        <v>EOT</v>
      </c>
      <c r="J79" s="176">
        <f>IFERROR(INDEX(Program_01!$I:$I,MATCH($B79,Program_01!$A:$A,0)),"")</f>
        <v>1</v>
      </c>
      <c r="K79" s="176">
        <f>IFERROR(INDEX(Program_01!$J:$J,MATCH($B79,Program_01!$A:$A,0)),"")</f>
        <v>0</v>
      </c>
      <c r="L79" s="176">
        <f>IFERROR(INDEX(Program_01!$K:$K,MATCH($B79,Program_01!$A:$A,0)),"")</f>
        <v>0</v>
      </c>
      <c r="M79" s="176">
        <f>IFERROR(INDEX(Program_01!$L:$L,MATCH($B79,Program_01!$A:$A,0)),"")</f>
        <v>0</v>
      </c>
      <c r="N79" s="176">
        <f>IFERROR(INDEX(Program_01!$L:$L,MATCH($B79,Program_01!$A:$A,0)),"")</f>
        <v>0</v>
      </c>
      <c r="O79" s="176">
        <f>IFERROR(INDEX(Program_01!$N:$N,MATCH($B79,Program_01!$A:$A,0)),"")</f>
        <v>0</v>
      </c>
      <c r="P79" s="178"/>
      <c r="Q79" s="179" t="str">
        <f>IFERROR(INDEX(Program_01!$C:$C,MATCH($B79,Program_01!$A:$A,0)),"")</f>
        <v>EOT-02 TB Marina Project - Request for Extension of Time</v>
      </c>
      <c r="R79" s="176" t="str">
        <f>IFERROR(INDEX(Program_01!$V:$V,MATCH($B79,Program_01!$A:$A,0)),"")</f>
        <v>MME01031-TRANSMIT-000102 (1TB01031-031C10-MME-LTR-0032)
1st submission on 16 Apr 25
updated claim submission
MME01031-TRANSMIT-000108 (1TB01031-031C10-MME-LTR-0032)</v>
      </c>
      <c r="S79" s="180">
        <f>IFERROR(INDEX(Program_01!$W:$W,MATCH($B79,Program_01!$A:$A,0)),"")</f>
        <v>45773</v>
      </c>
      <c r="T79" s="178"/>
      <c r="U79" s="176" t="str">
        <f>IFERROR(INDEX(Program_01!$Z:$Z,MATCH($B79,Program_01!$A:$A,0)),"")</f>
        <v>1TB01031-031C10-AMA-LTR-0035</v>
      </c>
      <c r="V79" s="181">
        <f>IFERROR(INDEX(Program_01!$AA:$AA,MATCH($B79,Program_01!$A:$A,0)),"")</f>
        <v>45787</v>
      </c>
      <c r="W79" s="182">
        <f t="shared" ca="1" si="0"/>
        <v>14</v>
      </c>
      <c r="X79" s="51"/>
      <c r="Y79" s="179">
        <f>IFERROR(INDEX(Program_01!$BD:$BD,MATCH($B79,Program_01!$A:$A,0)),"")</f>
        <v>0</v>
      </c>
      <c r="Z79" s="51"/>
      <c r="AA79" s="183" t="str">
        <f>IFERROR(IF((INDEX(Program_01!$AD:$AD,MATCH($B79,Program_01!$A:$A,0))=""),INDEX(Program_01!$V:$V,MATCH($B79,Program_01!$A:$A,0)),INDEX(Program_01!$AD:$AD,MATCH($B79,Program_01!$A:$A,0))),"")</f>
        <v>MME01031-TRANSMIT-000130
1TB01031-031C10-MME-LTR-0035</v>
      </c>
      <c r="AB79" s="147">
        <f>IFERROR(IF((INDEX(Program_01!$AE:$AE,MATCH($B79,Program_01!$A:$A,0))=""),INDEX(Program_01!$W:$W,MATCH($B79,Program_01!$A:$A,0)),INDEX(Program_01!$AE:$AE,MATCH($B79,Program_01!$A:$A,0))),"")</f>
        <v>45799</v>
      </c>
      <c r="AC79" s="183" t="str">
        <f>IFERROR(IF($I79="EOT",INDEX(Program_01!$AN:$AN,MATCH($B79,Program_01!$A:$A,0)),INDEX(Program_01!$AY:$AY,MATCH($B79,Program_01!$A:$A,0))),"")</f>
        <v>1TB01031-031C10-AMA-LTR-0062</v>
      </c>
      <c r="AD79" s="181">
        <f>IFERROR(IF($I79="EOT",INDEX(Program_01!$AO:$AO,MATCH($B79,Program_01!$A:$A,0)),INDEX(Program_01!$AZ:$AZ,MATCH($B79,Program_01!$A:$A,0))),"")</f>
        <v>46028</v>
      </c>
      <c r="AE79" s="51"/>
      <c r="AF79" s="183"/>
      <c r="AG79" s="181"/>
      <c r="AH79" s="183">
        <f>IF(OR($D79="",$AS79="VO Issued",$AS79="Open"),"",IF(OR($AC79="Rejected",$AC79="Superseded",$AC79="Dealt Separately"),$AC79,IF($I79="EOT",INDEX(Program_01!$AR:$AR,MATCH($B79,Program_01!$A:$A,0)),INDEX(Program_01!$BB:$BB,MATCH($B79,Program_01!$A:$A,0)))))</f>
        <v>0</v>
      </c>
      <c r="AI79" s="181">
        <f>IF(OR($A79="",$B79="",$I79="",$AS79="VO Issued",$AS79="Open"),"",IF(OR($AD79="N/A"),$AD79,IF($I79="EOT",INDEX(Program_01!$AS:$AS,MATCH($B79,Program_01!$A:$A,0)),INDEX(Program_01!$BC:$BC,MATCH($B79,Program_01!$A:$A,0)))))</f>
        <v>0</v>
      </c>
      <c r="AJ79" s="183">
        <f>IF(OR($D79="",$I79="",$AS79="Determination Issued",$AS79="Rejected",$AS79="Open"),"",IF(OR($AH79="Rejected",$AH79="Dealt Separately",$AH79="Superseded",$AH79="Withdrawn"),"N/A",IF($I79="EOT",INDEX(Program_01!AR:AR,MATCH($B79,Program_01!A:A,0)),INDEX(Program_01!BB:BB,MATCH($B79,Program_01!A:A,0)))))</f>
        <v>0</v>
      </c>
      <c r="AK79" s="181">
        <f>IF(OR($A79="",$B79="",$I79="",$AS79="Determination Issued",$AS79="Rejected",$AS79="Open"),"",IF($AJ79="N/A","N/A",IF($I79="EOT",INDEX(Program_01!AS:AS,MATCH($B79,Program_01!A:A,0)),INDEX(Program_01!BC:BC,MATCH($B79,Program_01!A:A,0)))))</f>
        <v>0</v>
      </c>
      <c r="AL79" s="51"/>
      <c r="AM79" s="184">
        <f>IFERROR(INDEX(Program_01!$BT:$BT,MATCH($B79,Program_01!$A:$A,0)),"")</f>
        <v>0</v>
      </c>
      <c r="AN79" s="184">
        <f>IFERROR(INDEX(Program_01!$BU:$BU,MATCH($B79,Program_01!$A:$A,0)),"")</f>
        <v>0</v>
      </c>
      <c r="AO79" s="184">
        <f>IFERROR(INDEX(Program_01!$BV:$BV,MATCH($B79,Program_01!$A:$A,0)),"")</f>
        <v>0</v>
      </c>
      <c r="AP79" s="51" t="str">
        <f t="shared" si="12"/>
        <v/>
      </c>
      <c r="AQ79" s="184">
        <f>IFERROR(INDEX(Program_01!$BN:$BN,MATCH($B79,Program_01!$A:$A,0)),"")</f>
        <v>0</v>
      </c>
      <c r="AR79" s="184" t="str">
        <f>IFERROR(INDEX(Program_01!$BO:$BO,MATCH($B79,Program_01!$A:$A,0)),"")</f>
        <v>Assessment Report Issued</v>
      </c>
      <c r="AS79" s="184" t="str">
        <f>IFERROR(INDEX(Program_01!$BP:$BP,MATCH($B79,Program_01!$A:$A,0)),"")</f>
        <v>EI Issued</v>
      </c>
      <c r="AT79" s="185" t="str">
        <f>IFERROR(INDEX(Program_01!$BQ:$BQ,MATCH($B79,Program_01!$A:$A,0)),"")</f>
        <v>Closed</v>
      </c>
      <c r="AU79" s="179" t="str">
        <f>IFERROR(INDEX(Program_01!$BR:$BR,MATCH($B79,Program_01!$A:$A,0)),"")</f>
        <v xml:space="preserve">09 Sep 25: Draft EAR sent to Planning for TIA
15 Sep 25: meeting held with commercial on Thursday (date), commercial actioned to update the chronology 
22 Sep 25: Draft EAR sent to Planning for TIA
29 Sep 25: TIA ongoing, targeted to finalise by 12 Oct 25
07 Oct 25: Target date moved to 16 Oct 25
13 Oct 25: Ditto
20 Oct 25: Target date moved to 23 Oct 25
27 Oct 25: Target date moved to 06 Nov 25
03 Nov 25: Ditto
10 Nov 25: TIA incorporated and sent to commercial for finalisation prior to claims team's final review &amp; approval
17 Nov 25: targeted to issue to Claims team for final approval before the WF by 19 Nov 25. 
23 Nov 25: Final Draft EAR sent to claims team for review &amp; approval 
01 Dec 25: Ditto
03 Dec 25: EAR approved by Claim team and sent to commercial to initiate WF
04 Dec 25: WF initiated under ref WF-015537
13 Dec 25: with Tareq since 11 Dec.
06 Jan 26 : Employer's Assessment Report EOT-02 has been sent to the Contractor Ref : 1TB01031-031C10-AMA-LTR-0062
12 Jan 26: awaiting contractor's response
27 Jan 26: Ditto, comm to issue follow up letter
08 Feb 26: Ditto ( Contractor's acceptance is expected today)
09 Feb 26: comm to issue follow up if the contractor doesnt respond by end of this week
24 Feb 26: the Contractor accepted EAR and confirmed that they are preparing a revised cost claim in line with the EAR, 1TB01031-031C10-MME-LTR-0054 received on 09 Feb 26, Commercial to prepare EI for issuance
08 Mar 26: EI will be issued this week. 
06 Apr 26: EI is issued by RSG commercial team ref AMA01031-EMPI-000007 and accepted by MME via MME01031-GENCORR-000109 </v>
      </c>
      <c r="AV79" s="186" t="str">
        <f t="shared" si="1"/>
        <v/>
      </c>
      <c r="AW79" s="186" t="str">
        <f t="shared" si="13"/>
        <v>CLOSED</v>
      </c>
      <c r="AX79" s="186" t="str">
        <f t="shared" si="2"/>
        <v>CLOSED</v>
      </c>
      <c r="AY79" s="181">
        <f t="shared" si="14"/>
        <v>45799</v>
      </c>
      <c r="AZ79" s="181">
        <f t="shared" si="27"/>
        <v>46028</v>
      </c>
      <c r="BA79" s="181">
        <f t="shared" si="4"/>
        <v>0</v>
      </c>
      <c r="BC79" s="181">
        <f>IFERROR(INDEX(Program_01!BF:BF,MATCH($B79,Program_01!$A:$A,0)),"")</f>
        <v>45799</v>
      </c>
      <c r="BD79" s="188" t="str">
        <f ca="1">IFERROR(INDEX(Program_01!BG:BG,MATCH($B79,Program_01!$A:$A,0)),"")</f>
        <v>N/A</v>
      </c>
      <c r="BE79" s="181">
        <f>IFERROR(INDEX(Program_01!BH:BH,MATCH($B79,Program_01!$A:$A,0)),"")</f>
        <v>0</v>
      </c>
      <c r="BF79" s="189">
        <f ca="1">IFERROR(INDEX(Program_01!BI:BI,MATCH($B79,Program_01!$A:$A,0)),"")</f>
        <v>0</v>
      </c>
      <c r="BG79" s="181">
        <f>IFERROR(INDEX(Program_01!BJ:BJ,MATCH($B79,Program_01!$A:$A,0)),"")</f>
        <v>0</v>
      </c>
      <c r="BH79" s="189">
        <f ca="1">IFERROR(INDEX(Program_01!BK:BK,MATCH($B79,Program_01!$A:$A,0)),"")</f>
        <v>0</v>
      </c>
      <c r="BI79" s="181">
        <f>IFERROR(INDEX(Program_01!BL:BL,MATCH($B79,Program_01!$A:$A,0)),"")</f>
        <v>0</v>
      </c>
      <c r="BK79" s="190">
        <f>IFERROR(IF(INDEX(Program_01!$BX:$BX,MATCH($B79,Program_01!$A:$A,0))=DATE(1900,1,0),"",INDEX(Program_01!$BX:$BX,MATCH($B79,Program_01!$A:$A,0))),"")</f>
        <v>46023</v>
      </c>
      <c r="BL79" s="190" t="str">
        <f>IFERROR(IF(INDEX(Program_01!$BY:$BY,MATCH($B79,Program_01!$A:$A,0))=DATE(1900,1,0),"",INDEX(Program_01!$BY:$BY,MATCH($B79,Program_01!$A:$A,0))),"")</f>
        <v/>
      </c>
      <c r="BM79" s="188">
        <f t="shared" ca="1" si="15"/>
        <v>229</v>
      </c>
      <c r="BN79" s="191">
        <f t="shared" ca="1" si="16"/>
        <v>229</v>
      </c>
      <c r="BO79" s="188">
        <f t="shared" ca="1" si="5"/>
        <v>229</v>
      </c>
      <c r="BP79" s="188" t="str">
        <f t="shared" si="6"/>
        <v>1</v>
      </c>
      <c r="BQ79" s="188" t="str">
        <f t="shared" ca="1" si="17"/>
        <v/>
      </c>
      <c r="BR79" s="181" t="str">
        <f t="shared" ca="1" si="28"/>
        <v/>
      </c>
      <c r="BT79" s="190" t="str">
        <f>IFERROR(IF(INDEX(Program_01!$BZ:$BZ,MATCH($B79,Program_01!$A:$A,0))=DATE(1900,1,0),"",INDEX(Program_01!$BZ:$BZ,MATCH($B79,Program_01!$A:$A,0))),"")</f>
        <v/>
      </c>
      <c r="BU79" s="182" t="str">
        <f t="shared" ca="1" si="22"/>
        <v/>
      </c>
      <c r="BV79" s="188" t="str">
        <f t="shared" si="7"/>
        <v/>
      </c>
      <c r="BW79" s="188" t="str">
        <f t="shared" si="8"/>
        <v>1</v>
      </c>
      <c r="BX79" s="188" t="str">
        <f t="shared" ca="1" si="9"/>
        <v/>
      </c>
      <c r="BY79" s="181" t="str">
        <f t="shared" ca="1" si="29"/>
        <v/>
      </c>
      <c r="CA79" s="192" t="str">
        <f t="shared" si="20"/>
        <v>Y</v>
      </c>
      <c r="CB79" s="192" t="str">
        <f t="shared" si="21"/>
        <v>N</v>
      </c>
      <c r="CC79" s="193">
        <f>IFERROR(INDEX(Program_01!$CE:$CE,MATCH($B79,Program_01!$A:$A,0)),"")</f>
        <v>45767</v>
      </c>
      <c r="CD79" s="193">
        <v>45767</v>
      </c>
      <c r="CG79" s="194">
        <f>IFERROR(INDEX(Program_01!$AT:$AT,MATCH($B79,Program_01!$A:$A,0)),"")</f>
        <v>0</v>
      </c>
      <c r="CH79" s="194">
        <f>IFERROR(INDEX(Program_01!$AX:$AX,MATCH($B79,Program_01!$A:$A,0)),"")</f>
        <v>0</v>
      </c>
    </row>
    <row r="80" spans="1:86" s="187" customFormat="1" ht="153">
      <c r="A80" s="174" t="s">
        <v>1</v>
      </c>
      <c r="B80" s="175">
        <v>62</v>
      </c>
      <c r="C80" s="176" t="str">
        <f>IFERROR(INDEX(Program_01!$B:$B,MATCH($B80,Program_01!$A:$A,0)),"")</f>
        <v>FULL TIA EAR</v>
      </c>
      <c r="D80" s="176" t="str">
        <f>IFERROR(INDEX(Program_01!$D:$D,MATCH($B80,Program_01!$A:$A,0)),"")</f>
        <v>1TB01002C50</v>
      </c>
      <c r="E80" s="176" t="str">
        <f>IFERROR(INDEX(Program_01!$E:$E,MATCH($B80,Program_01!$A:$A,0)),"")</f>
        <v>1.TB.01.002.99</v>
      </c>
      <c r="F80" s="176" t="str">
        <f>IFERROR(INDEX(Program_01!$F:$F,MATCH($B80,Program_01!$A:$A,0)),"")</f>
        <v>Marina Lifestyle Hotel &amp; Village</v>
      </c>
      <c r="G80" s="176" t="str">
        <f>IFERROR(INDEX(Program_01!$G:$G,MATCH($B80,Program_01!$A:$A,0)),"")</f>
        <v>Building Envelope Works for Marina Lifestyle Hotel</v>
      </c>
      <c r="H80" s="176" t="str">
        <f>IFERROR(INDEX(Program_01!$H:$H,MATCH($B80,Program_01!$A:$A,0)),"")</f>
        <v>DOHA Extraco</v>
      </c>
      <c r="I80" s="176" t="str">
        <f t="shared" si="11"/>
        <v>EOT</v>
      </c>
      <c r="J80" s="176">
        <f>IFERROR(INDEX(Program_01!$I:$I,MATCH($B80,Program_01!$A:$A,0)),"")</f>
        <v>1</v>
      </c>
      <c r="K80" s="176">
        <f>IFERROR(INDEX(Program_01!$J:$J,MATCH($B80,Program_01!$A:$A,0)),"")</f>
        <v>0</v>
      </c>
      <c r="L80" s="176">
        <f>IFERROR(INDEX(Program_01!$K:$K,MATCH($B80,Program_01!$A:$A,0)),"")</f>
        <v>0</v>
      </c>
      <c r="M80" s="176">
        <f>IFERROR(INDEX(Program_01!$L:$L,MATCH($B80,Program_01!$A:$A,0)),"")</f>
        <v>0</v>
      </c>
      <c r="N80" s="176">
        <f>IFERROR(INDEX(Program_01!$L:$L,MATCH($B80,Program_01!$A:$A,0)),"")</f>
        <v>0</v>
      </c>
      <c r="O80" s="176">
        <f>IFERROR(INDEX(Program_01!$N:$N,MATCH($B80,Program_01!$A:$A,0)),"")</f>
        <v>0</v>
      </c>
      <c r="P80" s="178"/>
      <c r="Q80" s="179" t="str">
        <f>IFERROR(INDEX(Program_01!$C:$C,MATCH($B80,Program_01!$A:$A,0)),"")</f>
        <v>Extension of Time Claim No. 01 - Interim Report No. 01</v>
      </c>
      <c r="R80" s="176" t="str">
        <f>IFERROR(INDEX(Program_01!$V:$V,MATCH($B80,Program_01!$A:$A,0)),"")</f>
        <v>This date refers to the date we started processing the DEOT / the same date we entered to this tracker</v>
      </c>
      <c r="S80" s="180">
        <f>IFERROR(INDEX(Program_01!$W:$W,MATCH($B80,Program_01!$A:$A,0)),"")</f>
        <v>45747</v>
      </c>
      <c r="T80" s="178"/>
      <c r="U80" s="176">
        <f>IFERROR(INDEX(Program_01!$Z:$Z,MATCH($B80,Program_01!$A:$A,0)),"")</f>
        <v>0</v>
      </c>
      <c r="V80" s="181" t="str">
        <f>IFERROR(INDEX(Program_01!$AA:$AA,MATCH($B80,Program_01!$A:$A,0)),"")</f>
        <v>N/A</v>
      </c>
      <c r="W80" s="182" t="str">
        <f t="shared" ca="1" si="0"/>
        <v/>
      </c>
      <c r="X80" s="51"/>
      <c r="Y80" s="179">
        <f>IFERROR(INDEX(Program_01!$BD:$BD,MATCH($B80,Program_01!$A:$A,0)),"")</f>
        <v>0</v>
      </c>
      <c r="Z80" s="51"/>
      <c r="AA80" s="183" t="str">
        <f>IFERROR(IF((INDEX(Program_01!$AD:$AD,MATCH($B80,Program_01!$A:$A,0))=""),INDEX(Program_01!$V:$V,MATCH($B80,Program_01!$A:$A,0)),INDEX(Program_01!$AD:$AD,MATCH($B80,Program_01!$A:$A,0))),"")</f>
        <v>This date refers to the date we started processing the DEOT / the same date we entered to this tracker</v>
      </c>
      <c r="AB80" s="147">
        <f>IFERROR(IF((INDEX(Program_01!$AE:$AE,MATCH($B80,Program_01!$A:$A,0))=""),INDEX(Program_01!$W:$W,MATCH($B80,Program_01!$A:$A,0)),INDEX(Program_01!$AE:$AE,MATCH($B80,Program_01!$A:$A,0))),"")</f>
        <v>45747</v>
      </c>
      <c r="AC80" s="183">
        <f>IFERROR(IF($I80="EOT",INDEX(Program_01!$AN:$AN,MATCH($B80,Program_01!$A:$A,0)),INDEX(Program_01!$AY:$AY,MATCH($B80,Program_01!$A:$A,0))),"")</f>
        <v>0</v>
      </c>
      <c r="AD80" s="181">
        <f>IFERROR(IF($I80="EOT",INDEX(Program_01!$AO:$AO,MATCH($B80,Program_01!$A:$A,0)),INDEX(Program_01!$AZ:$AZ,MATCH($B80,Program_01!$A:$A,0))),"")</f>
        <v>45833</v>
      </c>
      <c r="AE80" s="51"/>
      <c r="AF80" s="183"/>
      <c r="AG80" s="181"/>
      <c r="AH80" s="183">
        <f>IF(OR($D80="",$AS80="VO Issued",$AS80="Open"),"",IF(OR($AC80="Rejected",$AC80="Superseded",$AC80="Dealt Separately"),$AC80,IF($I80="EOT",INDEX(Program_01!$AR:$AR,MATCH($B80,Program_01!$A:$A,0)),INDEX(Program_01!$BB:$BB,MATCH($B80,Program_01!$A:$A,0)))))</f>
        <v>0</v>
      </c>
      <c r="AI80" s="181">
        <f>IF(OR($A80="",$B80="",$I80="",$AS80="VO Issued",$AS80="Open"),"",IF(OR($AD80="N/A"),$AD80,IF($I80="EOT",INDEX(Program_01!$AS:$AS,MATCH($B80,Program_01!$A:$A,0)),INDEX(Program_01!$BC:$BC,MATCH($B80,Program_01!$A:$A,0)))))</f>
        <v>0</v>
      </c>
      <c r="AJ80" s="183">
        <f>IF(OR($D80="",$I80="",$AS80="Determination Issued",$AS80="Rejected",$AS80="Open"),"",IF(OR($AH80="Rejected",$AH80="Dealt Separately",$AH80="Superseded",$AH80="Withdrawn"),"N/A",IF($I80="EOT",INDEX(Program_01!AR:AR,MATCH($B80,Program_01!A:A,0)),INDEX(Program_01!BB:BB,MATCH($B80,Program_01!A:A,0)))))</f>
        <v>0</v>
      </c>
      <c r="AK80" s="181">
        <f>IF(OR($A80="",$B80="",$I80="",$AS80="Determination Issued",$AS80="Rejected",$AS80="Open"),"",IF($AJ80="N/A","N/A",IF($I80="EOT",INDEX(Program_01!AS:AS,MATCH($B80,Program_01!A:A,0)),INDEX(Program_01!BC:BC,MATCH($B80,Program_01!A:A,0)))))</f>
        <v>0</v>
      </c>
      <c r="AL80" s="51"/>
      <c r="AM80" s="184">
        <f>IFERROR(INDEX(Program_01!$BT:$BT,MATCH($B80,Program_01!$A:$A,0)),"")</f>
        <v>0</v>
      </c>
      <c r="AN80" s="184">
        <f>IFERROR(INDEX(Program_01!$BU:$BU,MATCH($B80,Program_01!$A:$A,0)),"")</f>
        <v>0</v>
      </c>
      <c r="AO80" s="184">
        <f>IFERROR(INDEX(Program_01!$BV:$BV,MATCH($B80,Program_01!$A:$A,0)),"")</f>
        <v>0</v>
      </c>
      <c r="AP80" s="51" t="str">
        <f t="shared" si="12"/>
        <v/>
      </c>
      <c r="AQ80" s="184">
        <f>IFERROR(INDEX(Program_01!$BN:$BN,MATCH($B80,Program_01!$A:$A,0)),"")</f>
        <v>0</v>
      </c>
      <c r="AR80" s="184" t="str">
        <f>IFERROR(INDEX(Program_01!$BO:$BO,MATCH($B80,Program_01!$A:$A,0)),"")</f>
        <v>Canceled</v>
      </c>
      <c r="AS80" s="184" t="str">
        <f>IFERROR(INDEX(Program_01!$BP:$BP,MATCH($B80,Program_01!$A:$A,0)),"")</f>
        <v>Canceled</v>
      </c>
      <c r="AT80" s="185" t="str">
        <f>IFERROR(INDEX(Program_01!$BQ:$BQ,MATCH($B80,Program_01!$A:$A,0)),"")</f>
        <v>Closed</v>
      </c>
      <c r="AU80" s="179" t="str">
        <f>IFERROR(INDEX(Program_01!$BR:$BR,MATCH($B80,Program_01!$A:$A,0)),"")</f>
        <v xml:space="preserve">31 March 2025 -  Contractor did not submit EOT claim. Assessment is based on the impact of Engineering delays and Additional scope of works. This EOT is subject to Discretionary EOT route, revised completion date is 31 Aug 2025.
EOT's only need to be recorded to this tracker upon formal submission 
Contractor did not submit EOT claim. Assessment is based on the impact of Engineering delays and Additional scope of works. This EOT is subject to Discretionary EOT route, revised completion date is 31 Aug 2025. 
17 May 25:Discretionary EOT rejected by planning  (Naveen D Souza), delete this line. 
</v>
      </c>
      <c r="AV80" s="186" t="str">
        <f t="shared" si="1"/>
        <v/>
      </c>
      <c r="AW80" s="186" t="str">
        <f t="shared" si="13"/>
        <v>CLOSED</v>
      </c>
      <c r="AX80" s="186" t="str">
        <f t="shared" si="2"/>
        <v>CLOSED</v>
      </c>
      <c r="AY80" s="181">
        <f t="shared" si="14"/>
        <v>45747</v>
      </c>
      <c r="AZ80" s="181">
        <f t="shared" si="27"/>
        <v>45833</v>
      </c>
      <c r="BA80" s="181">
        <f t="shared" si="4"/>
        <v>0</v>
      </c>
      <c r="BC80" s="181">
        <f>IFERROR(INDEX(Program_01!BF:BF,MATCH($B80,Program_01!$A:$A,0)),"")</f>
        <v>45747</v>
      </c>
      <c r="BD80" s="188" t="str">
        <f ca="1">IFERROR(INDEX(Program_01!BG:BG,MATCH($B80,Program_01!$A:$A,0)),"")</f>
        <v>N/A</v>
      </c>
      <c r="BE80" s="181">
        <f>IFERROR(INDEX(Program_01!BH:BH,MATCH($B80,Program_01!$A:$A,0)),"")</f>
        <v>0</v>
      </c>
      <c r="BF80" s="189">
        <f ca="1">IFERROR(INDEX(Program_01!BI:BI,MATCH($B80,Program_01!$A:$A,0)),"")</f>
        <v>0</v>
      </c>
      <c r="BG80" s="181">
        <f>IFERROR(INDEX(Program_01!BJ:BJ,MATCH($B80,Program_01!$A:$A,0)),"")</f>
        <v>0</v>
      </c>
      <c r="BH80" s="189">
        <f ca="1">IFERROR(INDEX(Program_01!BK:BK,MATCH($B80,Program_01!$A:$A,0)),"")</f>
        <v>0</v>
      </c>
      <c r="BI80" s="181">
        <f>IFERROR(INDEX(Program_01!BL:BL,MATCH($B80,Program_01!$A:$A,0)),"")</f>
        <v>0</v>
      </c>
      <c r="BK80" s="190">
        <f>IFERROR(IF(INDEX(Program_01!$BX:$BX,MATCH($B80,Program_01!$A:$A,0))=DATE(1900,1,0),"",INDEX(Program_01!$BX:$BX,MATCH($B80,Program_01!$A:$A,0))),"")</f>
        <v>45833</v>
      </c>
      <c r="BL80" s="190" t="str">
        <f>IFERROR(IF(INDEX(Program_01!$BY:$BY,MATCH($B80,Program_01!$A:$A,0))=DATE(1900,1,0),"",INDEX(Program_01!$BY:$BY,MATCH($B80,Program_01!$A:$A,0))),"")</f>
        <v/>
      </c>
      <c r="BM80" s="188">
        <f t="shared" ca="1" si="15"/>
        <v>86</v>
      </c>
      <c r="BN80" s="191">
        <f t="shared" ca="1" si="16"/>
        <v>86</v>
      </c>
      <c r="BO80" s="188" t="str">
        <f t="shared" si="5"/>
        <v/>
      </c>
      <c r="BP80" s="188" t="str">
        <f t="shared" si="6"/>
        <v>1</v>
      </c>
      <c r="BQ80" s="188" t="str">
        <f t="shared" ca="1" si="17"/>
        <v/>
      </c>
      <c r="BR80" s="181" t="str">
        <f t="shared" ca="1" si="28"/>
        <v/>
      </c>
      <c r="BT80" s="190" t="str">
        <f>IFERROR(IF(INDEX(Program_01!$BZ:$BZ,MATCH($B80,Program_01!$A:$A,0))=DATE(1900,1,0),"",INDEX(Program_01!$BZ:$BZ,MATCH($B80,Program_01!$A:$A,0))),"")</f>
        <v/>
      </c>
      <c r="BU80" s="182" t="str">
        <f t="shared" ca="1" si="22"/>
        <v/>
      </c>
      <c r="BV80" s="188" t="str">
        <f t="shared" si="7"/>
        <v/>
      </c>
      <c r="BW80" s="188" t="str">
        <f t="shared" si="8"/>
        <v>1</v>
      </c>
      <c r="BX80" s="188" t="str">
        <f t="shared" ca="1" si="9"/>
        <v/>
      </c>
      <c r="BY80" s="181" t="str">
        <f t="shared" ca="1" si="29"/>
        <v/>
      </c>
      <c r="CA80" s="192" t="str">
        <f t="shared" si="20"/>
        <v>N</v>
      </c>
      <c r="CB80" s="192" t="str">
        <f t="shared" si="21"/>
        <v>N</v>
      </c>
      <c r="CC80" s="193">
        <f>IFERROR(INDEX(Program_01!$CE:$CE,MATCH($B80,Program_01!$A:$A,0)),"")</f>
        <v>45747</v>
      </c>
      <c r="CD80" s="193">
        <f t="shared" ref="CD80:CD128" si="31">MAX(S80,CC80)</f>
        <v>45747</v>
      </c>
      <c r="CG80" s="194">
        <f>IFERROR(INDEX(Program_01!$AT:$AT,MATCH($B80,Program_01!$A:$A,0)),"")</f>
        <v>0</v>
      </c>
      <c r="CH80" s="194">
        <f>IFERROR(INDEX(Program_01!$AX:$AX,MATCH($B80,Program_01!$A:$A,0)),"")</f>
        <v>0</v>
      </c>
    </row>
    <row r="81" spans="1:86" s="187" customFormat="1" ht="180" customHeight="1">
      <c r="A81" s="174" t="s">
        <v>1</v>
      </c>
      <c r="B81" s="175">
        <v>63</v>
      </c>
      <c r="C81" s="176" t="str">
        <f>IFERROR(INDEX(Program_01!$B:$B,MATCH($B81,Program_01!$A:$A,0)),"")</f>
        <v>FULL TIA EAR</v>
      </c>
      <c r="D81" s="176" t="str">
        <f>IFERROR(INDEX(Program_01!$D:$D,MATCH($B81,Program_01!$A:$A,0)),"")</f>
        <v>1TB01005C19</v>
      </c>
      <c r="E81" s="176" t="str">
        <f>IFERROR(INDEX(Program_01!$E:$E,MATCH($B81,Program_01!$A:$A,0)),"")</f>
        <v>1.TB.01.005.01</v>
      </c>
      <c r="F81" s="176" t="str">
        <f>IFERROR(INDEX(Program_01!$F:$F,MATCH($B81,Program_01!$A:$A,0)),"")</f>
        <v>Red Sea Marine Life Institute</v>
      </c>
      <c r="G81" s="176" t="str">
        <f>IFERROR(INDEX(Program_01!$G:$G,MATCH($B81,Program_01!$A:$A,0)),"")</f>
        <v>Façade and Cladding Works</v>
      </c>
      <c r="H81" s="176" t="str">
        <f>IFERROR(INDEX(Program_01!$H:$H,MATCH($B81,Program_01!$A:$A,0)),"")</f>
        <v>Fibrex LLC</v>
      </c>
      <c r="I81" s="176" t="str">
        <f t="shared" si="11"/>
        <v>EOT</v>
      </c>
      <c r="J81" s="176">
        <f>IFERROR(INDEX(Program_01!$I:$I,MATCH($B81,Program_01!$A:$A,0)),"")</f>
        <v>1</v>
      </c>
      <c r="K81" s="176">
        <f>IFERROR(INDEX(Program_01!$J:$J,MATCH($B81,Program_01!$A:$A,0)),"")</f>
        <v>0</v>
      </c>
      <c r="L81" s="176">
        <f>IFERROR(INDEX(Program_01!$K:$K,MATCH($B81,Program_01!$A:$A,0)),"")</f>
        <v>0</v>
      </c>
      <c r="M81" s="176">
        <f>IFERROR(INDEX(Program_01!$L:$L,MATCH($B81,Program_01!$A:$A,0)),"")</f>
        <v>0</v>
      </c>
      <c r="N81" s="176">
        <f>IFERROR(INDEX(Program_01!$L:$L,MATCH($B81,Program_01!$A:$A,0)),"")</f>
        <v>0</v>
      </c>
      <c r="O81" s="176">
        <f>IFERROR(INDEX(Program_01!$N:$N,MATCH($B81,Program_01!$A:$A,0)),"")</f>
        <v>0</v>
      </c>
      <c r="P81" s="178"/>
      <c r="Q81" s="179" t="str">
        <f>IFERROR(INDEX(Program_01!$C:$C,MATCH($B81,Program_01!$A:$A,0)),"")</f>
        <v>DEOT under process where the contractot hasn’t submitted an EOT claim till date</v>
      </c>
      <c r="R81" s="176" t="str">
        <f>IFERROR(INDEX(Program_01!$V:$V,MATCH($B81,Program_01!$A:$A,0)),"")</f>
        <v>This date refers to the date the DEOT EI was issued to the contractor</v>
      </c>
      <c r="S81" s="180">
        <f>IFERROR(INDEX(Program_01!$W:$W,MATCH($B81,Program_01!$A:$A,0)),"")</f>
        <v>45768</v>
      </c>
      <c r="T81" s="178"/>
      <c r="U81" s="176">
        <f>IFERROR(INDEX(Program_01!$Z:$Z,MATCH($B81,Program_01!$A:$A,0)),"")</f>
        <v>0</v>
      </c>
      <c r="V81" s="181" t="str">
        <f>IFERROR(INDEX(Program_01!$AA:$AA,MATCH($B81,Program_01!$A:$A,0)),"")</f>
        <v>N/A</v>
      </c>
      <c r="W81" s="182" t="str">
        <f t="shared" ca="1" si="0"/>
        <v/>
      </c>
      <c r="X81" s="51"/>
      <c r="Y81" s="179">
        <f>IFERROR(INDEX(Program_01!$BD:$BD,MATCH($B81,Program_01!$A:$A,0)),"")</f>
        <v>0</v>
      </c>
      <c r="Z81" s="51"/>
      <c r="AA81" s="183" t="str">
        <f>IFERROR(IF((INDEX(Program_01!$AD:$AD,MATCH($B81,Program_01!$A:$A,0))=""),INDEX(Program_01!$V:$V,MATCH($B81,Program_01!$A:$A,0)),INDEX(Program_01!$AD:$AD,MATCH($B81,Program_01!$A:$A,0))),"")</f>
        <v>This date refers to the date the DEOT EI was issued to the contractor</v>
      </c>
      <c r="AB81" s="147">
        <f>IFERROR(IF((INDEX(Program_01!$AE:$AE,MATCH($B81,Program_01!$A:$A,0))=""),INDEX(Program_01!$W:$W,MATCH($B81,Program_01!$A:$A,0)),INDEX(Program_01!$AE:$AE,MATCH($B81,Program_01!$A:$A,0))),"")</f>
        <v>45768</v>
      </c>
      <c r="AC81" s="183" t="str">
        <f>IFERROR(IF($I81="EOT",INDEX(Program_01!$AN:$AN,MATCH($B81,Program_01!$A:$A,0)),INDEX(Program_01!$AY:$AY,MATCH($B81,Program_01!$A:$A,0))),"")</f>
        <v>1TB01005-005C19-AMA-LTR-0133</v>
      </c>
      <c r="AD81" s="181">
        <f>IFERROR(IF($I81="EOT",INDEX(Program_01!$AO:$AO,MATCH($B81,Program_01!$A:$A,0)),INDEX(Program_01!$AZ:$AZ,MATCH($B81,Program_01!$A:$A,0))),"")</f>
        <v>45768</v>
      </c>
      <c r="AE81" s="51"/>
      <c r="AF81" s="183"/>
      <c r="AG81" s="181"/>
      <c r="AH81" s="183">
        <f>IF(OR($D81="",$AS81="VO Issued",$AS81="Open"),"",IF(OR($AC81="Rejected",$AC81="Superseded",$AC81="Dealt Separately"),$AC81,IF($I81="EOT",INDEX(Program_01!$AR:$AR,MATCH($B81,Program_01!$A:$A,0)),INDEX(Program_01!$BB:$BB,MATCH($B81,Program_01!$A:$A,0)))))</f>
        <v>0</v>
      </c>
      <c r="AI81" s="181">
        <f>IF(OR($A81="",$B81="",$I81="",$AS81="VO Issued",$AS81="Open"),"",IF(OR($AD81="N/A"),$AD81,IF($I81="EOT",INDEX(Program_01!$AS:$AS,MATCH($B81,Program_01!$A:$A,0)),INDEX(Program_01!$BC:$BC,MATCH($B81,Program_01!$A:$A,0)))))</f>
        <v>0</v>
      </c>
      <c r="AJ81" s="183">
        <f>IF(OR($D81="",$I81="",$AS81="Determination Issued",$AS81="Rejected",$AS81="Open"),"",IF(OR($AH81="Rejected",$AH81="Dealt Separately",$AH81="Superseded",$AH81="Withdrawn"),"N/A",IF($I81="EOT",INDEX(Program_01!AR:AR,MATCH($B81,Program_01!A:A,0)),INDEX(Program_01!BB:BB,MATCH($B81,Program_01!A:A,0)))))</f>
        <v>0</v>
      </c>
      <c r="AK81" s="181">
        <f>IF(OR($A81="",$B81="",$I81="",$AS81="Determination Issued",$AS81="Rejected",$AS81="Open"),"",IF($AJ81="N/A","N/A",IF($I81="EOT",INDEX(Program_01!AS:AS,MATCH($B81,Program_01!A:A,0)),INDEX(Program_01!BC:BC,MATCH($B81,Program_01!A:A,0)))))</f>
        <v>0</v>
      </c>
      <c r="AL81" s="51"/>
      <c r="AM81" s="184">
        <f>IFERROR(INDEX(Program_01!$BT:$BT,MATCH($B81,Program_01!$A:$A,0)),"")</f>
        <v>0</v>
      </c>
      <c r="AN81" s="184">
        <f>IFERROR(INDEX(Program_01!$BU:$BU,MATCH($B81,Program_01!$A:$A,0)),"")</f>
        <v>0</v>
      </c>
      <c r="AO81" s="184">
        <f>IFERROR(INDEX(Program_01!$BV:$BV,MATCH($B81,Program_01!$A:$A,0)),"")</f>
        <v>0</v>
      </c>
      <c r="AP81" s="51" t="str">
        <f t="shared" si="12"/>
        <v/>
      </c>
      <c r="AQ81" s="184" t="str">
        <f>IFERROR(INDEX(Program_01!$BN:$BN,MATCH($B81,Program_01!$A:$A,0)),"")</f>
        <v>Discretionary EOT / EI Issued</v>
      </c>
      <c r="AR81" s="184" t="str">
        <f>IFERROR(INDEX(Program_01!$BO:$BO,MATCH($B81,Program_01!$A:$A,0)),"")</f>
        <v>Not Applicable</v>
      </c>
      <c r="AS81" s="184" t="str">
        <f>IFERROR(INDEX(Program_01!$BP:$BP,MATCH($B81,Program_01!$A:$A,0)),"")</f>
        <v>EI Issued</v>
      </c>
      <c r="AT81" s="185" t="str">
        <f>IFERROR(INDEX(Program_01!$BQ:$BQ,MATCH($B81,Program_01!$A:$A,0)),"")</f>
        <v>Closed</v>
      </c>
      <c r="AU81" s="179" t="str">
        <f>IFERROR(INDEX(Program_01!$BR:$BR,MATCH($B81,Program_01!$A:$A,0)),"")</f>
        <v>Contractor did not submit EOT claim. Assessment is based on the impact of Engineering delays and Additional scope of works. This EOT is subject to Discretionary EOT route
18 May 25:  Discretiory EOT Employers instruction issued on 21 April 25 (Awarded upto 17 Jan 25), 1TB01005-005C19-AMA-LTR-0133
01 June 25: Ditto
14 June 25: Ditto</v>
      </c>
      <c r="AV81" s="186" t="str">
        <f t="shared" si="1"/>
        <v/>
      </c>
      <c r="AW81" s="186" t="str">
        <f t="shared" si="13"/>
        <v>CLOSED</v>
      </c>
      <c r="AX81" s="186" t="str">
        <f t="shared" si="2"/>
        <v>CLOSED</v>
      </c>
      <c r="AY81" s="181">
        <f t="shared" si="14"/>
        <v>45768</v>
      </c>
      <c r="AZ81" s="181">
        <f t="shared" si="27"/>
        <v>45768</v>
      </c>
      <c r="BA81" s="181">
        <f t="shared" si="4"/>
        <v>0</v>
      </c>
      <c r="BC81" s="181">
        <f>IFERROR(INDEX(Program_01!BF:BF,MATCH($B81,Program_01!$A:$A,0)),"")</f>
        <v>45768</v>
      </c>
      <c r="BD81" s="188" t="str">
        <f ca="1">IFERROR(INDEX(Program_01!BG:BG,MATCH($B81,Program_01!$A:$A,0)),"")</f>
        <v>N/A</v>
      </c>
      <c r="BE81" s="181">
        <f>IFERROR(INDEX(Program_01!BH:BH,MATCH($B81,Program_01!$A:$A,0)),"")</f>
        <v>0</v>
      </c>
      <c r="BF81" s="189">
        <f ca="1">IFERROR(INDEX(Program_01!BI:BI,MATCH($B81,Program_01!$A:$A,0)),"")</f>
        <v>0</v>
      </c>
      <c r="BG81" s="181">
        <f>IFERROR(INDEX(Program_01!BJ:BJ,MATCH($B81,Program_01!$A:$A,0)),"")</f>
        <v>0</v>
      </c>
      <c r="BH81" s="189">
        <f ca="1">IFERROR(INDEX(Program_01!BK:BK,MATCH($B81,Program_01!$A:$A,0)),"")</f>
        <v>0</v>
      </c>
      <c r="BI81" s="181">
        <f>IFERROR(INDEX(Program_01!BL:BL,MATCH($B81,Program_01!$A:$A,0)),"")</f>
        <v>0</v>
      </c>
      <c r="BK81" s="190" t="str">
        <f>IFERROR(IF(INDEX(Program_01!$BX:$BX,MATCH($B81,Program_01!$A:$A,0))=DATE(1900,1,0),"",INDEX(Program_01!$BX:$BX,MATCH($B81,Program_01!$A:$A,0))),"")</f>
        <v/>
      </c>
      <c r="BL81" s="190">
        <f>IFERROR(IF(INDEX(Program_01!$BY:$BY,MATCH($B81,Program_01!$A:$A,0))=DATE(1900,1,0),"",INDEX(Program_01!$BY:$BY,MATCH($B81,Program_01!$A:$A,0))),"")</f>
        <v>45768</v>
      </c>
      <c r="BM81" s="188">
        <f t="shared" ca="1" si="15"/>
        <v>0</v>
      </c>
      <c r="BN81" s="191">
        <f t="shared" ca="1" si="16"/>
        <v>0</v>
      </c>
      <c r="BO81" s="188" t="str">
        <f t="shared" si="5"/>
        <v/>
      </c>
      <c r="BP81" s="188" t="str">
        <f t="shared" si="6"/>
        <v>1</v>
      </c>
      <c r="BQ81" s="188" t="str">
        <f t="shared" ca="1" si="17"/>
        <v/>
      </c>
      <c r="BR81" s="181" t="str">
        <f t="shared" ca="1" si="28"/>
        <v/>
      </c>
      <c r="BT81" s="190" t="str">
        <f>IFERROR(IF(INDEX(Program_01!$BZ:$BZ,MATCH($B81,Program_01!$A:$A,0))=DATE(1900,1,0),"",INDEX(Program_01!$BZ:$BZ,MATCH($B81,Program_01!$A:$A,0))),"")</f>
        <v/>
      </c>
      <c r="BU81" s="182" t="str">
        <f t="shared" ca="1" si="22"/>
        <v/>
      </c>
      <c r="BV81" s="188" t="str">
        <f t="shared" si="7"/>
        <v/>
      </c>
      <c r="BW81" s="188" t="str">
        <f t="shared" si="8"/>
        <v>1</v>
      </c>
      <c r="BX81" s="188" t="str">
        <f t="shared" ca="1" si="9"/>
        <v/>
      </c>
      <c r="BY81" s="181" t="str">
        <f t="shared" ca="1" si="29"/>
        <v/>
      </c>
      <c r="CA81" s="192" t="str">
        <f t="shared" si="20"/>
        <v>N</v>
      </c>
      <c r="CB81" s="192" t="str">
        <f t="shared" si="21"/>
        <v>N</v>
      </c>
      <c r="CC81" s="193">
        <f>IFERROR(INDEX(Program_01!$CE:$CE,MATCH($B81,Program_01!$A:$A,0)),"")</f>
        <v>45768</v>
      </c>
      <c r="CD81" s="193">
        <f t="shared" si="31"/>
        <v>45768</v>
      </c>
      <c r="CG81" s="194">
        <f>IFERROR(INDEX(Program_01!$AT:$AT,MATCH($B81,Program_01!$A:$A,0)),"")</f>
        <v>0</v>
      </c>
      <c r="CH81" s="194">
        <f>IFERROR(INDEX(Program_01!$AX:$AX,MATCH($B81,Program_01!$A:$A,0)),"")</f>
        <v>0</v>
      </c>
    </row>
    <row r="82" spans="1:86" s="187" customFormat="1" ht="409.5" customHeight="1">
      <c r="A82" s="174" t="s">
        <v>1</v>
      </c>
      <c r="B82" s="175">
        <v>64</v>
      </c>
      <c r="C82" s="176" t="str">
        <f>IFERROR(INDEX(Program_01!$B:$B,MATCH($B82,Program_01!$A:$A,0)),"")</f>
        <v>FULL TIA EAR</v>
      </c>
      <c r="D82" s="176" t="str">
        <f>IFERROR(INDEX(Program_01!$D:$D,MATCH($B82,Program_01!$A:$A,0)),"")</f>
        <v>1TB01005C45</v>
      </c>
      <c r="E82" s="176" t="str">
        <f>IFERROR(INDEX(Program_01!$E:$E,MATCH($B82,Program_01!$A:$A,0)),"")</f>
        <v>1.TB.01.005.01</v>
      </c>
      <c r="F82" s="176" t="str">
        <f>IFERROR(INDEX(Program_01!$F:$F,MATCH($B82,Program_01!$A:$A,0)),"")</f>
        <v>Red Sea Marine Life Institute</v>
      </c>
      <c r="G82" s="176" t="str">
        <f>IFERROR(INDEX(Program_01!$G:$G,MATCH($B82,Program_01!$A:$A,0)),"")</f>
        <v>Relocation and Construction of Marine Life Operational Facility</v>
      </c>
      <c r="H82" s="176" t="str">
        <f>IFERROR(INDEX(Program_01!$H:$H,MATCH($B82,Program_01!$A:$A,0)),"")</f>
        <v>OJEC ARABIA</v>
      </c>
      <c r="I82" s="176" t="str">
        <f t="shared" si="11"/>
        <v>EOT</v>
      </c>
      <c r="J82" s="176">
        <f>IFERROR(INDEX(Program_01!$I:$I,MATCH($B82,Program_01!$A:$A,0)),"")</f>
        <v>1</v>
      </c>
      <c r="K82" s="176">
        <f>IFERROR(INDEX(Program_01!$J:$J,MATCH($B82,Program_01!$A:$A,0)),"")</f>
        <v>0</v>
      </c>
      <c r="L82" s="176">
        <f>IFERROR(INDEX(Program_01!$K:$K,MATCH($B82,Program_01!$A:$A,0)),"")</f>
        <v>0</v>
      </c>
      <c r="M82" s="176">
        <f>IFERROR(INDEX(Program_01!$L:$L,MATCH($B82,Program_01!$A:$A,0)),"")</f>
        <v>0</v>
      </c>
      <c r="N82" s="176">
        <f>IFERROR(INDEX(Program_01!$L:$L,MATCH($B82,Program_01!$A:$A,0)),"")</f>
        <v>0</v>
      </c>
      <c r="O82" s="176">
        <f>IFERROR(INDEX(Program_01!$N:$N,MATCH($B82,Program_01!$A:$A,0)),"")</f>
        <v>0</v>
      </c>
      <c r="P82" s="178"/>
      <c r="Q82" s="179" t="str">
        <f>IFERROR(INDEX(Program_01!$C:$C,MATCH($B82,Program_01!$A:$A,0)),"")</f>
        <v>Extension 0f Time Interim Claim No. 2</v>
      </c>
      <c r="R82" s="176" t="str">
        <f>IFERROR(INDEX(Program_01!$V:$V,MATCH($B82,Program_01!$A:$A,0)),"")</f>
        <v>1TB01005-005C45-OJC-LTR-0005</v>
      </c>
      <c r="S82" s="180">
        <f>IFERROR(INDEX(Program_01!$W:$W,MATCH($B82,Program_01!$A:$A,0)),"")</f>
        <v>45774</v>
      </c>
      <c r="T82" s="178"/>
      <c r="U82" s="176" t="str">
        <f>IFERROR(INDEX(Program_01!$Z:$Z,MATCH($B82,Program_01!$A:$A,0)),"")</f>
        <v>1TB01005-005C45-AMA-LTR-0011</v>
      </c>
      <c r="V82" s="181">
        <f>IFERROR(INDEX(Program_01!$AA:$AA,MATCH($B82,Program_01!$A:$A,0)),"")</f>
        <v>45833</v>
      </c>
      <c r="W82" s="182">
        <f t="shared" ca="1" si="0"/>
        <v>59</v>
      </c>
      <c r="X82" s="51"/>
      <c r="Y82" s="179">
        <f>IFERROR(INDEX(Program_01!$BD:$BD,MATCH($B82,Program_01!$A:$A,0)),"")</f>
        <v>0</v>
      </c>
      <c r="Z82" s="51"/>
      <c r="AA82" s="183" t="str">
        <f>IFERROR(IF((INDEX(Program_01!$AD:$AD,MATCH($B82,Program_01!$A:$A,0))=""),INDEX(Program_01!$V:$V,MATCH($B82,Program_01!$A:$A,0)),INDEX(Program_01!$AD:$AD,MATCH($B82,Program_01!$A:$A,0))),"")</f>
        <v>1TB01005-005C45-OJC-LTR-0005 on 27 Aug 25
1TB01005-005C45-OJC-LTR-0005 (OJC01005-TRANSMIT-000034) on 14 Oct 25
OJC01005-GENCORR-000012 on 09 Sep 25
OJC01005-GENCORR-000013 on 21 Sep 25
OJC01005-GENCORR-000016</v>
      </c>
      <c r="AB82" s="147">
        <f>IFERROR(IF((INDEX(Program_01!$AE:$AE,MATCH($B82,Program_01!$A:$A,0))=""),INDEX(Program_01!$W:$W,MATCH($B82,Program_01!$A:$A,0)),INDEX(Program_01!$AE:$AE,MATCH($B82,Program_01!$A:$A,0))),"")</f>
        <v>45965</v>
      </c>
      <c r="AC82" s="183" t="str">
        <f>IFERROR(IF($I82="EOT",INDEX(Program_01!$AN:$AN,MATCH($B82,Program_01!$A:$A,0)),INDEX(Program_01!$AY:$AY,MATCH($B82,Program_01!$A:$A,0))),"")</f>
        <v>WF-041533 (1TB01005-005C45-AMA-ASS-CM-0001
on 15 Mar 26) - WF + 7 days
19 Apr 26: EAR Approved// EAR issued on the same day via 1TB01005-005C45-AMA-LTR-0022</v>
      </c>
      <c r="AD82" s="181">
        <f>IFERROR(IF($I82="EOT",INDEX(Program_01!$AO:$AO,MATCH($B82,Program_01!$A:$A,0)),INDEX(Program_01!$AZ:$AZ,MATCH($B82,Program_01!$A:$A,0))),"")</f>
        <v>46103</v>
      </c>
      <c r="AE82" s="51"/>
      <c r="AF82" s="183"/>
      <c r="AG82" s="181"/>
      <c r="AH82" s="183">
        <f>IF(OR($D82="",$AS82="VO Issued",$AS82="Open"),"",IF(OR($AC82="Rejected",$AC82="Superseded",$AC82="Dealt Separately"),$AC82,IF($I82="EOT",INDEX(Program_01!$AR:$AR,MATCH($B82,Program_01!$A:$A,0)),INDEX(Program_01!$BB:$BB,MATCH($B82,Program_01!$A:$A,0)))))</f>
        <v>0</v>
      </c>
      <c r="AI82" s="181">
        <f>IF(OR($A82="",$B82="",$I82="",$AS82="VO Issued",$AS82="Open"),"",IF(OR($AD82="N/A"),$AD82,IF($I82="EOT",INDEX(Program_01!$AS:$AS,MATCH($B82,Program_01!$A:$A,0)),INDEX(Program_01!$BC:$BC,MATCH($B82,Program_01!$A:$A,0)))))</f>
        <v>0</v>
      </c>
      <c r="AJ82" s="183">
        <f>IF(OR($D82="",$I82="",$AS82="Determination Issued",$AS82="Rejected",$AS82="Open"),"",IF(OR($AH82="Rejected",$AH82="Dealt Separately",$AH82="Superseded",$AH82="Withdrawn"),"N/A",IF($I82="EOT",INDEX(Program_01!AR:AR,MATCH($B82,Program_01!A:A,0)),INDEX(Program_01!BB:BB,MATCH($B82,Program_01!A:A,0)))))</f>
        <v>0</v>
      </c>
      <c r="AK82" s="181">
        <f>IF(OR($A82="",$B82="",$I82="",$AS82="Determination Issued",$AS82="Rejected",$AS82="Open"),"",IF($AJ82="N/A","N/A",IF($I82="EOT",INDEX(Program_01!AS:AS,MATCH($B82,Program_01!A:A,0)),INDEX(Program_01!BC:BC,MATCH($B82,Program_01!A:A,0)))))</f>
        <v>0</v>
      </c>
      <c r="AL82" s="51"/>
      <c r="AM82" s="184">
        <f>IFERROR(INDEX(Program_01!$BT:$BT,MATCH($B82,Program_01!$A:$A,0)),"")</f>
        <v>0</v>
      </c>
      <c r="AN82" s="184">
        <f>IFERROR(INDEX(Program_01!$BU:$BU,MATCH($B82,Program_01!$A:$A,0)),"")</f>
        <v>0</v>
      </c>
      <c r="AO82" s="184">
        <f>IFERROR(INDEX(Program_01!$BV:$BV,MATCH($B82,Program_01!$A:$A,0)),"")</f>
        <v>0</v>
      </c>
      <c r="AP82" s="51" t="str">
        <f t="shared" si="12"/>
        <v/>
      </c>
      <c r="AQ82" s="184">
        <f>IFERROR(INDEX(Program_01!$BN:$BN,MATCH($B82,Program_01!$A:$A,0)),"")</f>
        <v>0</v>
      </c>
      <c r="AR82" s="184" t="str">
        <f>IFERROR(INDEX(Program_01!$BO:$BO,MATCH($B82,Program_01!$A:$A,0)),"")</f>
        <v>Assessment Report Issued</v>
      </c>
      <c r="AS82" s="184" t="str">
        <f>IFERROR(INDEX(Program_01!$BP:$BP,MATCH($B82,Program_01!$A:$A,0)),"")</f>
        <v>EI Issued</v>
      </c>
      <c r="AT82" s="185" t="str">
        <f>IFERROR(INDEX(Program_01!$BQ:$BQ,MATCH($B82,Program_01!$A:$A,0)),"")</f>
        <v>Closed</v>
      </c>
      <c r="AU82" s="179" t="str">
        <f>IFERROR(INDEX(Program_01!$BR:$BR,MATCH($B82,Program_01!$A:$A,0)),"")</f>
        <v xml:space="preserve">03 Nov 25: Ditto
**04 Nov 25: revised supporting documents submitted via OJC01005-GENCORR-000016
17 Nov 25: Target date moved to 28 Nov 25
01 Dec 25: Target date moved to 28 Dec 25 (Ad hoc delivery handover support taking precedence)
09 Jan 26: Draft being finalised with delivery team. To be with BK by 22 Jan.
22 Jan 26: Draft issued to BK on 18 Jan. 
27 Jan 26: Targeted to submit for Claims review by 30 Jan 26. 
03 Feb 26: Draft EAR sent to claims team for review
08 Feb 26: Draft EAR sent to Planning for TIA
09 Feb 26: Target date TBC
16 Feb 26: Targeted to conclude TIA by 26 Feb 2026
23 Feb 26: Ditto
02 Mar 26: TIA targeted to be concluded by 03 Mar 2026
03 Mar 26: TIA incorporated and sent to claims / commercial for finalisation
08 Mar 26: with claims for approval, targeted to revert by 12 Mar 26
15-Mar-26: Reviewed and issued the final draft to Commercial for for WF issuance
16-Mar-26: EAR issued in WF for management approval
23-Mar-26: Deferred to Apr-26 KPI report
04 Apr 26:EAR approved WF-041533. Issuance WF approved ongoing WF-041987
19 Apr 26: EAR Approved// EAR issued on the same day via 1TB01005-005C45-AMA-LTR-0022
04 May 26: Awaiting feedback from Contractor
18 May 26:  No response has been received from the Contractor. The site team proposes to proceed with determination and issuance of an EI. Comm to issue EI
31 May 26: Ditto
04 Jun 26: EI was issued via letter ref 1TB01005-005C45-AMA-LTR-0025
</v>
      </c>
      <c r="AV82" s="186" t="str">
        <f t="shared" si="1"/>
        <v/>
      </c>
      <c r="AW82" s="186" t="str">
        <f t="shared" si="13"/>
        <v>CLOSED</v>
      </c>
      <c r="AX82" s="186" t="str">
        <f t="shared" si="2"/>
        <v>CLOSED</v>
      </c>
      <c r="AY82" s="181">
        <f t="shared" si="14"/>
        <v>45965</v>
      </c>
      <c r="AZ82" s="181">
        <f t="shared" si="27"/>
        <v>46103</v>
      </c>
      <c r="BA82" s="181">
        <f t="shared" si="4"/>
        <v>0</v>
      </c>
      <c r="BC82" s="181">
        <f>IFERROR(INDEX(Program_01!BF:BF,MATCH($B82,Program_01!$A:$A,0)),"")</f>
        <v>45965</v>
      </c>
      <c r="BD82" s="188" t="str">
        <f ca="1">IFERROR(INDEX(Program_01!BG:BG,MATCH($B82,Program_01!$A:$A,0)),"")</f>
        <v>N/A</v>
      </c>
      <c r="BE82" s="181">
        <f>IFERROR(INDEX(Program_01!BH:BH,MATCH($B82,Program_01!$A:$A,0)),"")</f>
        <v>46061</v>
      </c>
      <c r="BF82" s="189">
        <f ca="1">IFERROR(INDEX(Program_01!BI:BI,MATCH($B82,Program_01!$A:$A,0)),"")</f>
        <v>23</v>
      </c>
      <c r="BG82" s="181">
        <f>IFERROR(INDEX(Program_01!BJ:BJ,MATCH($B82,Program_01!$A:$A,0)),"")</f>
        <v>46084</v>
      </c>
      <c r="BH82" s="189">
        <f ca="1">IFERROR(INDEX(Program_01!BK:BK,MATCH($B82,Program_01!$A:$A,0)),"")</f>
        <v>12</v>
      </c>
      <c r="BI82" s="181">
        <f>IFERROR(INDEX(Program_01!BL:BL,MATCH($B82,Program_01!$A:$A,0)),"")</f>
        <v>46096</v>
      </c>
      <c r="BK82" s="190">
        <f>IFERROR(IF(INDEX(Program_01!$BX:$BX,MATCH($B82,Program_01!$A:$A,0))=DATE(1900,1,0),"",INDEX(Program_01!$BX:$BX,MATCH($B82,Program_01!$A:$A,0))),"")</f>
        <v>46113</v>
      </c>
      <c r="BL82" s="190" t="str">
        <f>IFERROR(IF(INDEX(Program_01!$BY:$BY,MATCH($B82,Program_01!$A:$A,0))=DATE(1900,1,0),"",INDEX(Program_01!$BY:$BY,MATCH($B82,Program_01!$A:$A,0))),"")</f>
        <v/>
      </c>
      <c r="BM82" s="188">
        <f t="shared" ca="1" si="15"/>
        <v>138</v>
      </c>
      <c r="BN82" s="191">
        <f t="shared" ca="1" si="16"/>
        <v>138</v>
      </c>
      <c r="BO82" s="188">
        <f t="shared" ca="1" si="5"/>
        <v>138</v>
      </c>
      <c r="BP82" s="188" t="str">
        <f t="shared" si="6"/>
        <v>1</v>
      </c>
      <c r="BQ82" s="188" t="str">
        <f t="shared" ca="1" si="17"/>
        <v/>
      </c>
      <c r="BR82" s="181" t="str">
        <f t="shared" ca="1" si="28"/>
        <v/>
      </c>
      <c r="BT82" s="190" t="str">
        <f>IFERROR(IF(INDEX(Program_01!$BZ:$BZ,MATCH($B82,Program_01!$A:$A,0))=DATE(1900,1,0),"",INDEX(Program_01!$BZ:$BZ,MATCH($B82,Program_01!$A:$A,0))),"")</f>
        <v/>
      </c>
      <c r="BU82" s="182" t="str">
        <f t="shared" ca="1" si="22"/>
        <v/>
      </c>
      <c r="BV82" s="188" t="str">
        <f t="shared" si="7"/>
        <v/>
      </c>
      <c r="BW82" s="188" t="str">
        <f t="shared" si="8"/>
        <v>1</v>
      </c>
      <c r="BX82" s="188" t="str">
        <f t="shared" ca="1" si="9"/>
        <v/>
      </c>
      <c r="BY82" s="181" t="str">
        <f t="shared" ca="1" si="29"/>
        <v/>
      </c>
      <c r="CA82" s="192" t="str">
        <f t="shared" si="20"/>
        <v>Y</v>
      </c>
      <c r="CB82" s="192" t="str">
        <f t="shared" si="21"/>
        <v>N</v>
      </c>
      <c r="CC82" s="193">
        <f>IFERROR(INDEX(Program_01!$CE:$CE,MATCH($B82,Program_01!$A:$A,0)),"")</f>
        <v>45777</v>
      </c>
      <c r="CD82" s="193">
        <f t="shared" si="31"/>
        <v>45777</v>
      </c>
      <c r="CG82" s="194">
        <f>IFERROR(INDEX(Program_01!$AT:$AT,MATCH($B82,Program_01!$A:$A,0)),"")</f>
        <v>0</v>
      </c>
      <c r="CH82" s="194">
        <f>IFERROR(INDEX(Program_01!$AX:$AX,MATCH($B82,Program_01!$A:$A,0)),"")</f>
        <v>0</v>
      </c>
    </row>
    <row r="83" spans="1:86" s="187" customFormat="1" ht="255" customHeight="1">
      <c r="A83" s="174" t="s">
        <v>1</v>
      </c>
      <c r="B83" s="175">
        <v>65</v>
      </c>
      <c r="C83" s="176" t="str">
        <f>IFERROR(INDEX(Program_01!$B:$B,MATCH($B83,Program_01!$A:$A,0)),"")</f>
        <v>HLEAR</v>
      </c>
      <c r="D83" s="176" t="str">
        <f>IFERROR(INDEX(Program_01!$D:$D,MATCH($B83,Program_01!$A:$A,0)),"")</f>
        <v>1TB01005C20</v>
      </c>
      <c r="E83" s="176" t="str">
        <f>IFERROR(INDEX(Program_01!$E:$E,MATCH($B83,Program_01!$A:$A,0)),"")</f>
        <v>1.TB.01.005.01</v>
      </c>
      <c r="F83" s="176" t="str">
        <f>IFERROR(INDEX(Program_01!$F:$F,MATCH($B83,Program_01!$A:$A,0)),"")</f>
        <v>Red Sea Marine Life Institute</v>
      </c>
      <c r="G83" s="176" t="str">
        <f>IFERROR(INDEX(Program_01!$G:$G,MATCH($B83,Program_01!$A:$A,0)),"")</f>
        <v>Specialist Acrylic Glazing</v>
      </c>
      <c r="H83" s="176" t="str">
        <f>IFERROR(INDEX(Program_01!$H:$H,MATCH($B83,Program_01!$A:$A,0)),"")</f>
        <v>Reynolds Polymer Technology Inc</v>
      </c>
      <c r="I83" s="176" t="str">
        <f t="shared" si="11"/>
        <v>EOT</v>
      </c>
      <c r="J83" s="176">
        <f>IFERROR(INDEX(Program_01!$I:$I,MATCH($B83,Program_01!$A:$A,0)),"")</f>
        <v>1</v>
      </c>
      <c r="K83" s="176">
        <f>IFERROR(INDEX(Program_01!$J:$J,MATCH($B83,Program_01!$A:$A,0)),"")</f>
        <v>0</v>
      </c>
      <c r="L83" s="176">
        <f>IFERROR(INDEX(Program_01!$K:$K,MATCH($B83,Program_01!$A:$A,0)),"")</f>
        <v>0</v>
      </c>
      <c r="M83" s="176">
        <f>IFERROR(INDEX(Program_01!$L:$L,MATCH($B83,Program_01!$A:$A,0)),"")</f>
        <v>0</v>
      </c>
      <c r="N83" s="176">
        <f>IFERROR(INDEX(Program_01!$L:$L,MATCH($B83,Program_01!$A:$A,0)),"")</f>
        <v>0</v>
      </c>
      <c r="O83" s="176">
        <f>IFERROR(INDEX(Program_01!$N:$N,MATCH($B83,Program_01!$A:$A,0)),"")</f>
        <v>0</v>
      </c>
      <c r="P83" s="178"/>
      <c r="Q83" s="179" t="str">
        <f>IFERROR(INDEX(Program_01!$C:$C,MATCH($B83,Program_01!$A:$A,0)),"")</f>
        <v>Extension 0f Time Claim No. 1 (Damage)</v>
      </c>
      <c r="R83" s="176" t="str">
        <f>IFERROR(INDEX(Program_01!$V:$V,MATCH($B83,Program_01!$A:$A,0)),"")</f>
        <v>RPT01005-GENCORR-000029: TB01005-005C20-LTR-0022</v>
      </c>
      <c r="S83" s="180">
        <f>IFERROR(INDEX(Program_01!$W:$W,MATCH($B83,Program_01!$A:$A,0)),"")</f>
        <v>45759</v>
      </c>
      <c r="T83" s="178"/>
      <c r="U83" s="176" t="str">
        <f>IFERROR(INDEX(Program_01!$Z:$Z,MATCH($B83,Program_01!$A:$A,0)),"")</f>
        <v>1TB01005-005C20-AMA-LTR-0056</v>
      </c>
      <c r="V83" s="181">
        <f>IFERROR(INDEX(Program_01!$AA:$AA,MATCH($B83,Program_01!$A:$A,0)),"")</f>
        <v>45784</v>
      </c>
      <c r="W83" s="182">
        <f t="shared" ca="1" si="0"/>
        <v>25</v>
      </c>
      <c r="X83" s="51"/>
      <c r="Y83" s="179" t="str">
        <f>IFERROR(INDEX(Program_01!$BD:$BD,MATCH($B83,Program_01!$A:$A,0)),"")</f>
        <v>1TB01005-005C20-AMA-LTR-0064 dated 10 Aug 25</v>
      </c>
      <c r="Z83" s="51"/>
      <c r="AA83" s="183" t="str">
        <f>IFERROR(IF((INDEX(Program_01!$AD:$AD,MATCH($B83,Program_01!$A:$A,0))=""),INDEX(Program_01!$V:$V,MATCH($B83,Program_01!$A:$A,0)),INDEX(Program_01!$AD:$AD,MATCH($B83,Program_01!$A:$A,0))),"")</f>
        <v>RPT01005-GENCORR-000029: TB01005-005C20-LTR-0022</v>
      </c>
      <c r="AB83" s="147">
        <f>IFERROR(IF((INDEX(Program_01!$AE:$AE,MATCH($B83,Program_01!$A:$A,0))=""),INDEX(Program_01!$W:$W,MATCH($B83,Program_01!$A:$A,0)),INDEX(Program_01!$AE:$AE,MATCH($B83,Program_01!$A:$A,0))),"")</f>
        <v>45759</v>
      </c>
      <c r="AC83" s="183">
        <f>IFERROR(IF($I83="EOT",INDEX(Program_01!$AN:$AN,MATCH($B83,Program_01!$A:$A,0)),INDEX(Program_01!$AY:$AY,MATCH($B83,Program_01!$A:$A,0))),"")</f>
        <v>0</v>
      </c>
      <c r="AD83" s="181">
        <f>IFERROR(IF($I83="EOT",INDEX(Program_01!$AO:$AO,MATCH($B83,Program_01!$A:$A,0)),INDEX(Program_01!$AZ:$AZ,MATCH($B83,Program_01!$A:$A,0))),"")</f>
        <v>0</v>
      </c>
      <c r="AE83" s="51"/>
      <c r="AF83" s="183"/>
      <c r="AG83" s="181"/>
      <c r="AH83" s="183" t="str">
        <f>IF(OR($D83="",$AS83="VO Issued",$AS83="Open"),"",IF(OR($AC83="Rejected",$AC83="Superseded",$AC83="Dealt Separately"),$AC83,IF($I83="EOT",INDEX(Program_01!$AR:$AR,MATCH($B83,Program_01!$A:$A,0)),INDEX(Program_01!$BB:$BB,MATCH($B83,Program_01!$A:$A,0)))))</f>
        <v/>
      </c>
      <c r="AI83" s="181" t="str">
        <f>IF(OR($A83="",$B83="",$I83="",$AS83="VO Issued",$AS83="Open"),"",IF(OR($AD83="N/A"),$AD83,IF($I83="EOT",INDEX(Program_01!$AS:$AS,MATCH($B83,Program_01!$A:$A,0)),INDEX(Program_01!$BC:$BC,MATCH($B83,Program_01!$A:$A,0)))))</f>
        <v/>
      </c>
      <c r="AJ83" s="183" t="str">
        <f>IF(OR($D83="",$I83="",$AS83="Determination Issued",$AS83="Rejected",$AS83="Open"),"",IF(OR($AH83="Rejected",$AH83="Dealt Separately",$AH83="Superseded",$AH83="Withdrawn"),"N/A",IF($I83="EOT",INDEX(Program_01!AR:AR,MATCH($B83,Program_01!A:A,0)),INDEX(Program_01!BB:BB,MATCH($B83,Program_01!A:A,0)))))</f>
        <v/>
      </c>
      <c r="AK83" s="181" t="str">
        <f>IF(OR($A83="",$B83="",$I83="",$AS83="Determination Issued",$AS83="Rejected",$AS83="Open"),"",IF($AJ83="N/A","N/A",IF($I83="EOT",INDEX(Program_01!AS:AS,MATCH($B83,Program_01!A:A,0)),INDEX(Program_01!BC:BC,MATCH($B83,Program_01!A:A,0)))))</f>
        <v/>
      </c>
      <c r="AL83" s="51"/>
      <c r="AM83" s="184">
        <f>IFERROR(INDEX(Program_01!$BT:$BT,MATCH($B83,Program_01!$A:$A,0)),"")</f>
        <v>0</v>
      </c>
      <c r="AN83" s="184">
        <f>IFERROR(INDEX(Program_01!$BU:$BU,MATCH($B83,Program_01!$A:$A,0)),"")</f>
        <v>0</v>
      </c>
      <c r="AO83" s="184">
        <f>IFERROR(INDEX(Program_01!$BV:$BV,MATCH($B83,Program_01!$A:$A,0)),"")</f>
        <v>0</v>
      </c>
      <c r="AP83" s="51" t="str">
        <f t="shared" si="12"/>
        <v/>
      </c>
      <c r="AQ83" s="184">
        <f>IFERROR(INDEX(Program_01!$BN:$BN,MATCH($B83,Program_01!$A:$A,0)),"")</f>
        <v>0</v>
      </c>
      <c r="AR83" s="184" t="str">
        <f>IFERROR(INDEX(Program_01!$BO:$BO,MATCH($B83,Program_01!$A:$A,0)),"")</f>
        <v>Pending</v>
      </c>
      <c r="AS83" s="184" t="str">
        <f>IFERROR(INDEX(Program_01!$BP:$BP,MATCH($B83,Program_01!$A:$A,0)),"")</f>
        <v>Open</v>
      </c>
      <c r="AT83" s="185" t="str">
        <f>IFERROR(INDEX(Program_01!$BQ:$BQ,MATCH($B83,Program_01!$A:$A,0)),"")</f>
        <v>Planning Team</v>
      </c>
      <c r="AU83" s="179" t="str">
        <f>IFERROR(INDEX(Program_01!$BR:$BR,MATCH($B83,Program_01!$A:$A,0)),"")</f>
        <v>20 Apr 26: Ditto, commercial to write to the contrator to submit an updated EOT claim for time
29 Apr 26: the above letter put in workflow (WF-042750)
02 May 26: letter advising the contractor for a formal EOT submission has been issued via 1TB01005-005C20-AMA-LTR-0074
18 May 26: Awaiting Contractor EoT Claim
31 May 26: Ditto
04 Jun 26: Ditto
15 Jun 26:  Ditto, Commercial to issue a follow up
28 Jun 26: Follow up letter under WF-044048 (Ref. 1TB01005-005C20-AMA-LTR-0076 ) that states the contractor is required to submit the updated claim within 10 BD - Letter has not been approved as Reynolds have confirmed they are unable to complete a compliant Claim. 
29 Jun 26: commercial to revise the letter stating that the employer will undertake its own assessment in absebce of a compliant claim 
10 July 26: Letter updated and going through WF  approvals . Commercial target 28 Aug for HLEAR. 
13 Jul 26: Commercial to send an email to claims to proceed with HLEAR route
24 Jul 26: Email seeking approval to proceed with HLEAR sent to claims team
27 Jul 26: Targeted to finalise the HLEAR by 28 Aug 26
28  Jul 26: Claims team approved via email to proceed with HLEAR, actoin with commercial to prepare Draft HLEAR
10 Aug 26: Ditto. Target to complete HLEAR by  28 August 26
24 Aug 26: Ditto
31 Aug 26: Updated draft EAR sent to claims team for review
05 Sept 26: Ditto
15 Sep 26: EAR sent back to commercial with comments to update &amp; resubmit for further review // updated EAR submitted to claims team for review. HLEAR sent to planning for TIA
21 Sep 26: Targeted to revert by 04 Oct 26
04 Oct 26: Ditto</v>
      </c>
      <c r="AV83" s="186" t="str">
        <f t="shared" ref="AV83:AV146" si="32">IF($I83="","",IF($S83&gt;$AV$16,"",IF($AS83="OPEN","OPEN",IF($AS83="","",IF(AND($AS83&lt;&gt;"OPEN",$AT83="CLOSED"),"CLOSED",IF(AND($AS83&lt;&gt;"OPEN",$AT83&lt;&gt;"CLOSED"),"OPEN",""))))))</f>
        <v/>
      </c>
      <c r="AW83" s="186" t="str">
        <f t="shared" si="13"/>
        <v>OPEN</v>
      </c>
      <c r="AX83" s="186" t="str">
        <f t="shared" ref="AX83:AX146" si="33">IF(OR($AV83="OPEN",$AV83="CLOSED"),$AV83,$AW83)</f>
        <v>OPEN</v>
      </c>
      <c r="AY83" s="181">
        <f t="shared" si="14"/>
        <v>46231</v>
      </c>
      <c r="AZ83" s="181" t="str">
        <f t="shared" si="27"/>
        <v/>
      </c>
      <c r="BA83" s="181" t="str">
        <f t="shared" si="4"/>
        <v/>
      </c>
      <c r="BC83" s="181">
        <f>IFERROR(INDEX(Program_01!BF:BF,MATCH($B83,Program_01!$A:$A,0)),"")</f>
        <v>46231</v>
      </c>
      <c r="BD83" s="188">
        <f ca="1">IFERROR(INDEX(Program_01!BG:BG,MATCH($B83,Program_01!$A:$A,0)),"")</f>
        <v>49</v>
      </c>
      <c r="BE83" s="181">
        <f>IFERROR(INDEX(Program_01!BH:BH,MATCH($B83,Program_01!$A:$A,0)),"")</f>
        <v>46280</v>
      </c>
      <c r="BF83" s="189">
        <f ca="1">IFERROR(INDEX(Program_01!BI:BI,MATCH($B83,Program_01!$A:$A,0)),"")</f>
        <v>20</v>
      </c>
      <c r="BG83" s="181">
        <f>IFERROR(INDEX(Program_01!BJ:BJ,MATCH($B83,Program_01!$A:$A,0)),"")</f>
        <v>0</v>
      </c>
      <c r="BH83" s="189">
        <f ca="1">IFERROR(INDEX(Program_01!BK:BK,MATCH($B83,Program_01!$A:$A,0)),"")</f>
        <v>0</v>
      </c>
      <c r="BI83" s="181">
        <f>IFERROR(INDEX(Program_01!BL:BL,MATCH($B83,Program_01!$A:$A,0)),"")</f>
        <v>0</v>
      </c>
      <c r="BK83" s="190" t="str">
        <f>IFERROR(IF(INDEX(Program_01!$BX:$BX,MATCH($B83,Program_01!$A:$A,0))=DATE(1900,1,0),"",INDEX(Program_01!$BX:$BX,MATCH($B83,Program_01!$A:$A,0))),"")</f>
        <v/>
      </c>
      <c r="BL83" s="190" t="str">
        <f>IFERROR(IF(INDEX(Program_01!$BY:$BY,MATCH($B83,Program_01!$A:$A,0))=DATE(1900,1,0),"",INDEX(Program_01!$BY:$BY,MATCH($B83,Program_01!$A:$A,0))),"")</f>
        <v/>
      </c>
      <c r="BM83" s="188" t="str">
        <f t="shared" ca="1" si="15"/>
        <v/>
      </c>
      <c r="BN83" s="191">
        <f ca="1">IF(OR($C83="DEOT",$C83="N/A",$I83=""),"",IF(OR($AM83="Revise &amp; resubmit",$AT83="Awaiting Conclusion of EoT",$AR83="Not Applicable",$AY83=0,$AY83="TBA",$AZ83="N/A",AY83=0),0,IF(AND($AR83="Assessment Report Issued",$AT83&lt;&gt;""),$AZ83-$AY83,IF(AND($AR83="Pending",$AT83="Contractor"),"",IF(AND($AZ83="",$AY83&lt;&gt;""),TODAY()-$AY83,$AZ83-$AY83)))))</f>
        <v>69</v>
      </c>
      <c r="BO83" s="188" t="str">
        <f t="shared" ref="BO83:BO146" si="34">IF(OR($AR83&lt;&gt;"ASSESSMENT REPORT ISSUED"),"",IF($BN83&lt;&gt;"",$BN83,""))</f>
        <v/>
      </c>
      <c r="BP83" s="188" t="str">
        <f t="shared" si="6"/>
        <v/>
      </c>
      <c r="BQ83" s="188" t="str">
        <f t="shared" ca="1" si="17"/>
        <v/>
      </c>
      <c r="BR83" s="181" t="str">
        <f t="shared" ca="1" si="28"/>
        <v/>
      </c>
      <c r="BT83" s="190" t="str">
        <f>IFERROR(IF(INDEX(Program_01!$BZ:$BZ,MATCH($B83,Program_01!$A:$A,0))=DATE(1900,1,0),"",INDEX(Program_01!$BZ:$BZ,MATCH($B83,Program_01!$A:$A,0))),"")</f>
        <v/>
      </c>
      <c r="BU83" s="182" t="str">
        <f t="shared" ca="1" si="22"/>
        <v/>
      </c>
      <c r="BV83" s="188" t="str">
        <f t="shared" ref="BV83:BV146" si="35">IF(OR($AS83="Determination Issued",$AS83="VO Issued"),$BU83,"")</f>
        <v/>
      </c>
      <c r="BW83" s="188" t="str">
        <f t="shared" si="8"/>
        <v/>
      </c>
      <c r="BX83" s="188" t="str">
        <f t="shared" ref="BX83:BX146" ca="1" si="36">IF(OR($AS83="Determination Issued",$AS83="VO Issued",$AS83="Rejected",$AS83="Canceled",$AS83="Superseded",$AS83="Not Applicable",$BU83=""),"",IF($BU83&gt;90,$BU83,""))</f>
        <v/>
      </c>
      <c r="BY83" s="181" t="str">
        <f t="shared" ca="1" si="29"/>
        <v/>
      </c>
      <c r="CA83" s="192" t="str">
        <f t="shared" si="20"/>
        <v>N</v>
      </c>
      <c r="CB83" s="192" t="str">
        <f t="shared" si="21"/>
        <v>N</v>
      </c>
      <c r="CC83" s="193">
        <f>IFERROR(INDEX(Program_01!$CE:$CE,MATCH($B83,Program_01!$A:$A,0)),"")</f>
        <v>45781</v>
      </c>
      <c r="CD83" s="193">
        <f t="shared" si="31"/>
        <v>45781</v>
      </c>
      <c r="CG83" s="194">
        <f>IFERROR(INDEX(Program_01!$AT:$AT,MATCH($B83,Program_01!$A:$A,0)),"")</f>
        <v>0</v>
      </c>
      <c r="CH83" s="194">
        <f>IFERROR(INDEX(Program_01!$AX:$AX,MATCH($B83,Program_01!$A:$A,0)),"")</f>
        <v>0</v>
      </c>
    </row>
    <row r="84" spans="1:86" s="187" customFormat="1" ht="119">
      <c r="A84" s="174" t="s">
        <v>1</v>
      </c>
      <c r="B84" s="175">
        <v>66</v>
      </c>
      <c r="C84" s="176" t="str">
        <f>IFERROR(INDEX(Program_01!$B:$B,MATCH($B84,Program_01!$A:$A,0)),"")</f>
        <v>COST EAR</v>
      </c>
      <c r="D84" s="176" t="str">
        <f>IFERROR(INDEX(Program_01!$D:$D,MATCH($B84,Program_01!$A:$A,0)),"")</f>
        <v>1TB01005C20</v>
      </c>
      <c r="E84" s="176" t="str">
        <f>IFERROR(INDEX(Program_01!$E:$E,MATCH($B84,Program_01!$A:$A,0)),"")</f>
        <v>1.TB.01.005.01</v>
      </c>
      <c r="F84" s="176" t="str">
        <f>IFERROR(INDEX(Program_01!$F:$F,MATCH($B84,Program_01!$A:$A,0)),"")</f>
        <v>Red Sea Marine Life Institute</v>
      </c>
      <c r="G84" s="176" t="str">
        <f>IFERROR(INDEX(Program_01!$G:$G,MATCH($B84,Program_01!$A:$A,0)),"")</f>
        <v>Specialist Acrylic Glazing</v>
      </c>
      <c r="H84" s="176" t="str">
        <f>IFERROR(INDEX(Program_01!$H:$H,MATCH($B84,Program_01!$A:$A,0)),"")</f>
        <v>Reynolds Polymer Technology Inc</v>
      </c>
      <c r="I84" s="176" t="str">
        <f t="shared" ref="I84:I147" si="37">IFERROR(IF($D84="","",INDEX($J$16:$O$16,MATCH(1,J84:O84,0))),"")</f>
        <v>Other Claims</v>
      </c>
      <c r="J84" s="176">
        <f>IFERROR(INDEX(Program_01!$I:$I,MATCH($B84,Program_01!$A:$A,0)),"")</f>
        <v>0</v>
      </c>
      <c r="K84" s="176">
        <f>IFERROR(INDEX(Program_01!$J:$J,MATCH($B84,Program_01!$A:$A,0)),"")</f>
        <v>0</v>
      </c>
      <c r="L84" s="176">
        <f>IFERROR(INDEX(Program_01!$K:$K,MATCH($B84,Program_01!$A:$A,0)),"")</f>
        <v>0</v>
      </c>
      <c r="M84" s="176">
        <f>IFERROR(INDEX(Program_01!$L:$L,MATCH($B84,Program_01!$A:$A,0)),"")</f>
        <v>0</v>
      </c>
      <c r="N84" s="176">
        <f>IFERROR(INDEX(Program_01!$L:$L,MATCH($B84,Program_01!$A:$A,0)),"")</f>
        <v>0</v>
      </c>
      <c r="O84" s="176">
        <f>IFERROR(INDEX(Program_01!$N:$N,MATCH($B84,Program_01!$A:$A,0)),"")</f>
        <v>1</v>
      </c>
      <c r="P84" s="178"/>
      <c r="Q84" s="179" t="str">
        <f>IFERROR(INDEX(Program_01!$C:$C,MATCH($B84,Program_01!$A:$A,0)),"")</f>
        <v>Extension 0f Time Claim No. 1 (Damage)</v>
      </c>
      <c r="R84" s="176" t="str">
        <f>IFERROR(INDEX(Program_01!$V:$V,MATCH($B84,Program_01!$A:$A,0)),"")</f>
        <v>RPT01005-GENCORR-000029: TB01005-005C20-LTR-0022</v>
      </c>
      <c r="S84" s="180">
        <f>IFERROR(INDEX(Program_01!$W:$W,MATCH($B84,Program_01!$A:$A,0)),"")</f>
        <v>45759</v>
      </c>
      <c r="T84" s="178"/>
      <c r="U84" s="176" t="str">
        <f>IFERROR(INDEX(Program_01!$Z:$Z,MATCH($B84,Program_01!$A:$A,0)),"")</f>
        <v>1TB01005-005C20-AMA-LTR-0056</v>
      </c>
      <c r="V84" s="181">
        <f>IFERROR(INDEX(Program_01!$AA:$AA,MATCH($B84,Program_01!$A:$A,0)),"")</f>
        <v>45784</v>
      </c>
      <c r="W84" s="182">
        <f t="shared" ca="1" si="0"/>
        <v>25</v>
      </c>
      <c r="X84" s="51"/>
      <c r="Y84" s="179">
        <f>IFERROR(INDEX(Program_01!$BD:$BD,MATCH($B84,Program_01!$A:$A,0)),"")</f>
        <v>0</v>
      </c>
      <c r="Z84" s="51"/>
      <c r="AA84" s="183" t="str">
        <f>IFERROR(IF((INDEX(Program_01!$AD:$AD,MATCH($B84,Program_01!$A:$A,0))=""),INDEX(Program_01!$V:$V,MATCH($B84,Program_01!$A:$A,0)),INDEX(Program_01!$AD:$AD,MATCH($B84,Program_01!$A:$A,0))),"")</f>
        <v>RPT01005-GENCORR-000029: TB01005-005C20-LTR-0022</v>
      </c>
      <c r="AB84" s="147">
        <f>IFERROR(IF((INDEX(Program_01!$AE:$AE,MATCH($B84,Program_01!$A:$A,0))=""),INDEX(Program_01!$W:$W,MATCH($B84,Program_01!$A:$A,0)),INDEX(Program_01!$AE:$AE,MATCH($B84,Program_01!$A:$A,0))),"")</f>
        <v>45759</v>
      </c>
      <c r="AC84" s="183" t="str">
        <f>IFERROR(IF($I84="EOT",INDEX(Program_01!$AN:$AN,MATCH($B84,Program_01!$A:$A,0)),INDEX(Program_01!$AY:$AY,MATCH($B84,Program_01!$A:$A,0))),"")</f>
        <v>AMA01005-GENCORR-002532</v>
      </c>
      <c r="AD84" s="181">
        <f>IFERROR(IF($I84="EOT",INDEX(Program_01!$AO:$AO,MATCH($B84,Program_01!$A:$A,0)),INDEX(Program_01!$AZ:$AZ,MATCH($B84,Program_01!$A:$A,0))),"")</f>
        <v>45951</v>
      </c>
      <c r="AE84" s="51"/>
      <c r="AF84" s="183"/>
      <c r="AG84" s="181"/>
      <c r="AH84" s="183">
        <f>IF(OR($D84="",$AS84="VO Issued",$AS84="Open"),"",IF(OR($AC84="Rejected",$AC84="Superseded",$AC84="Dealt Separately"),$AC84,IF($I84="EOT",INDEX(Program_01!$AR:$AR,MATCH($B84,Program_01!$A:$A,0)),INDEX(Program_01!$BB:$BB,MATCH($B84,Program_01!$A:$A,0)))))</f>
        <v>0</v>
      </c>
      <c r="AI84" s="181">
        <f>IF(OR($A84="",$B84="",$I84="",$AS84="VO Issued",$AS84="Open"),"",IF(OR($AD84="N/A"),$AD84,IF($I84="EOT",INDEX(Program_01!$AS:$AS,MATCH($B84,Program_01!$A:$A,0)),INDEX(Program_01!$BC:$BC,MATCH($B84,Program_01!$A:$A,0)))))</f>
        <v>0</v>
      </c>
      <c r="AJ84" s="183">
        <f>IF(OR($D84="",$I84="",$AS84="Determination Issued",$AS84="Rejected",$AS84="Open"),"",IF(OR($AH84="Rejected",$AH84="Dealt Separately",$AH84="Superseded",$AH84="Withdrawn"),"N/A",IF($I84="EOT",INDEX(Program_01!AR:AR,MATCH($B84,Program_01!A:A,0)),INDEX(Program_01!BB:BB,MATCH($B84,Program_01!A:A,0)))))</f>
        <v>0</v>
      </c>
      <c r="AK84" s="181">
        <f>IF(OR($A84="",$B84="",$I84="",$AS84="Determination Issued",$AS84="Rejected",$AS84="Open"),"",IF($AJ84="N/A","N/A",IF($I84="EOT",INDEX(Program_01!AS:AS,MATCH($B84,Program_01!A:A,0)),INDEX(Program_01!BC:BC,MATCH($B84,Program_01!A:A,0)))))</f>
        <v>0</v>
      </c>
      <c r="AL84" s="51"/>
      <c r="AM84" s="184">
        <f>IFERROR(INDEX(Program_01!$BT:$BT,MATCH($B84,Program_01!$A:$A,0)),"")</f>
        <v>0</v>
      </c>
      <c r="AN84" s="184">
        <f>IFERROR(INDEX(Program_01!$BU:$BU,MATCH($B84,Program_01!$A:$A,0)),"")</f>
        <v>0</v>
      </c>
      <c r="AO84" s="184">
        <f>IFERROR(INDEX(Program_01!$BV:$BV,MATCH($B84,Program_01!$A:$A,0)),"")</f>
        <v>0</v>
      </c>
      <c r="AP84" s="51" t="str">
        <f t="shared" si="12"/>
        <v/>
      </c>
      <c r="AQ84" s="184">
        <f>IFERROR(INDEX(Program_01!$BN:$BN,MATCH($B84,Program_01!$A:$A,0)),"")</f>
        <v>0</v>
      </c>
      <c r="AR84" s="184" t="str">
        <f>IFERROR(INDEX(Program_01!$BO:$BO,MATCH($B84,Program_01!$A:$A,0)),"")</f>
        <v>Not Applicable</v>
      </c>
      <c r="AS84" s="184" t="str">
        <f>IFERROR(INDEX(Program_01!$BP:$BP,MATCH($B84,Program_01!$A:$A,0)),"")</f>
        <v>DVO Issued</v>
      </c>
      <c r="AT84" s="185" t="str">
        <f>IFERROR(INDEX(Program_01!$BQ:$BQ,MATCH($B84,Program_01!$A:$A,0)),"")</f>
        <v>Closed</v>
      </c>
      <c r="AU84" s="179" t="str">
        <f>IFERROR(INDEX(Program_01!$BR:$BR,MATCH($B84,Program_01!$A:$A,0)),"")</f>
        <v>04 May 25: Claim against damage caused by the alleged unathorised movement of the Acrylic Dome by the employer and the associated cost. (anticiapated delay from 28 days to 52 weeks with a total cost for the replacement / Major repair of SAR 1,312,425) Draft response under preperation, to be submitted to claims team for review 
25 Jul 25: Cost agreed for repair at SAR 95k and agreement in place to finish works by end Aug 25. Site Works progress has improved.
12 Aug 25 - PVO now approved and VO issued - Formal close out by the End of Aug
01 Dec 25: Ditto, DVO issued for cost only (SAR 95,887.00) via AMA01005-GENCORR-002532, contractor returned the signed DVO via RPT01005-GENCORR-000038 and therefore, this claim is now considered closed</v>
      </c>
      <c r="AV84" s="186" t="str">
        <f t="shared" si="32"/>
        <v/>
      </c>
      <c r="AW84" s="186" t="str">
        <f t="shared" si="13"/>
        <v>CLOSED</v>
      </c>
      <c r="AX84" s="186" t="str">
        <f t="shared" si="33"/>
        <v>CLOSED</v>
      </c>
      <c r="AY84" s="181">
        <f t="shared" ref="AY84:AY147" si="38">IF(C84="HLEAR",BC84,AB84)</f>
        <v>45759</v>
      </c>
      <c r="AZ84" s="181">
        <f t="shared" si="27"/>
        <v>45951</v>
      </c>
      <c r="BA84" s="181">
        <f t="shared" si="4"/>
        <v>0</v>
      </c>
      <c r="BC84" s="181">
        <f>IFERROR(INDEX(Program_01!BF:BF,MATCH($B84,Program_01!$A:$A,0)),"")</f>
        <v>45759</v>
      </c>
      <c r="BD84" s="188" t="str">
        <f ca="1">IFERROR(INDEX(Program_01!BG:BG,MATCH($B84,Program_01!$A:$A,0)),"")</f>
        <v>N/A</v>
      </c>
      <c r="BE84" s="181">
        <f>IFERROR(INDEX(Program_01!BH:BH,MATCH($B84,Program_01!$A:$A,0)),"")</f>
        <v>0</v>
      </c>
      <c r="BF84" s="189" t="str">
        <f ca="1">IFERROR(INDEX(Program_01!BI:BI,MATCH($B84,Program_01!$A:$A,0)),"")</f>
        <v>N/A</v>
      </c>
      <c r="BG84" s="181">
        <f>IFERROR(INDEX(Program_01!BJ:BJ,MATCH($B84,Program_01!$A:$A,0)),"")</f>
        <v>0</v>
      </c>
      <c r="BH84" s="189">
        <f ca="1">IFERROR(INDEX(Program_01!BK:BK,MATCH($B84,Program_01!$A:$A,0)),"")</f>
        <v>0</v>
      </c>
      <c r="BI84" s="181">
        <f>IFERROR(INDEX(Program_01!BL:BL,MATCH($B84,Program_01!$A:$A,0)),"")</f>
        <v>0</v>
      </c>
      <c r="BK84" s="190">
        <f>IFERROR(IF(INDEX(Program_01!$BX:$BX,MATCH($B84,Program_01!$A:$A,0))=DATE(1900,1,0),"",INDEX(Program_01!$BX:$BX,MATCH($B84,Program_01!$A:$A,0))),"")</f>
        <v>45992</v>
      </c>
      <c r="BL84" s="190" t="str">
        <f>IFERROR(IF(INDEX(Program_01!$BY:$BY,MATCH($B84,Program_01!$A:$A,0))=DATE(1900,1,0),"",INDEX(Program_01!$BY:$BY,MATCH($B84,Program_01!$A:$A,0))),"")</f>
        <v/>
      </c>
      <c r="BM84" s="188">
        <f t="shared" ref="BM84:BM147" ca="1" si="39">IF(OR($AZ84="",$AZ84="N/A"),"",IF(AND($AZ84="",$AY84&lt;&gt;""),TODAY()-$AY84,$AZ84-$AY84))</f>
        <v>192</v>
      </c>
      <c r="BN84" s="191">
        <f t="shared" ref="BN84:BN147" ca="1" si="40">IF(OR($C84="DEOT",$C84="N/A",$I84=""),"",IF(OR($AM84="Revise &amp; resubmit",$AT84="Awaiting Conclusion of EoT",$AR84="Not Applicable",$AY84=0,$AY84="TBA",$AZ84="N/A",AY84=0),0,IF(AND($AR84="Assessment Report Issued",$AT84&lt;&gt;""),$AZ84-$AY84,IF(AND($AR84="Pending",$AT84="Contractor"),"",IF(AND($AZ84="",$AY84&lt;&gt;""),TODAY()-$AY84,$AZ84-$AY84)))))</f>
        <v>0</v>
      </c>
      <c r="BO84" s="188" t="str">
        <f t="shared" si="34"/>
        <v/>
      </c>
      <c r="BP84" s="188" t="str">
        <f t="shared" si="6"/>
        <v>1</v>
      </c>
      <c r="BQ84" s="188" t="str">
        <f t="shared" ref="BQ84:BQ147" ca="1" si="41">IF(AND($AR84="Pending",$BN84&gt;140),$BN84,"")</f>
        <v/>
      </c>
      <c r="BR84" s="181" t="str">
        <f t="shared" ca="1" si="28"/>
        <v/>
      </c>
      <c r="BT84" s="190" t="str">
        <f>IFERROR(IF(INDEX(Program_01!$BZ:$BZ,MATCH($B84,Program_01!$A:$A,0))=DATE(1900,1,0),"",INDEX(Program_01!$BZ:$BZ,MATCH($B84,Program_01!$A:$A,0))),"")</f>
        <v/>
      </c>
      <c r="BU84" s="182" t="str">
        <f t="shared" ca="1" si="22"/>
        <v/>
      </c>
      <c r="BV84" s="188" t="str">
        <f t="shared" si="35"/>
        <v/>
      </c>
      <c r="BW84" s="188" t="str">
        <f t="shared" si="8"/>
        <v>1</v>
      </c>
      <c r="BX84" s="188" t="str">
        <f t="shared" ca="1" si="36"/>
        <v/>
      </c>
      <c r="BY84" s="181" t="str">
        <f t="shared" ca="1" si="29"/>
        <v/>
      </c>
      <c r="CA84" s="192" t="str">
        <f t="shared" si="20"/>
        <v>N</v>
      </c>
      <c r="CB84" s="192" t="str">
        <f t="shared" si="21"/>
        <v>N</v>
      </c>
      <c r="CC84" s="193">
        <f>IFERROR(INDEX(Program_01!$CE:$CE,MATCH($B84,Program_01!$A:$A,0)),"")</f>
        <v>45781</v>
      </c>
      <c r="CD84" s="193">
        <f t="shared" si="31"/>
        <v>45781</v>
      </c>
      <c r="CG84" s="194">
        <f>IFERROR(INDEX(Program_01!$AT:$AT,MATCH($B84,Program_01!$A:$A,0)),"")</f>
        <v>1312425</v>
      </c>
      <c r="CH84" s="194">
        <f>IFERROR(INDEX(Program_01!$AX:$AX,MATCH($B84,Program_01!$A:$A,0)),"")</f>
        <v>95887</v>
      </c>
    </row>
    <row r="85" spans="1:86" s="187" customFormat="1" ht="409.5" customHeight="1">
      <c r="A85" s="174" t="s">
        <v>1</v>
      </c>
      <c r="B85" s="199">
        <v>67</v>
      </c>
      <c r="C85" s="176" t="str">
        <f>IFERROR(INDEX(Program_01!$B:$B,MATCH($B85,Program_01!$A:$A,0)),"")</f>
        <v>FULL TIA EAR</v>
      </c>
      <c r="D85" s="176" t="str">
        <f>IFERROR(INDEX(Program_01!$D:$D,MATCH($B85,Program_01!$A:$A,0)),"")</f>
        <v>1TB01005C11</v>
      </c>
      <c r="E85" s="176" t="str">
        <f>IFERROR(INDEX(Program_01!$E:$E,MATCH($B85,Program_01!$A:$A,0)),"")</f>
        <v>1.TB.01.005.01</v>
      </c>
      <c r="F85" s="176" t="str">
        <f>IFERROR(INDEX(Program_01!$F:$F,MATCH($B85,Program_01!$A:$A,0)),"")</f>
        <v>Red Sea Marine Life Institute</v>
      </c>
      <c r="G85" s="176" t="str">
        <f>IFERROR(INDEX(Program_01!$G:$G,MATCH($B85,Program_01!$A:$A,0)),"")</f>
        <v>Fit Out Works for Red Sea Marine Life Institute</v>
      </c>
      <c r="H85" s="176" t="str">
        <f>IFERROR(INDEX(Program_01!$H:$H,MATCH($B85,Program_01!$A:$A,0)),"")</f>
        <v>Alec Saudi Engineering and Contracting Company</v>
      </c>
      <c r="I85" s="176" t="str">
        <f t="shared" si="37"/>
        <v>EOT</v>
      </c>
      <c r="J85" s="176">
        <f>IFERROR(INDEX(Program_01!$I:$I,MATCH($B85,Program_01!$A:$A,0)),"")</f>
        <v>1</v>
      </c>
      <c r="K85" s="176">
        <f>IFERROR(INDEX(Program_01!$J:$J,MATCH($B85,Program_01!$A:$A,0)),"")</f>
        <v>0</v>
      </c>
      <c r="L85" s="176">
        <f>IFERROR(INDEX(Program_01!$K:$K,MATCH($B85,Program_01!$A:$A,0)),"")</f>
        <v>0</v>
      </c>
      <c r="M85" s="176">
        <f>IFERROR(INDEX(Program_01!$L:$L,MATCH($B85,Program_01!$A:$A,0)),"")</f>
        <v>0</v>
      </c>
      <c r="N85" s="176">
        <f>IFERROR(INDEX(Program_01!$L:$L,MATCH($B85,Program_01!$A:$A,0)),"")</f>
        <v>0</v>
      </c>
      <c r="O85" s="176">
        <f>IFERROR(INDEX(Program_01!$N:$N,MATCH($B85,Program_01!$A:$A,0)),"")</f>
        <v>0</v>
      </c>
      <c r="P85" s="178"/>
      <c r="Q85" s="179" t="str">
        <f>IFERROR(INDEX(Program_01!$C:$C,MATCH($B85,Program_01!$A:$A,0)),"")</f>
        <v>Access delay events - Contractor's claim for an Extension of the Time for Completion and Additional Payment - Interium Claim No 1
with cut-off date 28 March 2025</v>
      </c>
      <c r="R85" s="176" t="str">
        <f>IFERROR(INDEX(Program_01!$V:$V,MATCH($B85,Program_01!$A:$A,0)),"")</f>
        <v>1TB01005-005C11-ALE-LTR-0099</v>
      </c>
      <c r="S85" s="180">
        <f>IFERROR(INDEX(Program_01!$W:$W,MATCH($B85,Program_01!$A:$A,0)),"")</f>
        <v>45770</v>
      </c>
      <c r="T85" s="178"/>
      <c r="U85" s="176" t="str">
        <f>IFERROR(INDEX(Program_01!$Z:$Z,MATCH($B85,Program_01!$A:$A,0)),"")</f>
        <v>1TB01005-005C11-AMA-LTR-0078</v>
      </c>
      <c r="V85" s="181">
        <f>IFERROR(INDEX(Program_01!$AA:$AA,MATCH($B85,Program_01!$A:$A,0)),"")</f>
        <v>45805</v>
      </c>
      <c r="W85" s="182">
        <f t="shared" ca="1" si="0"/>
        <v>35</v>
      </c>
      <c r="X85" s="51"/>
      <c r="Y85" s="179">
        <f>IFERROR(INDEX(Program_01!$BD:$BD,MATCH($B85,Program_01!$A:$A,0)),"")</f>
        <v>0</v>
      </c>
      <c r="Z85" s="51"/>
      <c r="AA85" s="183" t="str">
        <f>IFERROR(IF((INDEX(Program_01!$AD:$AD,MATCH($B85,Program_01!$A:$A,0))=""),INDEX(Program_01!$V:$V,MATCH($B85,Program_01!$A:$A,0)),INDEX(Program_01!$AD:$AD,MATCH($B85,Program_01!$A:$A,0))),"")</f>
        <v>1TB01005-005C11-ALE-LTR-0146</v>
      </c>
      <c r="AB85" s="147">
        <f>IFERROR(IF((INDEX(Program_01!$AE:$AE,MATCH($B85,Program_01!$A:$A,0))=""),INDEX(Program_01!$W:$W,MATCH($B85,Program_01!$A:$A,0)),INDEX(Program_01!$AE:$AE,MATCH($B85,Program_01!$A:$A,0))),"")</f>
        <v>45883</v>
      </c>
      <c r="AC85" s="183" t="str">
        <f>IFERROR(IF($I85="EOT",INDEX(Program_01!$AN:$AN,MATCH($B85,Program_01!$A:$A,0)),INDEX(Program_01!$AY:$AY,MATCH($B85,Program_01!$A:$A,0))),"")</f>
        <v>1TB01005-005C11-AMA-LTR-0124</v>
      </c>
      <c r="AD85" s="181">
        <f>IFERROR(IF($I85="EOT",INDEX(Program_01!$AO:$AO,MATCH($B85,Program_01!$A:$A,0)),INDEX(Program_01!$AZ:$AZ,MATCH($B85,Program_01!$A:$A,0))),"")</f>
        <v>46002</v>
      </c>
      <c r="AE85" s="51"/>
      <c r="AF85" s="183"/>
      <c r="AG85" s="181"/>
      <c r="AH85" s="183">
        <f>IF(OR($D85="",$AS85="VO Issued",$AS85="Open"),"",IF(OR($AC85="Rejected",$AC85="Superseded",$AC85="Dealt Separately"),$AC85,IF($I85="EOT",INDEX(Program_01!$AR:$AR,MATCH($B85,Program_01!$A:$A,0)),INDEX(Program_01!$BB:$BB,MATCH($B85,Program_01!$A:$A,0)))))</f>
        <v>0</v>
      </c>
      <c r="AI85" s="181">
        <f>IF(OR($A85="",$B85="",$I85="",$AS85="VO Issued",$AS85="Open"),"",IF(OR($AD85="N/A"),$AD85,IF($I85="EOT",INDEX(Program_01!$AS:$AS,MATCH($B85,Program_01!$A:$A,0)),INDEX(Program_01!$BC:$BC,MATCH($B85,Program_01!$A:$A,0)))))</f>
        <v>0</v>
      </c>
      <c r="AJ85" s="183">
        <f>IF(OR($D85="",$I85="",$AS85="Determination Issued",$AS85="Rejected",$AS85="Open"),"",IF(OR($AH85="Rejected",$AH85="Dealt Separately",$AH85="Superseded",$AH85="Withdrawn"),"N/A",IF($I85="EOT",INDEX(Program_01!AR:AR,MATCH($B85,Program_01!A:A,0)),INDEX(Program_01!BB:BB,MATCH($B85,Program_01!A:A,0)))))</f>
        <v>0</v>
      </c>
      <c r="AK85" s="181">
        <f>IF(OR($A85="",$B85="",$I85="",$AS85="Determination Issued",$AS85="Rejected",$AS85="Open"),"",IF($AJ85="N/A","N/A",IF($I85="EOT",INDEX(Program_01!AS:AS,MATCH($B85,Program_01!A:A,0)),INDEX(Program_01!BC:BC,MATCH($B85,Program_01!A:A,0)))))</f>
        <v>0</v>
      </c>
      <c r="AL85" s="51"/>
      <c r="AM85" s="184">
        <f>IFERROR(INDEX(Program_01!$BT:$BT,MATCH($B85,Program_01!$A:$A,0)),"")</f>
        <v>0</v>
      </c>
      <c r="AN85" s="184">
        <f>IFERROR(INDEX(Program_01!$BU:$BU,MATCH($B85,Program_01!$A:$A,0)),"")</f>
        <v>0</v>
      </c>
      <c r="AO85" s="184">
        <f>IFERROR(INDEX(Program_01!$BV:$BV,MATCH($B85,Program_01!$A:$A,0)),"")</f>
        <v>0</v>
      </c>
      <c r="AP85" s="51" t="str">
        <f t="shared" si="12"/>
        <v/>
      </c>
      <c r="AQ85" s="184">
        <f>IFERROR(INDEX(Program_01!$BN:$BN,MATCH($B85,Program_01!$A:$A,0)),"")</f>
        <v>0</v>
      </c>
      <c r="AR85" s="184" t="str">
        <f>IFERROR(INDEX(Program_01!$BO:$BO,MATCH($B85,Program_01!$A:$A,0)),"")</f>
        <v>Assessment Report Issued</v>
      </c>
      <c r="AS85" s="184" t="str">
        <f>IFERROR(INDEX(Program_01!$BP:$BP,MATCH($B85,Program_01!$A:$A,0)),"")</f>
        <v>EI Issued</v>
      </c>
      <c r="AT85" s="185" t="str">
        <f>IFERROR(INDEX(Program_01!$BQ:$BQ,MATCH($B85,Program_01!$A:$A,0)),"")</f>
        <v>Closed</v>
      </c>
      <c r="AU85" s="179" t="str">
        <f>IFERROR(INDEX(Program_01!$BR:$BR,MATCH($B85,Program_01!$A:$A,0)),"")</f>
        <v>30 Oct 25: TIA incorporated and sent to commercial for finalisation // commercial issued the final draft to claims team for approval prior to WF initiation
03 Nov 25: under review &amp; approval with claims 
10 Nov 25: EAR approved and sent to commercial to initiate WF approval
11 Nov 25: EAR put in WF for approval via WF-036411
17 Nov25: Ditto
01 Dec 25: Ditto
12 Dec 25: EAR issued to Contractor on 11 Dec 25 - 1TB01005-005C11-AMA-LTR-0124
09 Jan 26: Contractor questioned why the EoT award did not align with the accepted Programme for the F&amp;B Variation delay event. Planning have responded and letter on WF for approvals 1TB01005-005C11-AMA-LTR-0131
12 Jan 26: Ditto
22 Jan 26: Alec request further information on the EAR via 1TB01005-005C11-ALE-LTR-0269- Site team reviewing request 
27 Jan 26: Ditto
06 Feb 26: Planning back-up data being shared with Contractor - To go to WF by 10 Feb 26
09 Feb 26: Ditto
23 Feb 26: Full back-up was issued to the Contractor on 09 Feb.  Site team preparing EI and determination with target issuance of 01 Mar
08 Mar 26: Determination letter issued (1TB01005-005C11-AMA-LTR-0149) 02 Mar 26 &amp; EI issued (1TB01005-005C11-AMA-LTR-0150) 02 Mar 26.</v>
      </c>
      <c r="AV85" s="186" t="str">
        <f t="shared" si="32"/>
        <v/>
      </c>
      <c r="AW85" s="186" t="str">
        <f t="shared" si="13"/>
        <v>CLOSED</v>
      </c>
      <c r="AX85" s="186" t="str">
        <f t="shared" si="33"/>
        <v>CLOSED</v>
      </c>
      <c r="AY85" s="181">
        <f t="shared" si="38"/>
        <v>45883</v>
      </c>
      <c r="AZ85" s="181">
        <f t="shared" si="27"/>
        <v>46002</v>
      </c>
      <c r="BA85" s="181">
        <f t="shared" si="4"/>
        <v>0</v>
      </c>
      <c r="BC85" s="181">
        <f>IFERROR(INDEX(Program_01!BF:BF,MATCH($B85,Program_01!$A:$A,0)),"")</f>
        <v>45883</v>
      </c>
      <c r="BD85" s="188" t="str">
        <f ca="1">IFERROR(INDEX(Program_01!BG:BG,MATCH($B85,Program_01!$A:$A,0)),"")</f>
        <v>N/A</v>
      </c>
      <c r="BE85" s="181">
        <f>IFERROR(INDEX(Program_01!BH:BH,MATCH($B85,Program_01!$A:$A,0)),"")</f>
        <v>0</v>
      </c>
      <c r="BF85" s="189">
        <f ca="1">IFERROR(INDEX(Program_01!BI:BI,MATCH($B85,Program_01!$A:$A,0)),"")</f>
        <v>0</v>
      </c>
      <c r="BG85" s="181">
        <f>IFERROR(INDEX(Program_01!BJ:BJ,MATCH($B85,Program_01!$A:$A,0)),"")</f>
        <v>0</v>
      </c>
      <c r="BH85" s="189">
        <f ca="1">IFERROR(INDEX(Program_01!BK:BK,MATCH($B85,Program_01!$A:$A,0)),"")</f>
        <v>0</v>
      </c>
      <c r="BI85" s="181">
        <f>IFERROR(INDEX(Program_01!BL:BL,MATCH($B85,Program_01!$A:$A,0)),"")</f>
        <v>0</v>
      </c>
      <c r="BK85" s="190">
        <f>IFERROR(IF(INDEX(Program_01!$BX:$BX,MATCH($B85,Program_01!$A:$A,0))=DATE(1900,1,0),"",INDEX(Program_01!$BX:$BX,MATCH($B85,Program_01!$A:$A,0))),"")</f>
        <v>46002</v>
      </c>
      <c r="BL85" s="190" t="str">
        <f>IFERROR(IF(INDEX(Program_01!$BY:$BY,MATCH($B85,Program_01!$A:$A,0))=DATE(1900,1,0),"",INDEX(Program_01!$BY:$BY,MATCH($B85,Program_01!$A:$A,0))),"")</f>
        <v/>
      </c>
      <c r="BM85" s="188">
        <f t="shared" ca="1" si="39"/>
        <v>119</v>
      </c>
      <c r="BN85" s="191">
        <f t="shared" ca="1" si="40"/>
        <v>119</v>
      </c>
      <c r="BO85" s="188">
        <f t="shared" ca="1" si="34"/>
        <v>119</v>
      </c>
      <c r="BP85" s="188" t="str">
        <f t="shared" si="6"/>
        <v>1</v>
      </c>
      <c r="BQ85" s="188" t="str">
        <f t="shared" ca="1" si="41"/>
        <v/>
      </c>
      <c r="BR85" s="181" t="str">
        <f t="shared" ca="1" si="28"/>
        <v/>
      </c>
      <c r="BT85" s="190" t="str">
        <f>IFERROR(IF(INDEX(Program_01!$BZ:$BZ,MATCH($B85,Program_01!$A:$A,0))=DATE(1900,1,0),"",INDEX(Program_01!$BZ:$BZ,MATCH($B85,Program_01!$A:$A,0))),"")</f>
        <v/>
      </c>
      <c r="BU85" s="182" t="str">
        <f t="shared" ca="1" si="22"/>
        <v/>
      </c>
      <c r="BV85" s="188" t="str">
        <f t="shared" si="35"/>
        <v/>
      </c>
      <c r="BW85" s="188" t="str">
        <f t="shared" si="8"/>
        <v>1</v>
      </c>
      <c r="BX85" s="188" t="str">
        <f t="shared" ca="1" si="36"/>
        <v/>
      </c>
      <c r="BY85" s="181" t="str">
        <f t="shared" ca="1" si="29"/>
        <v/>
      </c>
      <c r="CA85" s="192" t="str">
        <f t="shared" si="20"/>
        <v>Y</v>
      </c>
      <c r="CB85" s="192" t="str">
        <f t="shared" si="21"/>
        <v>N</v>
      </c>
      <c r="CC85" s="193">
        <f>IFERROR(INDEX(Program_01!$CE:$CE,MATCH($B85,Program_01!$A:$A,0)),"")</f>
        <v>45781</v>
      </c>
      <c r="CD85" s="193">
        <f t="shared" si="31"/>
        <v>45781</v>
      </c>
      <c r="CG85" s="194">
        <f>IFERROR(INDEX(Program_01!$AT:$AT,MATCH($B85,Program_01!$A:$A,0)),"")</f>
        <v>0</v>
      </c>
      <c r="CH85" s="194">
        <f>IFERROR(INDEX(Program_01!$AX:$AX,MATCH($B85,Program_01!$A:$A,0)),"")</f>
        <v>0</v>
      </c>
    </row>
    <row r="86" spans="1:86" s="187" customFormat="1" ht="409.6">
      <c r="A86" s="174" t="s">
        <v>1</v>
      </c>
      <c r="B86" s="175">
        <v>68</v>
      </c>
      <c r="C86" s="176" t="str">
        <f>IFERROR(INDEX(Program_01!$B:$B,MATCH($B86,Program_01!$A:$A,0)),"")</f>
        <v>FULL TIA EAR</v>
      </c>
      <c r="D86" s="176" t="str">
        <f>IFERROR(INDEX(Program_01!$D:$D,MATCH($B86,Program_01!$A:$A,0)),"")</f>
        <v>1TB01009C04</v>
      </c>
      <c r="E86" s="176" t="str">
        <f>IFERROR(INDEX(Program_01!$E:$E,MATCH($B86,Program_01!$A:$A,0)),"")</f>
        <v>1.TB.01.009.01</v>
      </c>
      <c r="F86" s="176" t="str">
        <f>IFERROR(INDEX(Program_01!$F:$F,MATCH($B86,Program_01!$A:$A,0)),"")</f>
        <v>Marina Hotel 3</v>
      </c>
      <c r="G86" s="176" t="str">
        <f>IFERROR(INDEX(Program_01!$G:$G,MATCH($B86,Program_01!$A:$A,0)),"")</f>
        <v>Building Envelope GRC Works Package for Marina Hotel 3</v>
      </c>
      <c r="H86" s="176" t="str">
        <f>IFERROR(INDEX(Program_01!$H:$H,MATCH($B86,Program_01!$A:$A,0)),"")</f>
        <v>Arabian Tile Company</v>
      </c>
      <c r="I86" s="176" t="str">
        <f t="shared" si="37"/>
        <v>EOT</v>
      </c>
      <c r="J86" s="176">
        <f>IFERROR(INDEX(Program_01!$I:$I,MATCH($B86,Program_01!$A:$A,0)),"")</f>
        <v>1</v>
      </c>
      <c r="K86" s="176">
        <f>IFERROR(INDEX(Program_01!$J:$J,MATCH($B86,Program_01!$A:$A,0)),"")</f>
        <v>0</v>
      </c>
      <c r="L86" s="176">
        <f>IFERROR(INDEX(Program_01!$K:$K,MATCH($B86,Program_01!$A:$A,0)),"")</f>
        <v>0</v>
      </c>
      <c r="M86" s="176">
        <f>IFERROR(INDEX(Program_01!$L:$L,MATCH($B86,Program_01!$A:$A,0)),"")</f>
        <v>0</v>
      </c>
      <c r="N86" s="176">
        <f>IFERROR(INDEX(Program_01!$L:$L,MATCH($B86,Program_01!$A:$A,0)),"")</f>
        <v>0</v>
      </c>
      <c r="O86" s="176">
        <f>IFERROR(INDEX(Program_01!$N:$N,MATCH($B86,Program_01!$A:$A,0)),"")</f>
        <v>0</v>
      </c>
      <c r="P86" s="178"/>
      <c r="Q86" s="179" t="str">
        <f>IFERROR(INDEX(Program_01!$C:$C,MATCH($B86,Program_01!$A:$A,0)),"")</f>
        <v>Request for Extension of Time</v>
      </c>
      <c r="R86" s="176" t="str">
        <f>IFERROR(INDEX(Program_01!$V:$V,MATCH($B86,Program_01!$A:$A,0)),"")</f>
        <v>1TB01009-009C04-TIC-LTR-0024</v>
      </c>
      <c r="S86" s="180">
        <f>IFERROR(INDEX(Program_01!$W:$W,MATCH($B86,Program_01!$A:$A,0)),"")</f>
        <v>45778</v>
      </c>
      <c r="T86" s="178"/>
      <c r="U86" s="176" t="str">
        <f>IFERROR(INDEX(Program_01!$Z:$Z,MATCH($B86,Program_01!$A:$A,0)),"")</f>
        <v>1TB01009-009C04-AMA-LTR-0072 dated 05 May  2025</v>
      </c>
      <c r="V86" s="181">
        <f>IFERROR(INDEX(Program_01!$AA:$AA,MATCH($B86,Program_01!$A:$A,0)),"")</f>
        <v>45782</v>
      </c>
      <c r="W86" s="182">
        <f t="shared" ca="1" si="0"/>
        <v>4</v>
      </c>
      <c r="X86" s="51"/>
      <c r="Y86" s="179">
        <f>IFERROR(INDEX(Program_01!$BD:$BD,MATCH($B86,Program_01!$A:$A,0)),"")</f>
        <v>0</v>
      </c>
      <c r="Z86" s="51"/>
      <c r="AA86" s="183" t="str">
        <f>IFERROR(IF((INDEX(Program_01!$AD:$AD,MATCH($B86,Program_01!$A:$A,0))=""),INDEX(Program_01!$V:$V,MATCH($B86,Program_01!$A:$A,0)),INDEX(Program_01!$AD:$AD,MATCH($B86,Program_01!$A:$A,0))),"")</f>
        <v xml:space="preserve"> 1TB01009-009C04-TIC-LTR-0027 on 30 Jun 25
1TB01009-009C04-TIC-LTR-0067</v>
      </c>
      <c r="AB86" s="147">
        <f>IFERROR(IF((INDEX(Program_01!$AE:$AE,MATCH($B86,Program_01!$A:$A,0))=""),INDEX(Program_01!$W:$W,MATCH($B86,Program_01!$A:$A,0)),INDEX(Program_01!$AE:$AE,MATCH($B86,Program_01!$A:$A,0))),"")</f>
        <v>46182</v>
      </c>
      <c r="AC86" s="183">
        <f>IFERROR(IF($I86="EOT",INDEX(Program_01!$AN:$AN,MATCH($B86,Program_01!$A:$A,0)),INDEX(Program_01!$AY:$AY,MATCH($B86,Program_01!$A:$A,0))),"")</f>
        <v>0</v>
      </c>
      <c r="AD86" s="181">
        <f>IFERROR(IF($I86="EOT",INDEX(Program_01!$AO:$AO,MATCH($B86,Program_01!$A:$A,0)),INDEX(Program_01!$AZ:$AZ,MATCH($B86,Program_01!$A:$A,0))),"")</f>
        <v>0</v>
      </c>
      <c r="AE86" s="51"/>
      <c r="AF86" s="183"/>
      <c r="AG86" s="181"/>
      <c r="AH86" s="183" t="str">
        <f>IF(OR($D86="",$AS86="VO Issued",$AS86="Open"),"",IF(OR($AC86="Rejected",$AC86="Superseded",$AC86="Dealt Separately"),$AC86,IF($I86="EOT",INDEX(Program_01!$AR:$AR,MATCH($B86,Program_01!$A:$A,0)),INDEX(Program_01!$BB:$BB,MATCH($B86,Program_01!$A:$A,0)))))</f>
        <v/>
      </c>
      <c r="AI86" s="181" t="str">
        <f>IF(OR($A86="",$B86="",$I86="",$AS86="VO Issued",$AS86="Open"),"",IF(OR($AD86="N/A"),$AD86,IF($I86="EOT",INDEX(Program_01!$AS:$AS,MATCH($B86,Program_01!$A:$A,0)),INDEX(Program_01!$BC:$BC,MATCH($B86,Program_01!$A:$A,0)))))</f>
        <v/>
      </c>
      <c r="AJ86" s="183" t="str">
        <f>IF(OR($D86="",$I86="",$AS86="Determination Issued",$AS86="Rejected",$AS86="Open"),"",IF(OR($AH86="Rejected",$AH86="Dealt Separately",$AH86="Superseded",$AH86="Withdrawn"),"N/A",IF($I86="EOT",INDEX(Program_01!AR:AR,MATCH($B86,Program_01!A:A,0)),INDEX(Program_01!BB:BB,MATCH($B86,Program_01!A:A,0)))))</f>
        <v/>
      </c>
      <c r="AK86" s="181" t="str">
        <f>IF(OR($A86="",$B86="",$I86="",$AS86="Determination Issued",$AS86="Rejected",$AS86="Open"),"",IF($AJ86="N/A","N/A",IF($I86="EOT",INDEX(Program_01!AS:AS,MATCH($B86,Program_01!A:A,0)),INDEX(Program_01!BC:BC,MATCH($B86,Program_01!A:A,0)))))</f>
        <v/>
      </c>
      <c r="AL86" s="51"/>
      <c r="AM86" s="184">
        <f>IFERROR(INDEX(Program_01!$BT:$BT,MATCH($B86,Program_01!$A:$A,0)),"")</f>
        <v>0</v>
      </c>
      <c r="AN86" s="184">
        <f>IFERROR(INDEX(Program_01!$BU:$BU,MATCH($B86,Program_01!$A:$A,0)),"")</f>
        <v>0</v>
      </c>
      <c r="AO86" s="184">
        <f>IFERROR(INDEX(Program_01!$BV:$BV,MATCH($B86,Program_01!$A:$A,0)),"")</f>
        <v>0</v>
      </c>
      <c r="AP86" s="51" t="str">
        <f t="shared" si="12"/>
        <v/>
      </c>
      <c r="AQ86" s="184">
        <f>IFERROR(INDEX(Program_01!$BN:$BN,MATCH($B86,Program_01!$A:$A,0)),"")</f>
        <v>0</v>
      </c>
      <c r="AR86" s="184" t="str">
        <f>IFERROR(INDEX(Program_01!$BO:$BO,MATCH($B86,Program_01!$A:$A,0)),"")</f>
        <v>Pending</v>
      </c>
      <c r="AS86" s="184" t="str">
        <f>IFERROR(INDEX(Program_01!$BP:$BP,MATCH($B86,Program_01!$A:$A,0)),"")</f>
        <v>Open</v>
      </c>
      <c r="AT86" s="185" t="str">
        <f>IFERROR(INDEX(Program_01!$BQ:$BQ,MATCH($B86,Program_01!$A:$A,0)),"")</f>
        <v>Commercial Team</v>
      </c>
      <c r="AU86" s="179" t="str">
        <f>IFERROR(INDEX(Program_01!$BR:$BR,MATCH($B86,Program_01!$A:$A,0)),"")</f>
        <v>23 Feb 26: Ditto, comm to issue a 2nd follow up letter
08 March 26: follow up Letter to be issued on 21 March 26
06 Apr 26: Awaiting feedback from Contractor
20 Apr 26: Ditto, commercial to issue a follow up letter
04 May 26: RFA for LD to be Levied aganist Contractor (WF-079385) on  10 March 26. Accepted .
18 May 26: Notice of Termination issued on 13 May 26 via 1TB01009-009C04-AMA-LTR-0121
31 May 26: Ditto. Final Account under process. No further action required.  Please let us know if this can be closed. 
08 Jun 26: Contractor submitted updated claim via 1TB01009-009C04-TIC-LTR-0067
15 Jun 26: Ditto, NE to advise
27 June 26: The Employer's responses to the Contractor's letters ref.TIC-LTR-0067 &amp; 0068 was issued via letter ref. 1TB01009-009C04-AMA-LTR-0129
29 Jun 26: Commercial to prepare draft response to the most recent letter from contractor (ref. 1TB01009-009C04-TIC-LTR-0068 dated 08 June 26) related to the termination and submit to Legal for review.   - This letter was responded already on 25 June 26 Ref. 1TB01009-009C04-AMA-LTR-0129
12 Jul 26: Contractor's EOT submission shall be reviewed and if all details available, EAR shall be prepared by 20 Aug 26
13 Jul 26: Claims &amp; commercial to have meeting to discuss 
25 Jul 26: Planning has provided their comments on 25 Jul 26. Legal has recommend to issue a thoroughly reviewed feedback to the Contractor. Target date by 2 August 2026
01 Aug 26: Draft letter in relation to ARTIC's EOT claim sent to claims team for review and has been reverted for issuance on the same day, Comm to provide letter ref and WF ref
10 Aug 26: Letter ref. 1TB01009-009C04-AMA-LTR-0135 in WF-096363. Once approved will be issued. Meanwhile additional commercial comments are being prepared. letter issued to contractor, and awaiting response
22 Aug 26: Employer's comments issued through letter 1TB01009-009C04-AMA-LTR-0135 dated 10 Aug 26.
26 Aug 26: letter related EOT claim sent to claims team for review
30 Aug 26: reverted with comment to resubmit
31 Aug 26: updated draft letter sent to claims team and approved for issuance on the same day
07 Sep 26: Contractor responded to our letter through ref. 1TB01009-009C04-TIC-LTR-0078 dated 4 Sep 26. No new arguments, however confirmed that they will not resubmit their claim. RSG will proceed drafting the EAR based on the information available. Target date - 15 OCt 26
14 Sep 26: Draft letter in response to contractor's EOT sent to claims team for review, claims team approved and reverted to initiate WF
19 Sep 26: Commercial team working on EAR, expected issuance 30 Sep 2026
04 Oct 26: Commercial team working on EAR, expected issuance 25 Oct 2026</v>
      </c>
      <c r="AV86" s="186" t="str">
        <f t="shared" si="32"/>
        <v/>
      </c>
      <c r="AW86" s="186" t="str">
        <f t="shared" si="13"/>
        <v>OPEN</v>
      </c>
      <c r="AX86" s="186" t="str">
        <f t="shared" si="33"/>
        <v>OPEN</v>
      </c>
      <c r="AY86" s="181">
        <f t="shared" si="38"/>
        <v>46182</v>
      </c>
      <c r="AZ86" s="181" t="str">
        <f t="shared" si="27"/>
        <v/>
      </c>
      <c r="BA86" s="181" t="str">
        <f t="shared" si="4"/>
        <v/>
      </c>
      <c r="BC86" s="181">
        <f>IFERROR(INDEX(Program_01!BF:BF,MATCH($B86,Program_01!$A:$A,0)),"")</f>
        <v>46182</v>
      </c>
      <c r="BD86" s="188">
        <f ca="1">IFERROR(INDEX(Program_01!BG:BG,MATCH($B86,Program_01!$A:$A,0)),"")</f>
        <v>118</v>
      </c>
      <c r="BE86" s="181">
        <f>IFERROR(INDEX(Program_01!BH:BH,MATCH($B86,Program_01!$A:$A,0)),"")</f>
        <v>0</v>
      </c>
      <c r="BF86" s="189">
        <f ca="1">IFERROR(INDEX(Program_01!BI:BI,MATCH($B86,Program_01!$A:$A,0)),"")</f>
        <v>0</v>
      </c>
      <c r="BG86" s="181">
        <f>IFERROR(INDEX(Program_01!BJ:BJ,MATCH($B86,Program_01!$A:$A,0)),"")</f>
        <v>0</v>
      </c>
      <c r="BH86" s="189">
        <f ca="1">IFERROR(INDEX(Program_01!BK:BK,MATCH($B86,Program_01!$A:$A,0)),"")</f>
        <v>0</v>
      </c>
      <c r="BI86" s="181">
        <f>IFERROR(INDEX(Program_01!BL:BL,MATCH($B86,Program_01!$A:$A,0)),"")</f>
        <v>0</v>
      </c>
      <c r="BK86" s="190" t="str">
        <f>IFERROR(IF(INDEX(Program_01!$BX:$BX,MATCH($B86,Program_01!$A:$A,0))=DATE(1900,1,0),"",INDEX(Program_01!$BX:$BX,MATCH($B86,Program_01!$A:$A,0))),"")</f>
        <v/>
      </c>
      <c r="BL86" s="190" t="str">
        <f>IFERROR(IF(INDEX(Program_01!$BY:$BY,MATCH($B86,Program_01!$A:$A,0))=DATE(1900,1,0),"",INDEX(Program_01!$BY:$BY,MATCH($B86,Program_01!$A:$A,0))),"")</f>
        <v/>
      </c>
      <c r="BM86" s="188" t="str">
        <f t="shared" ca="1" si="39"/>
        <v/>
      </c>
      <c r="BN86" s="191">
        <f t="shared" ca="1" si="40"/>
        <v>118</v>
      </c>
      <c r="BO86" s="188" t="str">
        <f t="shared" si="34"/>
        <v/>
      </c>
      <c r="BP86" s="188" t="str">
        <f t="shared" si="6"/>
        <v/>
      </c>
      <c r="BQ86" s="188" t="str">
        <f t="shared" ca="1" si="41"/>
        <v/>
      </c>
      <c r="BR86" s="181" t="str">
        <f t="shared" ca="1" si="28"/>
        <v/>
      </c>
      <c r="BT86" s="190" t="str">
        <f>IFERROR(IF(INDEX(Program_01!$BZ:$BZ,MATCH($B86,Program_01!$A:$A,0))=DATE(1900,1,0),"",INDEX(Program_01!$BZ:$BZ,MATCH($B86,Program_01!$A:$A,0))),"")</f>
        <v/>
      </c>
      <c r="BU86" s="182" t="str">
        <f t="shared" ca="1" si="22"/>
        <v/>
      </c>
      <c r="BV86" s="188" t="str">
        <f t="shared" si="35"/>
        <v/>
      </c>
      <c r="BW86" s="188" t="str">
        <f t="shared" si="8"/>
        <v/>
      </c>
      <c r="BX86" s="188" t="str">
        <f t="shared" ca="1" si="36"/>
        <v/>
      </c>
      <c r="BY86" s="181" t="str">
        <f t="shared" ca="1" si="29"/>
        <v/>
      </c>
      <c r="CA86" s="192" t="str">
        <f t="shared" si="20"/>
        <v>N</v>
      </c>
      <c r="CB86" s="192" t="str">
        <f t="shared" si="21"/>
        <v>N</v>
      </c>
      <c r="CC86" s="193">
        <f>IFERROR(INDEX(Program_01!$CE:$CE,MATCH($B86,Program_01!$A:$A,0)),"")</f>
        <v>45781</v>
      </c>
      <c r="CD86" s="193">
        <f t="shared" si="31"/>
        <v>45781</v>
      </c>
      <c r="CG86" s="194">
        <f>IFERROR(INDEX(Program_01!$AT:$AT,MATCH($B86,Program_01!$A:$A,0)),"")</f>
        <v>0</v>
      </c>
      <c r="CH86" s="194">
        <f>IFERROR(INDEX(Program_01!$AX:$AX,MATCH($B86,Program_01!$A:$A,0)),"")</f>
        <v>0</v>
      </c>
    </row>
    <row r="87" spans="1:86" s="187" customFormat="1" ht="409.5" customHeight="1">
      <c r="A87" s="174" t="s">
        <v>1</v>
      </c>
      <c r="B87" s="175">
        <v>69</v>
      </c>
      <c r="C87" s="176" t="str">
        <f>IFERROR(INDEX(Program_01!$B:$B,MATCH($B87,Program_01!$A:$A,0)),"")</f>
        <v>COST EAR</v>
      </c>
      <c r="D87" s="176" t="str">
        <f>IFERROR(INDEX(Program_01!$D:$D,MATCH($B87,Program_01!$A:$A,0)),"")</f>
        <v>1TB01031C10</v>
      </c>
      <c r="E87" s="176" t="str">
        <f>IFERROR(INDEX(Program_01!$E:$E,MATCH($B87,Program_01!$A:$A,0)),"")</f>
        <v>1.TB.01.031.10</v>
      </c>
      <c r="F87" s="176" t="str">
        <f>IFERROR(INDEX(Program_01!$F:$F,MATCH($B87,Program_01!$A:$A,0)),"")</f>
        <v>The Marina</v>
      </c>
      <c r="G87" s="176" t="str">
        <f>IFERROR(INDEX(Program_01!$G:$G,MATCH($B87,Program_01!$A:$A,0)),"")</f>
        <v>Design, Engineering, Procurement and Construction of Floating Pontoons for a The Marina at AMAALA Triple Bay</v>
      </c>
      <c r="H87" s="176" t="str">
        <f>IFERROR(INDEX(Program_01!$H:$H,MATCH($B87,Program_01!$A:$A,0)),"")</f>
        <v xml:space="preserve">MME Marine Engineering LLC </v>
      </c>
      <c r="I87" s="176" t="str">
        <f t="shared" si="37"/>
        <v>Prolongation</v>
      </c>
      <c r="J87" s="176">
        <f>IFERROR(INDEX(Program_01!$I:$I,MATCH($B87,Program_01!$A:$A,0)),"")</f>
        <v>0</v>
      </c>
      <c r="K87" s="176">
        <f>IFERROR(INDEX(Program_01!$J:$J,MATCH($B87,Program_01!$A:$A,0)),"")</f>
        <v>1</v>
      </c>
      <c r="L87" s="176">
        <f>IFERROR(INDEX(Program_01!$K:$K,MATCH($B87,Program_01!$A:$A,0)),"")</f>
        <v>0</v>
      </c>
      <c r="M87" s="176">
        <f>IFERROR(INDEX(Program_01!$L:$L,MATCH($B87,Program_01!$A:$A,0)),"")</f>
        <v>0</v>
      </c>
      <c r="N87" s="176">
        <f>IFERROR(INDEX(Program_01!$L:$L,MATCH($B87,Program_01!$A:$A,0)),"")</f>
        <v>0</v>
      </c>
      <c r="O87" s="176">
        <f>IFERROR(INDEX(Program_01!$N:$N,MATCH($B87,Program_01!$A:$A,0)),"")</f>
        <v>0</v>
      </c>
      <c r="P87" s="178"/>
      <c r="Q87" s="179" t="str">
        <f>IFERROR(INDEX(Program_01!$C:$C,MATCH($B87,Program_01!$A:$A,0)),"")</f>
        <v>Costs Claim Requests associated with EOT-2 (cost claim related to item 61 above)</v>
      </c>
      <c r="R87" s="176" t="str">
        <f>IFERROR(INDEX(Program_01!$V:$V,MATCH($B87,Program_01!$A:$A,0)),"")</f>
        <v>1TB01031-031C10-MME-LTR-0039</v>
      </c>
      <c r="S87" s="180">
        <f>IFERROR(INDEX(Program_01!$W:$W,MATCH($B87,Program_01!$A:$A,0)),"")</f>
        <v>45810</v>
      </c>
      <c r="T87" s="178"/>
      <c r="U87" s="176" t="str">
        <f>IFERROR(INDEX(Program_01!$Z:$Z,MATCH($B87,Program_01!$A:$A,0)),"")</f>
        <v>AMA01031-GENCORR-001000</v>
      </c>
      <c r="V87" s="181">
        <f>IFERROR(INDEX(Program_01!$AA:$AA,MATCH($B87,Program_01!$A:$A,0)),"")</f>
        <v>45818</v>
      </c>
      <c r="W87" s="182">
        <f t="shared" ca="1" si="0"/>
        <v>8</v>
      </c>
      <c r="X87" s="51"/>
      <c r="Y87" s="179">
        <f>IFERROR(INDEX(Program_01!$BD:$BD,MATCH($B87,Program_01!$A:$A,0)),"")</f>
        <v>0</v>
      </c>
      <c r="Z87" s="51"/>
      <c r="AA87" s="183" t="str">
        <f>IFERROR(IF((INDEX(Program_01!$AD:$AD,MATCH($B87,Program_01!$A:$A,0))=""),INDEX(Program_01!$V:$V,MATCH($B87,Program_01!$A:$A,0)),INDEX(Program_01!$AD:$AD,MATCH($B87,Program_01!$A:$A,0))),"")</f>
        <v>1TB01031-031C10-MME-LTR-0055 on 27 Feb 26 
revised claim received via email on 12 Sep 26</v>
      </c>
      <c r="AB87" s="147">
        <f>IFERROR(IF((INDEX(Program_01!$AE:$AE,MATCH($B87,Program_01!$A:$A,0))=""),INDEX(Program_01!$W:$W,MATCH($B87,Program_01!$A:$A,0)),INDEX(Program_01!$AE:$AE,MATCH($B87,Program_01!$A:$A,0))),"")</f>
        <v>46277</v>
      </c>
      <c r="AC87" s="183">
        <f>IFERROR(IF($I87="EOT",INDEX(Program_01!$AN:$AN,MATCH($B87,Program_01!$A:$A,0)),INDEX(Program_01!$AY:$AY,MATCH($B87,Program_01!$A:$A,0))),"")</f>
        <v>0</v>
      </c>
      <c r="AD87" s="181">
        <f>IFERROR(IF($I87="EOT",INDEX(Program_01!$AO:$AO,MATCH($B87,Program_01!$A:$A,0)),INDEX(Program_01!$AZ:$AZ,MATCH($B87,Program_01!$A:$A,0))),"")</f>
        <v>0</v>
      </c>
      <c r="AE87" s="51"/>
      <c r="AF87" s="183"/>
      <c r="AG87" s="181"/>
      <c r="AH87" s="183" t="str">
        <f>IF(OR($D87="",$AS87="VO Issued",$AS87="Open"),"",IF(OR($AC87="Rejected",$AC87="Superseded",$AC87="Dealt Separately"),$AC87,IF($I87="EOT",INDEX(Program_01!$AR:$AR,MATCH($B87,Program_01!$A:$A,0)),INDEX(Program_01!$BB:$BB,MATCH($B87,Program_01!$A:$A,0)))))</f>
        <v/>
      </c>
      <c r="AI87" s="181" t="str">
        <f>IF(OR($A87="",$B87="",$I87="",$AS87="VO Issued",$AS87="Open"),"",IF(OR($AD87="N/A"),$AD87,IF($I87="EOT",INDEX(Program_01!$AS:$AS,MATCH($B87,Program_01!$A:$A,0)),INDEX(Program_01!$BC:$BC,MATCH($B87,Program_01!$A:$A,0)))))</f>
        <v/>
      </c>
      <c r="AJ87" s="183" t="str">
        <f>IF(OR($D87="",$I87="",$AS87="Determination Issued",$AS87="Rejected",$AS87="Open"),"",IF(OR($AH87="Rejected",$AH87="Dealt Separately",$AH87="Superseded",$AH87="Withdrawn"),"N/A",IF($I87="EOT",INDEX(Program_01!AR:AR,MATCH($B87,Program_01!A:A,0)),INDEX(Program_01!BB:BB,MATCH($B87,Program_01!A:A,0)))))</f>
        <v/>
      </c>
      <c r="AK87" s="181" t="str">
        <f>IF(OR($A87="",$B87="",$I87="",$AS87="Determination Issued",$AS87="Rejected",$AS87="Open"),"",IF($AJ87="N/A","N/A",IF($I87="EOT",INDEX(Program_01!AS:AS,MATCH($B87,Program_01!A:A,0)),INDEX(Program_01!BC:BC,MATCH($B87,Program_01!A:A,0)))))</f>
        <v/>
      </c>
      <c r="AL87" s="51"/>
      <c r="AM87" s="184">
        <f>IFERROR(INDEX(Program_01!$BT:$BT,MATCH($B87,Program_01!$A:$A,0)),"")</f>
        <v>0</v>
      </c>
      <c r="AN87" s="184">
        <f>IFERROR(INDEX(Program_01!$BU:$BU,MATCH($B87,Program_01!$A:$A,0)),"")</f>
        <v>0</v>
      </c>
      <c r="AO87" s="184">
        <f>IFERROR(INDEX(Program_01!$BV:$BV,MATCH($B87,Program_01!$A:$A,0)),"")</f>
        <v>0</v>
      </c>
      <c r="AP87" s="51" t="str">
        <f t="shared" si="12"/>
        <v/>
      </c>
      <c r="AQ87" s="184">
        <f>IFERROR(INDEX(Program_01!$BN:$BN,MATCH($B87,Program_01!$A:$A,0)),"")</f>
        <v>0</v>
      </c>
      <c r="AR87" s="184" t="str">
        <f>IFERROR(INDEX(Program_01!$BO:$BO,MATCH($B87,Program_01!$A:$A,0)),"")</f>
        <v>Pending</v>
      </c>
      <c r="AS87" s="184" t="str">
        <f>IFERROR(INDEX(Program_01!$BP:$BP,MATCH($B87,Program_01!$A:$A,0)),"")</f>
        <v>Open</v>
      </c>
      <c r="AT87" s="185" t="str">
        <f>IFERROR(INDEX(Program_01!$BQ:$BQ,MATCH($B87,Program_01!$A:$A,0)),"")</f>
        <v>Commercial Team</v>
      </c>
      <c r="AU87" s="179" t="str">
        <f>IFERROR(INDEX(Program_01!$BR:$BR,MATCH($B87,Program_01!$A:$A,0)),"")</f>
        <v>(cost claim related to item 61 above)
25 Jan 26 : Ditto ( EOT 2 EAR issued to contrator on 6th Jan2025 via 1TB01031-031C10-AMA-LTR-0062, contractor to submit cost claim based on EAR if accepted)
08 Feb 26: Contractor confirmed to submit the EOT-02 cost impact within this week
22 Feb 26:  the Contractor accepted EAR and confirmed that they are preparing a revised cost claim in line with the EAR, 1TB01031-031C10-MME-LTR-0054 received on 09 Feb 26.
08 March 26: Cost Claim is awaited from the contractor
06 Apr 26: Ditto
9 April 26:  Cost Claim is submiited 1TB01031-031C10-MME-LTR-0055, currently under review by Commercial Team 
20 Apr 26: Ditto, targeted to submit draft EAR for claims team by 28 May 26
04 May 26: Ditto
18 May 26: Ditto
31 May 26: Final Cost is being assessed after clarification meeting with MME on 15 th May 2026
04 Jun 26: Target to submit to claims by 30 June 26
15 Jun 26:  Ditto
29 June 26: Ditto
11 Jul 26: Cost Report draft sent to claims team for review
27 Jul 26: Ditto
09 Aug 26: Claims teams's observations on the submission reverted to commercial to review and request for further particulars from the contractor.
11 Aug 26: a workshop meeting was held between commercial &amp; claims, following to that another WS was held with the contractor and requested further supporting documents.
24 Aug 26:  Letter in WF
07 Sep 26: Second Work shop was held on 01Sept 202, additional information is requested to the contractor, response awaited
12 Sep 26: Contractor provided an advance copy of the revised claim via email (attachments via one drive link). commercial to request the contractor to submit the same officially via Aconex, Commercial currently reviewing the cost analysis 
19 Sep 26: Commercial has isued the revised cost assessment to Claims team for reviewe via Email on 13th Sep 2026, awaiting the response.
24 Sep 26: commercial to set up a meeting to discuss 
29 Sep 26: further to the meeting with commercial, action has been now set to claims team to review the cost
05 Oct 26: Commercial Team is adressing the Comments from Claims team received on 2 Oct 2026</v>
      </c>
      <c r="AV87" s="186" t="str">
        <f t="shared" si="32"/>
        <v/>
      </c>
      <c r="AW87" s="186" t="str">
        <f t="shared" si="13"/>
        <v>OPEN</v>
      </c>
      <c r="AX87" s="186" t="str">
        <f t="shared" si="33"/>
        <v>OPEN</v>
      </c>
      <c r="AY87" s="181">
        <f t="shared" si="38"/>
        <v>46277</v>
      </c>
      <c r="AZ87" s="181" t="str">
        <f t="shared" si="27"/>
        <v/>
      </c>
      <c r="BA87" s="181" t="str">
        <f t="shared" si="4"/>
        <v/>
      </c>
      <c r="BC87" s="181">
        <f>IFERROR(INDEX(Program_01!BF:BF,MATCH($B87,Program_01!$A:$A,0)),"")</f>
        <v>46277</v>
      </c>
      <c r="BD87" s="188">
        <f ca="1">IFERROR(INDEX(Program_01!BG:BG,MATCH($B87,Program_01!$A:$A,0)),"")</f>
        <v>23</v>
      </c>
      <c r="BE87" s="181">
        <f>IFERROR(INDEX(Program_01!BH:BH,MATCH($B87,Program_01!$A:$A,0)),"")</f>
        <v>0</v>
      </c>
      <c r="BF87" s="189" t="str">
        <f ca="1">IFERROR(INDEX(Program_01!BI:BI,MATCH($B87,Program_01!$A:$A,0)),"")</f>
        <v>N/A</v>
      </c>
      <c r="BG87" s="181">
        <f>IFERROR(INDEX(Program_01!BJ:BJ,MATCH($B87,Program_01!$A:$A,0)),"")</f>
        <v>0</v>
      </c>
      <c r="BH87" s="189">
        <f ca="1">IFERROR(INDEX(Program_01!BK:BK,MATCH($B87,Program_01!$A:$A,0)),"")</f>
        <v>0</v>
      </c>
      <c r="BI87" s="181">
        <f>IFERROR(INDEX(Program_01!BL:BL,MATCH($B87,Program_01!$A:$A,0)),"")</f>
        <v>0</v>
      </c>
      <c r="BK87" s="190" t="str">
        <f>IFERROR(IF(INDEX(Program_01!$BX:$BX,MATCH($B87,Program_01!$A:$A,0))=DATE(1900,1,0),"",INDEX(Program_01!$BX:$BX,MATCH($B87,Program_01!$A:$A,0))),"")</f>
        <v/>
      </c>
      <c r="BL87" s="190" t="str">
        <f>IFERROR(IF(INDEX(Program_01!$BY:$BY,MATCH($B87,Program_01!$A:$A,0))=DATE(1900,1,0),"",INDEX(Program_01!$BY:$BY,MATCH($B87,Program_01!$A:$A,0))),"")</f>
        <v/>
      </c>
      <c r="BM87" s="188" t="str">
        <f t="shared" ca="1" si="39"/>
        <v/>
      </c>
      <c r="BN87" s="191">
        <f t="shared" ca="1" si="40"/>
        <v>23</v>
      </c>
      <c r="BO87" s="188" t="str">
        <f t="shared" si="34"/>
        <v/>
      </c>
      <c r="BP87" s="188" t="str">
        <f t="shared" si="6"/>
        <v/>
      </c>
      <c r="BQ87" s="188" t="str">
        <f t="shared" ca="1" si="41"/>
        <v/>
      </c>
      <c r="BR87" s="181" t="str">
        <f t="shared" ca="1" si="28"/>
        <v/>
      </c>
      <c r="BT87" s="190" t="str">
        <f>IFERROR(IF(INDEX(Program_01!$BZ:$BZ,MATCH($B87,Program_01!$A:$A,0))=DATE(1900,1,0),"",INDEX(Program_01!$BZ:$BZ,MATCH($B87,Program_01!$A:$A,0))),"")</f>
        <v/>
      </c>
      <c r="BU87" s="182" t="str">
        <f t="shared" ca="1" si="22"/>
        <v/>
      </c>
      <c r="BV87" s="188" t="str">
        <f t="shared" si="35"/>
        <v/>
      </c>
      <c r="BW87" s="188" t="str">
        <f t="shared" si="8"/>
        <v/>
      </c>
      <c r="BX87" s="188" t="str">
        <f t="shared" ca="1" si="36"/>
        <v/>
      </c>
      <c r="BY87" s="181" t="str">
        <f t="shared" ca="1" si="29"/>
        <v/>
      </c>
      <c r="CA87" s="192" t="str">
        <f t="shared" si="20"/>
        <v>N</v>
      </c>
      <c r="CB87" s="192" t="str">
        <f t="shared" si="21"/>
        <v>N</v>
      </c>
      <c r="CC87" s="193">
        <f>IFERROR(INDEX(Program_01!$CE:$CE,MATCH($B87,Program_01!$A:$A,0)),"")</f>
        <v>45818</v>
      </c>
      <c r="CD87" s="193">
        <f t="shared" si="31"/>
        <v>45818</v>
      </c>
      <c r="CG87" s="194">
        <f>IFERROR(INDEX(Program_01!$AT:$AT,MATCH($B87,Program_01!$A:$A,0)),"")</f>
        <v>5155062.34</v>
      </c>
      <c r="CH87" s="194">
        <f>IFERROR(INDEX(Program_01!$AX:$AX,MATCH($B87,Program_01!$A:$A,0)),"")</f>
        <v>0</v>
      </c>
    </row>
    <row r="88" spans="1:86" s="187" customFormat="1" ht="340">
      <c r="A88" s="174" t="s">
        <v>1</v>
      </c>
      <c r="B88" s="175">
        <v>70</v>
      </c>
      <c r="C88" s="176" t="str">
        <f>IFERROR(INDEX(Program_01!$B:$B,MATCH($B88,Program_01!$A:$A,0)),"")</f>
        <v>FULL TIA EAR</v>
      </c>
      <c r="D88" s="176" t="str">
        <f>IFERROR(INDEX(Program_01!$D:$D,MATCH($B88,Program_01!$A:$A,0)),"")</f>
        <v>1TB01006C06</v>
      </c>
      <c r="E88" s="176" t="str">
        <f>IFERROR(INDEX(Program_01!$E:$E,MATCH($B88,Program_01!$A:$A,0)),"")</f>
        <v>1.TB.01.006.99</v>
      </c>
      <c r="F88" s="176" t="str">
        <f>IFERROR(INDEX(Program_01!$F:$F,MATCH($B88,Program_01!$A:$A,0)),"")</f>
        <v>Village Boutique Hotel</v>
      </c>
      <c r="G88" s="176" t="str">
        <f>IFERROR(INDEX(Program_01!$G:$G,MATCH($B88,Program_01!$A:$A,0)),"")</f>
        <v>Kitchen and Laundry Works for Village Boutique Hotel</v>
      </c>
      <c r="H88" s="176" t="str">
        <f>IFERROR(INDEX(Program_01!$H:$H,MATCH($B88,Program_01!$A:$A,0)),"")</f>
        <v>Abdulaziz Al Raqtan and Partners Company for Trading and Industry Company</v>
      </c>
      <c r="I88" s="176" t="str">
        <f t="shared" si="37"/>
        <v>EOT</v>
      </c>
      <c r="J88" s="176">
        <f>IFERROR(INDEX(Program_01!$I:$I,MATCH($B88,Program_01!$A:$A,0)),"")</f>
        <v>1</v>
      </c>
      <c r="K88" s="176">
        <f>IFERROR(INDEX(Program_01!$J:$J,MATCH($B88,Program_01!$A:$A,0)),"")</f>
        <v>0</v>
      </c>
      <c r="L88" s="176">
        <f>IFERROR(INDEX(Program_01!$K:$K,MATCH($B88,Program_01!$A:$A,0)),"")</f>
        <v>0</v>
      </c>
      <c r="M88" s="176">
        <f>IFERROR(INDEX(Program_01!$L:$L,MATCH($B88,Program_01!$A:$A,0)),"")</f>
        <v>0</v>
      </c>
      <c r="N88" s="176">
        <f>IFERROR(INDEX(Program_01!$L:$L,MATCH($B88,Program_01!$A:$A,0)),"")</f>
        <v>0</v>
      </c>
      <c r="O88" s="176">
        <f>IFERROR(INDEX(Program_01!$N:$N,MATCH($B88,Program_01!$A:$A,0)),"")</f>
        <v>0</v>
      </c>
      <c r="P88" s="178"/>
      <c r="Q88" s="179" t="str">
        <f>IFERROR(INDEX(Program_01!$C:$C,MATCH($B88,Program_01!$A:$A,0)),"")</f>
        <v>Extension fo Time Claim No. 1</v>
      </c>
      <c r="R88" s="176" t="str">
        <f>IFERROR(INDEX(Program_01!$V:$V,MATCH($B88,Program_01!$A:$A,0)),"")</f>
        <v>RAQTAN-CLM-000001</v>
      </c>
      <c r="S88" s="180">
        <f>IFERROR(INDEX(Program_01!$W:$W,MATCH($B88,Program_01!$A:$A,0)),"")</f>
        <v>45596</v>
      </c>
      <c r="T88" s="178"/>
      <c r="U88" s="176" t="str">
        <f>IFERROR(INDEX(Program_01!$Z:$Z,MATCH($B88,Program_01!$A:$A,0)),"")</f>
        <v>1Tb01006-006C06-AMA-LTR-0018</v>
      </c>
      <c r="V88" s="181">
        <f>IFERROR(INDEX(Program_01!$AA:$AA,MATCH($B88,Program_01!$A:$A,0)),"")</f>
        <v>45613</v>
      </c>
      <c r="W88" s="182">
        <f t="shared" ca="1" si="0"/>
        <v>17</v>
      </c>
      <c r="X88" s="51"/>
      <c r="Y88" s="179" t="str">
        <f>IFERROR(INDEX(Program_01!$BD:$BD,MATCH($B88,Program_01!$A:$A,0)),"")</f>
        <v>AMA01006-GENCORR-002811 dated 09 Feb 25
AMA01006-GENCORR-002834 dated 11 Feb 25
1TB01006-006C06-AMA-LTR-0028 dated 05 May</v>
      </c>
      <c r="Z88" s="51"/>
      <c r="AA88" s="183" t="str">
        <f>IFERROR(IF((INDEX(Program_01!$AD:$AD,MATCH($B88,Program_01!$A:$A,0))=""),INDEX(Program_01!$V:$V,MATCH($B88,Program_01!$A:$A,0)),INDEX(Program_01!$AD:$AD,MATCH($B88,Program_01!$A:$A,0))),"")</f>
        <v>1TB01006-006C06-RQN-FRM-PM-0002
(Raqtan-TRANSMIT-000105)</v>
      </c>
      <c r="AB88" s="147">
        <f>IFERROR(IF((INDEX(Program_01!$AE:$AE,MATCH($B88,Program_01!$A:$A,0))=""),INDEX(Program_01!$W:$W,MATCH($B88,Program_01!$A:$A,0)),INDEX(Program_01!$AE:$AE,MATCH($B88,Program_01!$A:$A,0))),"")</f>
        <v>45687</v>
      </c>
      <c r="AC88" s="183" t="str">
        <f>IFERROR(IF($I88="EOT",INDEX(Program_01!$AN:$AN,MATCH($B88,Program_01!$A:$A,0)),INDEX(Program_01!$AY:$AY,MATCH($B88,Program_01!$A:$A,0))),"")</f>
        <v>AMA01006-EMPI-000020 
1TB01006-006C06-AMA-EMI-CM-0002</v>
      </c>
      <c r="AD88" s="181">
        <f>IFERROR(IF($I88="EOT",INDEX(Program_01!$AO:$AO,MATCH($B88,Program_01!$A:$A,0)),INDEX(Program_01!$AZ:$AZ,MATCH($B88,Program_01!$A:$A,0))),"")</f>
        <v>45823</v>
      </c>
      <c r="AE88" s="51"/>
      <c r="AF88" s="183"/>
      <c r="AG88" s="181"/>
      <c r="AH88" s="183">
        <f>IF(OR($D88="",$AS88="VO Issued",$AS88="Open"),"",IF(OR($AC88="Rejected",$AC88="Superseded",$AC88="Dealt Separately"),$AC88,IF($I88="EOT",INDEX(Program_01!$AR:$AR,MATCH($B88,Program_01!$A:$A,0)),INDEX(Program_01!$BB:$BB,MATCH($B88,Program_01!$A:$A,0)))))</f>
        <v>0</v>
      </c>
      <c r="AI88" s="181">
        <f>IF(OR($A88="",$B88="",$I88="",$AS88="VO Issued",$AS88="Open"),"",IF(OR($AD88="N/A"),$AD88,IF($I88="EOT",INDEX(Program_01!$AS:$AS,MATCH($B88,Program_01!$A:$A,0)),INDEX(Program_01!$BC:$BC,MATCH($B88,Program_01!$A:$A,0)))))</f>
        <v>0</v>
      </c>
      <c r="AJ88" s="183">
        <f>IF(OR($D88="",$I88="",$AS88="Determination Issued",$AS88="Rejected",$AS88="Open"),"",IF(OR($AH88="Rejected",$AH88="Dealt Separately",$AH88="Superseded",$AH88="Withdrawn"),"N/A",IF($I88="EOT",INDEX(Program_01!AR:AR,MATCH($B88,Program_01!A:A,0)),INDEX(Program_01!BB:BB,MATCH($B88,Program_01!A:A,0)))))</f>
        <v>0</v>
      </c>
      <c r="AK88" s="181">
        <f>IF(OR($A88="",$B88="",$I88="",$AS88="Determination Issued",$AS88="Rejected",$AS88="Open"),"",IF($AJ88="N/A","N/A",IF($I88="EOT",INDEX(Program_01!AS:AS,MATCH($B88,Program_01!A:A,0)),INDEX(Program_01!BC:BC,MATCH($B88,Program_01!A:A,0)))))</f>
        <v>0</v>
      </c>
      <c r="AL88" s="51"/>
      <c r="AM88" s="184">
        <f>IFERROR(INDEX(Program_01!$BT:$BT,MATCH($B88,Program_01!$A:$A,0)),"")</f>
        <v>0</v>
      </c>
      <c r="AN88" s="184">
        <f>IFERROR(INDEX(Program_01!$BU:$BU,MATCH($B88,Program_01!$A:$A,0)),"")</f>
        <v>0</v>
      </c>
      <c r="AO88" s="184">
        <f>IFERROR(INDEX(Program_01!$BV:$BV,MATCH($B88,Program_01!$A:$A,0)),"")</f>
        <v>0</v>
      </c>
      <c r="AP88" s="51" t="str">
        <f t="shared" si="12"/>
        <v/>
      </c>
      <c r="AQ88" s="184" t="str">
        <f>IFERROR(INDEX(Program_01!$BN:$BN,MATCH($B88,Program_01!$A:$A,0)),"")</f>
        <v>Discretionary EOT / EI Issued</v>
      </c>
      <c r="AR88" s="184" t="str">
        <f>IFERROR(INDEX(Program_01!$BO:$BO,MATCH($B88,Program_01!$A:$A,0)),"")</f>
        <v>Not Applicable</v>
      </c>
      <c r="AS88" s="184" t="str">
        <f>IFERROR(INDEX(Program_01!$BP:$BP,MATCH($B88,Program_01!$A:$A,0)),"")</f>
        <v>EI Issued</v>
      </c>
      <c r="AT88" s="185" t="str">
        <f>IFERROR(INDEX(Program_01!$BQ:$BQ,MATCH($B88,Program_01!$A:$A,0)),"")</f>
        <v>Closed</v>
      </c>
      <c r="AU88" s="179" t="str">
        <f>IFERROR(INDEX(Program_01!$BR:$BR,MATCH($B88,Program_01!$A:$A,0)),"")</f>
        <v>3 Nov 2024 - EOT Claim No.1 received through Transmittal ref. RAQTAN-CLM-000001 dated 31 Oct 2024
17 Nov 24: Claim was rejected (Revise and resubmit) letter Ref/ 1Tb01006-006C06-AMA-LTR-0018 
04 Dec 24: Ditto. Awaiting contractor's resubmission
12  Dec 24 - Awaiting Contractor's resubmission
12 Jan 25: Ditto
27 Jan 25 - Ditto. commercial to follow up with contractor and get a target date for the resubmission
09 Feb 25 - Awaiting for Contractor's revised submission. Reminder sent to Contractor (AMA01006-GENCORR-002811
11 Feb 25 - Revised EOT submission received on 30 Jan 25 (Raqtan-TRANSMIT-000105). Commercial is reviewing
11 Feb 2025 Additional particulars requested, AMA01006-GENCORR-002834
16 Feb 25 - Awaiting Contractor's revised submission 
24 Feb 25 - ditto
10 Mar 25: Ditto
24 Mar 25: Ditto
09 Apr 25: Ditto
22 Apr 25: Ditto, commercial to chase the contractor for resubmission
03 May 25 -  Follow-up letter under WF-029852
05 may 25: Ditto
18 May 25 - Awaiting for Contractor's revised submission (follow up letter issued on 05 May (1TB01006-006C06-AMA-LTR-0028)
02 Jun 25: DEOT put in WF (WF-032410 - AMA01006-WTRAN-090895)
15 Jun 25: DEOT issued to contractor AMA01006-EMPI-000020</v>
      </c>
      <c r="AV88" s="186" t="str">
        <f t="shared" si="32"/>
        <v/>
      </c>
      <c r="AW88" s="186" t="str">
        <f t="shared" si="13"/>
        <v>CLOSED</v>
      </c>
      <c r="AX88" s="186" t="str">
        <f t="shared" si="33"/>
        <v>CLOSED</v>
      </c>
      <c r="AY88" s="181">
        <f t="shared" si="38"/>
        <v>45687</v>
      </c>
      <c r="AZ88" s="181">
        <f t="shared" si="27"/>
        <v>45823</v>
      </c>
      <c r="BA88" s="181">
        <f t="shared" si="4"/>
        <v>0</v>
      </c>
      <c r="BC88" s="181">
        <f>IFERROR(INDEX(Program_01!BF:BF,MATCH($B88,Program_01!$A:$A,0)),"")</f>
        <v>45687</v>
      </c>
      <c r="BD88" s="188" t="str">
        <f ca="1">IFERROR(INDEX(Program_01!BG:BG,MATCH($B88,Program_01!$A:$A,0)),"")</f>
        <v>N/A</v>
      </c>
      <c r="BE88" s="181">
        <f>IFERROR(INDEX(Program_01!BH:BH,MATCH($B88,Program_01!$A:$A,0)),"")</f>
        <v>0</v>
      </c>
      <c r="BF88" s="189">
        <f ca="1">IFERROR(INDEX(Program_01!BI:BI,MATCH($B88,Program_01!$A:$A,0)),"")</f>
        <v>0</v>
      </c>
      <c r="BG88" s="181">
        <f>IFERROR(INDEX(Program_01!BJ:BJ,MATCH($B88,Program_01!$A:$A,0)),"")</f>
        <v>0</v>
      </c>
      <c r="BH88" s="189">
        <f ca="1">IFERROR(INDEX(Program_01!BK:BK,MATCH($B88,Program_01!$A:$A,0)),"")</f>
        <v>0</v>
      </c>
      <c r="BI88" s="181">
        <f>IFERROR(INDEX(Program_01!BL:BL,MATCH($B88,Program_01!$A:$A,0)),"")</f>
        <v>0</v>
      </c>
      <c r="BK88" s="190" t="str">
        <f>IFERROR(IF(INDEX(Program_01!$BX:$BX,MATCH($B88,Program_01!$A:$A,0))=DATE(1900,1,0),"",INDEX(Program_01!$BX:$BX,MATCH($B88,Program_01!$A:$A,0))),"")</f>
        <v/>
      </c>
      <c r="BL88" s="190">
        <f>IFERROR(IF(INDEX(Program_01!$BY:$BY,MATCH($B88,Program_01!$A:$A,0))=DATE(1900,1,0),"",INDEX(Program_01!$BY:$BY,MATCH($B88,Program_01!$A:$A,0))),"")</f>
        <v>45823</v>
      </c>
      <c r="BM88" s="188">
        <f t="shared" ca="1" si="39"/>
        <v>136</v>
      </c>
      <c r="BN88" s="191">
        <f t="shared" ca="1" si="40"/>
        <v>0</v>
      </c>
      <c r="BO88" s="188" t="str">
        <f t="shared" si="34"/>
        <v/>
      </c>
      <c r="BP88" s="188" t="str">
        <f t="shared" si="6"/>
        <v>1</v>
      </c>
      <c r="BQ88" s="188" t="str">
        <f t="shared" ca="1" si="41"/>
        <v/>
      </c>
      <c r="BR88" s="181" t="str">
        <f t="shared" ca="1" si="28"/>
        <v/>
      </c>
      <c r="BT88" s="190" t="str">
        <f>IFERROR(IF(INDEX(Program_01!$BZ:$BZ,MATCH($B88,Program_01!$A:$A,0))=DATE(1900,1,0),"",INDEX(Program_01!$BZ:$BZ,MATCH($B88,Program_01!$A:$A,0))),"")</f>
        <v/>
      </c>
      <c r="BU88" s="182" t="str">
        <f t="shared" ca="1" si="22"/>
        <v/>
      </c>
      <c r="BV88" s="188" t="str">
        <f t="shared" si="35"/>
        <v/>
      </c>
      <c r="BW88" s="188" t="str">
        <f t="shared" si="8"/>
        <v>1</v>
      </c>
      <c r="BX88" s="188" t="str">
        <f t="shared" ca="1" si="36"/>
        <v/>
      </c>
      <c r="BY88" s="181" t="str">
        <f t="shared" ca="1" si="29"/>
        <v/>
      </c>
      <c r="CA88" s="192" t="str">
        <f t="shared" si="20"/>
        <v>N</v>
      </c>
      <c r="CB88" s="192" t="str">
        <f t="shared" si="21"/>
        <v>N</v>
      </c>
      <c r="CC88" s="193">
        <f>IFERROR(INDEX(Program_01!$CE:$CE,MATCH($B88,Program_01!$A:$A,0)),"")</f>
        <v>45823</v>
      </c>
      <c r="CD88" s="193">
        <f t="shared" si="31"/>
        <v>45823</v>
      </c>
      <c r="CG88" s="194">
        <f>IFERROR(INDEX(Program_01!$AT:$AT,MATCH($B88,Program_01!$A:$A,0)),"")</f>
        <v>0</v>
      </c>
      <c r="CH88" s="194">
        <f>IFERROR(INDEX(Program_01!$AX:$AX,MATCH($B88,Program_01!$A:$A,0)),"")</f>
        <v>0</v>
      </c>
    </row>
    <row r="89" spans="1:86" s="187" customFormat="1" ht="357" customHeight="1">
      <c r="A89" s="174" t="s">
        <v>1</v>
      </c>
      <c r="B89" s="175">
        <v>71</v>
      </c>
      <c r="C89" s="176" t="str">
        <f>IFERROR(INDEX(Program_01!$B:$B,MATCH($B89,Program_01!$A:$A,0)),"")</f>
        <v>FULL TIA EAR</v>
      </c>
      <c r="D89" s="176" t="str">
        <f>IFERROR(INDEX(Program_01!$D:$D,MATCH($B89,Program_01!$A:$A,0)),"")</f>
        <v>1TB01005C24</v>
      </c>
      <c r="E89" s="176" t="str">
        <f>IFERROR(INDEX(Program_01!$E:$E,MATCH($B89,Program_01!$A:$A,0)),"")</f>
        <v>1.TB.01.005.01</v>
      </c>
      <c r="F89" s="176" t="str">
        <f>IFERROR(INDEX(Program_01!$F:$F,MATCH($B89,Program_01!$A:$A,0)),"")</f>
        <v>Red Sea Marine Life Institute</v>
      </c>
      <c r="G89" s="176" t="str">
        <f>IFERROR(INDEX(Program_01!$G:$G,MATCH($B89,Program_01!$A:$A,0)),"")</f>
        <v>Grand Reveal Basin Fitout (Rock Theming)</v>
      </c>
      <c r="H89" s="176" t="str">
        <f>IFERROR(INDEX(Program_01!$H:$H,MATCH($B89,Program_01!$A:$A,0)),"")</f>
        <v>Pangea Rocks A/S</v>
      </c>
      <c r="I89" s="176" t="str">
        <f t="shared" si="37"/>
        <v>EOT</v>
      </c>
      <c r="J89" s="176">
        <f>IFERROR(INDEX(Program_01!$I:$I,MATCH($B89,Program_01!$A:$A,0)),"")</f>
        <v>1</v>
      </c>
      <c r="K89" s="176">
        <f>IFERROR(INDEX(Program_01!$J:$J,MATCH($B89,Program_01!$A:$A,0)),"")</f>
        <v>0</v>
      </c>
      <c r="L89" s="176">
        <f>IFERROR(INDEX(Program_01!$K:$K,MATCH($B89,Program_01!$A:$A,0)),"")</f>
        <v>0</v>
      </c>
      <c r="M89" s="176">
        <f>IFERROR(INDEX(Program_01!$L:$L,MATCH($B89,Program_01!$A:$A,0)),"")</f>
        <v>0</v>
      </c>
      <c r="N89" s="176">
        <f>IFERROR(INDEX(Program_01!$L:$L,MATCH($B89,Program_01!$A:$A,0)),"")</f>
        <v>0</v>
      </c>
      <c r="O89" s="176">
        <f>IFERROR(INDEX(Program_01!$N:$N,MATCH($B89,Program_01!$A:$A,0)),"")</f>
        <v>0</v>
      </c>
      <c r="P89" s="178"/>
      <c r="Q89" s="179" t="str">
        <f>IFERROR(INDEX(Program_01!$C:$C,MATCH($B89,Program_01!$A:$A,0)),"")</f>
        <v>Extension of Time - Claim No. 01</v>
      </c>
      <c r="R89" s="176" t="str">
        <f>IFERROR(INDEX(Program_01!$V:$V,MATCH($B89,Program_01!$A:$A,0)),"")</f>
        <v>1TB01005-005C24-PRA-LTR-0007</v>
      </c>
      <c r="S89" s="180">
        <f>IFERROR(INDEX(Program_01!$W:$W,MATCH($B89,Program_01!$A:$A,0)),"")</f>
        <v>45628</v>
      </c>
      <c r="T89" s="178"/>
      <c r="U89" s="176" t="str">
        <f>IFERROR(INDEX(Program_01!$Z:$Z,MATCH($B89,Program_01!$A:$A,0)),"")</f>
        <v>1TB01005-005C24-AMA-LTR-0027</v>
      </c>
      <c r="V89" s="181">
        <f>IFERROR(INDEX(Program_01!$AA:$AA,MATCH($B89,Program_01!$A:$A,0)),"")</f>
        <v>45642</v>
      </c>
      <c r="W89" s="182">
        <f t="shared" ca="1" si="0"/>
        <v>14</v>
      </c>
      <c r="X89" s="51"/>
      <c r="Y89" s="179">
        <f>IFERROR(INDEX(Program_01!$BD:$BD,MATCH($B89,Program_01!$A:$A,0)),"")</f>
        <v>0</v>
      </c>
      <c r="Z89" s="51"/>
      <c r="AA89" s="183" t="str">
        <f>IFERROR(IF((INDEX(Program_01!$AD:$AD,MATCH($B89,Program_01!$A:$A,0))=""),INDEX(Program_01!$V:$V,MATCH($B89,Program_01!$A:$A,0)),INDEX(Program_01!$AD:$AD,MATCH($B89,Program_01!$A:$A,0))),"")</f>
        <v>1TB01005-005C24-PRA-LTR-0011</v>
      </c>
      <c r="AB89" s="147">
        <f>IFERROR(IF((INDEX(Program_01!$AE:$AE,MATCH($B89,Program_01!$A:$A,0))=""),INDEX(Program_01!$W:$W,MATCH($B89,Program_01!$A:$A,0)),INDEX(Program_01!$AE:$AE,MATCH($B89,Program_01!$A:$A,0))),"")</f>
        <v>45752</v>
      </c>
      <c r="AC89" s="183" t="str">
        <f>IFERROR(IF($I89="EOT",INDEX(Program_01!$AN:$AN,MATCH($B89,Program_01!$A:$A,0)),INDEX(Program_01!$AY:$AY,MATCH($B89,Program_01!$A:$A,0))),"")</f>
        <v>1TB01005-005C24-AMA-LTR-0037</v>
      </c>
      <c r="AD89" s="181">
        <f>IFERROR(IF($I89="EOT",INDEX(Program_01!$AO:$AO,MATCH($B89,Program_01!$A:$A,0)),INDEX(Program_01!$AZ:$AZ,MATCH($B89,Program_01!$A:$A,0))),"")</f>
        <v>45823</v>
      </c>
      <c r="AE89" s="51"/>
      <c r="AF89" s="183"/>
      <c r="AG89" s="181"/>
      <c r="AH89" s="183">
        <f>IF(OR($D89="",$AS89="VO Issued",$AS89="Open"),"",IF(OR($AC89="Rejected",$AC89="Superseded",$AC89="Dealt Separately"),$AC89,IF($I89="EOT",INDEX(Program_01!$AR:$AR,MATCH($B89,Program_01!$A:$A,0)),INDEX(Program_01!$BB:$BB,MATCH($B89,Program_01!$A:$A,0)))))</f>
        <v>0</v>
      </c>
      <c r="AI89" s="181">
        <f>IF(OR($A89="",$B89="",$I89="",$AS89="VO Issued",$AS89="Open"),"",IF(OR($AD89="N/A"),$AD89,IF($I89="EOT",INDEX(Program_01!$AS:$AS,MATCH($B89,Program_01!$A:$A,0)),INDEX(Program_01!$BC:$BC,MATCH($B89,Program_01!$A:$A,0)))))</f>
        <v>0</v>
      </c>
      <c r="AJ89" s="183">
        <f>IF(OR($D89="",$I89="",$AS89="Determination Issued",$AS89="Rejected",$AS89="Open"),"",IF(OR($AH89="Rejected",$AH89="Dealt Separately",$AH89="Superseded",$AH89="Withdrawn"),"N/A",IF($I89="EOT",INDEX(Program_01!AR:AR,MATCH($B89,Program_01!A:A,0)),INDEX(Program_01!BB:BB,MATCH($B89,Program_01!A:A,0)))))</f>
        <v>0</v>
      </c>
      <c r="AK89" s="181">
        <f>IF(OR($A89="",$B89="",$I89="",$AS89="Determination Issued",$AS89="Rejected",$AS89="Open"),"",IF($AJ89="N/A","N/A",IF($I89="EOT",INDEX(Program_01!AS:AS,MATCH($B89,Program_01!A:A,0)),INDEX(Program_01!BC:BC,MATCH($B89,Program_01!A:A,0)))))</f>
        <v>0</v>
      </c>
      <c r="AL89" s="51"/>
      <c r="AM89" s="184">
        <f>IFERROR(INDEX(Program_01!$BT:$BT,MATCH($B89,Program_01!$A:$A,0)),"")</f>
        <v>0</v>
      </c>
      <c r="AN89" s="184">
        <f>IFERROR(INDEX(Program_01!$BU:$BU,MATCH($B89,Program_01!$A:$A,0)),"")</f>
        <v>0</v>
      </c>
      <c r="AO89" s="184">
        <f>IFERROR(INDEX(Program_01!$BV:$BV,MATCH($B89,Program_01!$A:$A,0)),"")</f>
        <v>0</v>
      </c>
      <c r="AP89" s="51" t="str">
        <f t="shared" si="12"/>
        <v/>
      </c>
      <c r="AQ89" s="184" t="str">
        <f>IFERROR(INDEX(Program_01!$BN:$BN,MATCH($B89,Program_01!$A:$A,0)),"")</f>
        <v>Discretionary EOT / EI Issued</v>
      </c>
      <c r="AR89" s="184" t="str">
        <f>IFERROR(INDEX(Program_01!$BO:$BO,MATCH($B89,Program_01!$A:$A,0)),"")</f>
        <v>Not Applicable</v>
      </c>
      <c r="AS89" s="184" t="str">
        <f>IFERROR(INDEX(Program_01!$BP:$BP,MATCH($B89,Program_01!$A:$A,0)),"")</f>
        <v>EI Issued</v>
      </c>
      <c r="AT89" s="185" t="str">
        <f>IFERROR(INDEX(Program_01!$BQ:$BQ,MATCH($B89,Program_01!$A:$A,0)),"")</f>
        <v>Closed</v>
      </c>
      <c r="AU89" s="179" t="str">
        <f>IFERROR(INDEX(Program_01!$BR:$BR,MATCH($B89,Program_01!$A:$A,0)),"")</f>
        <v>24 Feb 25: Draft report not yet commenced, revised target 06Mar.
09 Mar 25: Draft report preparation on going - will be issued to Claims by 13 Mar
10 Mar 25: Draft report preparation on going while awaiting resubmission from contractor - targeted to be issued to Claims by 13 Mar
23 Mar 25 - Project team finalising report, target issue to Claims by 30 Mar
09 Apr 25 - Ditto - target date mid Apr
19 Apr 25 - Revised ToC submitted by Contractor on 5th April  (1TB01005-005C24-PRA-LTR-0011). Project team working on EoT assessment report. commercial to commit a date for finalisation of the claims by next meeting
05 May 25 - Information recieved from the delivery team on 22 Apr. Commercial will finalise the report by the 22nd May
19 May 25 - Commercial assessment report will be issued to claims by 22 May. Planning rejected the revised Contractor's revised TIA assessment following a workshop with the Contractor on the 13th May. The Contractor will update and resubmit. Rejection letter issued in WF-029469  (1TB01005-005C24-AMA-LTR-0036)
29 May 25: Draft EAR sent to claims team for review
01 June 25 - EOT Commercial assessment report issued to claims. Discretionary award EI in WF (Aconex ref WF-030051).
Discretionary award EI issued on  15 June 25 via aconex Ref: 1TB01005-005C24-AMA-LTR-0037
15 Jun 25: EAR with claims for review
17 Jun 25: furtehr to a meeting bw planning and claims, an early draft report of the Pangea shared with planning team to start with the TIA
23 Jun 25: Contractor to resubmit updated claim to proceed with TIA</v>
      </c>
      <c r="AV89" s="186" t="str">
        <f t="shared" si="32"/>
        <v/>
      </c>
      <c r="AW89" s="186" t="str">
        <f t="shared" si="13"/>
        <v>CLOSED</v>
      </c>
      <c r="AX89" s="186" t="str">
        <f t="shared" si="33"/>
        <v>CLOSED</v>
      </c>
      <c r="AY89" s="181">
        <f t="shared" si="38"/>
        <v>45752</v>
      </c>
      <c r="AZ89" s="181">
        <f t="shared" si="27"/>
        <v>45823</v>
      </c>
      <c r="BA89" s="181">
        <f t="shared" si="4"/>
        <v>0</v>
      </c>
      <c r="BC89" s="181">
        <f>IFERROR(INDEX(Program_01!BF:BF,MATCH($B89,Program_01!$A:$A,0)),"")</f>
        <v>45752</v>
      </c>
      <c r="BD89" s="188" t="str">
        <f ca="1">IFERROR(INDEX(Program_01!BG:BG,MATCH($B89,Program_01!$A:$A,0)),"")</f>
        <v>N/A</v>
      </c>
      <c r="BE89" s="181">
        <f>IFERROR(INDEX(Program_01!BH:BH,MATCH($B89,Program_01!$A:$A,0)),"")</f>
        <v>0</v>
      </c>
      <c r="BF89" s="189">
        <f ca="1">IFERROR(INDEX(Program_01!BI:BI,MATCH($B89,Program_01!$A:$A,0)),"")</f>
        <v>0</v>
      </c>
      <c r="BG89" s="181">
        <f>IFERROR(INDEX(Program_01!BJ:BJ,MATCH($B89,Program_01!$A:$A,0)),"")</f>
        <v>0</v>
      </c>
      <c r="BH89" s="189">
        <f ca="1">IFERROR(INDEX(Program_01!BK:BK,MATCH($B89,Program_01!$A:$A,0)),"")</f>
        <v>0</v>
      </c>
      <c r="BI89" s="181">
        <f>IFERROR(INDEX(Program_01!BL:BL,MATCH($B89,Program_01!$A:$A,0)),"")</f>
        <v>0</v>
      </c>
      <c r="BK89" s="190" t="str">
        <f>IFERROR(IF(INDEX(Program_01!$BX:$BX,MATCH($B89,Program_01!$A:$A,0))=DATE(1900,1,0),"",INDEX(Program_01!$BX:$BX,MATCH($B89,Program_01!$A:$A,0))),"")</f>
        <v/>
      </c>
      <c r="BL89" s="190">
        <f>IFERROR(IF(INDEX(Program_01!$BY:$BY,MATCH($B89,Program_01!$A:$A,0))=DATE(1900,1,0),"",INDEX(Program_01!$BY:$BY,MATCH($B89,Program_01!$A:$A,0))),"")</f>
        <v>45823</v>
      </c>
      <c r="BM89" s="188">
        <f t="shared" ca="1" si="39"/>
        <v>71</v>
      </c>
      <c r="BN89" s="191">
        <f t="shared" ca="1" si="40"/>
        <v>0</v>
      </c>
      <c r="BO89" s="188" t="str">
        <f t="shared" si="34"/>
        <v/>
      </c>
      <c r="BP89" s="188" t="str">
        <f t="shared" si="6"/>
        <v>1</v>
      </c>
      <c r="BQ89" s="188" t="str">
        <f t="shared" ca="1" si="41"/>
        <v/>
      </c>
      <c r="BR89" s="181" t="str">
        <f t="shared" ca="1" si="28"/>
        <v/>
      </c>
      <c r="BT89" s="190" t="str">
        <f>IFERROR(IF(INDEX(Program_01!$BZ:$BZ,MATCH($B89,Program_01!$A:$A,0))=DATE(1900,1,0),"",INDEX(Program_01!$BZ:$BZ,MATCH($B89,Program_01!$A:$A,0))),"")</f>
        <v/>
      </c>
      <c r="BU89" s="182" t="str">
        <f t="shared" ca="1" si="22"/>
        <v/>
      </c>
      <c r="BV89" s="188" t="str">
        <f t="shared" si="35"/>
        <v/>
      </c>
      <c r="BW89" s="188" t="str">
        <f t="shared" si="8"/>
        <v>1</v>
      </c>
      <c r="BX89" s="188" t="str">
        <f t="shared" ca="1" si="36"/>
        <v/>
      </c>
      <c r="BY89" s="181" t="str">
        <f t="shared" ca="1" si="29"/>
        <v/>
      </c>
      <c r="CA89" s="192" t="str">
        <f t="shared" si="20"/>
        <v>N</v>
      </c>
      <c r="CB89" s="192" t="str">
        <f t="shared" si="21"/>
        <v>N</v>
      </c>
      <c r="CC89" s="193">
        <f>IFERROR(INDEX(Program_01!$CE:$CE,MATCH($B89,Program_01!$A:$A,0)),"")</f>
        <v>45823</v>
      </c>
      <c r="CD89" s="193">
        <f t="shared" si="31"/>
        <v>45823</v>
      </c>
      <c r="CG89" s="194">
        <f>IFERROR(INDEX(Program_01!$AT:$AT,MATCH($B89,Program_01!$A:$A,0)),"")</f>
        <v>0</v>
      </c>
      <c r="CH89" s="194">
        <f>IFERROR(INDEX(Program_01!$AX:$AX,MATCH($B89,Program_01!$A:$A,0)),"")</f>
        <v>0</v>
      </c>
    </row>
    <row r="90" spans="1:86" s="187" customFormat="1" ht="153">
      <c r="A90" s="174" t="s">
        <v>1</v>
      </c>
      <c r="B90" s="175">
        <v>72</v>
      </c>
      <c r="C90" s="176" t="str">
        <f>IFERROR(INDEX(Program_01!$B:$B,MATCH($B90,Program_01!$A:$A,0)),"")</f>
        <v>FULL TIA EAR</v>
      </c>
      <c r="D90" s="176" t="str">
        <f>IFERROR(INDEX(Program_01!$D:$D,MATCH($B90,Program_01!$A:$A,0)),"")</f>
        <v>1TB01006C03</v>
      </c>
      <c r="E90" s="176" t="str">
        <f>IFERROR(INDEX(Program_01!$E:$E,MATCH($B90,Program_01!$A:$A,0)),"")</f>
        <v>1.TB.01.006.99</v>
      </c>
      <c r="F90" s="176" t="str">
        <f>IFERROR(INDEX(Program_01!$F:$F,MATCH($B90,Program_01!$A:$A,0)),"")</f>
        <v>Village Boutique Hotel</v>
      </c>
      <c r="G90" s="176" t="str">
        <f>IFERROR(INDEX(Program_01!$G:$G,MATCH($B90,Program_01!$A:$A,0)),"")</f>
        <v>Concrete Structure and Civil Works for Village Boutique Hotel</v>
      </c>
      <c r="H90" s="176" t="str">
        <f>IFERROR(INDEX(Program_01!$H:$H,MATCH($B90,Program_01!$A:$A,0)),"")</f>
        <v>Mounes Mohamed Al Shayeb and Partners for Civil Construction - MOBCO</v>
      </c>
      <c r="I90" s="176" t="str">
        <f t="shared" si="37"/>
        <v>EOT</v>
      </c>
      <c r="J90" s="176">
        <f>IFERROR(INDEX(Program_01!$I:$I,MATCH($B90,Program_01!$A:$A,0)),"")</f>
        <v>1</v>
      </c>
      <c r="K90" s="176">
        <f>IFERROR(INDEX(Program_01!$J:$J,MATCH($B90,Program_01!$A:$A,0)),"")</f>
        <v>0</v>
      </c>
      <c r="L90" s="176">
        <f>IFERROR(INDEX(Program_01!$K:$K,MATCH($B90,Program_01!$A:$A,0)),"")</f>
        <v>0</v>
      </c>
      <c r="M90" s="176">
        <f>IFERROR(INDEX(Program_01!$L:$L,MATCH($B90,Program_01!$A:$A,0)),"")</f>
        <v>0</v>
      </c>
      <c r="N90" s="176">
        <f>IFERROR(INDEX(Program_01!$L:$L,MATCH($B90,Program_01!$A:$A,0)),"")</f>
        <v>0</v>
      </c>
      <c r="O90" s="176">
        <f>IFERROR(INDEX(Program_01!$N:$N,MATCH($B90,Program_01!$A:$A,0)),"")</f>
        <v>0</v>
      </c>
      <c r="P90" s="178"/>
      <c r="Q90" s="179" t="str">
        <f>IFERROR(INDEX(Program_01!$C:$C,MATCH($B90,Program_01!$A:$A,0)),"")</f>
        <v xml:space="preserve">EOT Claim No. 3 - up to Nov 10, 2023 (Delay in Issuing IFC Drawings, Delay in Providing Benchmarks and coordination drawings with SANSRS Coordinates, Delay in providing access (site handover) - update of Item 5
</v>
      </c>
      <c r="R90" s="176" t="str">
        <f>IFERROR(INDEX(Program_01!$V:$V,MATCH($B90,Program_01!$A:$A,0)),"")</f>
        <v>Start is the date of the email from Planning where they decided to issue a DEOT</v>
      </c>
      <c r="S90" s="180">
        <f>IFERROR(INDEX(Program_01!$W:$W,MATCH($B90,Program_01!$A:$A,0)),"")</f>
        <v>45686</v>
      </c>
      <c r="T90" s="178"/>
      <c r="U90" s="176">
        <f>IFERROR(INDEX(Program_01!$Z:$Z,MATCH($B90,Program_01!$A:$A,0)),"")</f>
        <v>0</v>
      </c>
      <c r="V90" s="181" t="str">
        <f>IFERROR(INDEX(Program_01!$AA:$AA,MATCH($B90,Program_01!$A:$A,0)),"")</f>
        <v>N/A</v>
      </c>
      <c r="W90" s="182" t="str">
        <f t="shared" ca="1" si="0"/>
        <v/>
      </c>
      <c r="X90" s="51"/>
      <c r="Y90" s="179">
        <f>IFERROR(INDEX(Program_01!$BD:$BD,MATCH($B90,Program_01!$A:$A,0)),"")</f>
        <v>0</v>
      </c>
      <c r="Z90" s="51"/>
      <c r="AA90" s="183" t="str">
        <f>IFERROR(IF((INDEX(Program_01!$AD:$AD,MATCH($B90,Program_01!$A:$A,0))=""),INDEX(Program_01!$V:$V,MATCH($B90,Program_01!$A:$A,0)),INDEX(Program_01!$AD:$AD,MATCH($B90,Program_01!$A:$A,0))),"")</f>
        <v>Start is the date of the email from Planning where they decided to issue a DEOT</v>
      </c>
      <c r="AB90" s="147">
        <f>IFERROR(IF((INDEX(Program_01!$AE:$AE,MATCH($B90,Program_01!$A:$A,0))=""),INDEX(Program_01!$W:$W,MATCH($B90,Program_01!$A:$A,0)),INDEX(Program_01!$AE:$AE,MATCH($B90,Program_01!$A:$A,0))),"")</f>
        <v>45686</v>
      </c>
      <c r="AC90" s="183" t="str">
        <f>IFERROR(IF($I90="EOT",INDEX(Program_01!$AN:$AN,MATCH($B90,Program_01!$A:$A,0)),INDEX(Program_01!$AY:$AY,MATCH($B90,Program_01!$A:$A,0))),"")</f>
        <v>1TB01006-006C03-AMA-EMI-PM-0001
AMA01006-EMPI-000012</v>
      </c>
      <c r="AD90" s="181">
        <f>IFERROR(IF($I90="EOT",INDEX(Program_01!$AO:$AO,MATCH($B90,Program_01!$A:$A,0)),INDEX(Program_01!$AZ:$AZ,MATCH($B90,Program_01!$A:$A,0))),"")</f>
        <v>45763</v>
      </c>
      <c r="AE90" s="51"/>
      <c r="AF90" s="183"/>
      <c r="AG90" s="181"/>
      <c r="AH90" s="183">
        <f>IF(OR($D90="",$AS90="VO Issued",$AS90="Open"),"",IF(OR($AC90="Rejected",$AC90="Superseded",$AC90="Dealt Separately"),$AC90,IF($I90="EOT",INDEX(Program_01!$AR:$AR,MATCH($B90,Program_01!$A:$A,0)),INDEX(Program_01!$BB:$BB,MATCH($B90,Program_01!$A:$A,0)))))</f>
        <v>0</v>
      </c>
      <c r="AI90" s="181">
        <f>IF(OR($A90="",$B90="",$I90="",$AS90="VO Issued",$AS90="Open"),"",IF(OR($AD90="N/A"),$AD90,IF($I90="EOT",INDEX(Program_01!$AS:$AS,MATCH($B90,Program_01!$A:$A,0)),INDEX(Program_01!$BC:$BC,MATCH($B90,Program_01!$A:$A,0)))))</f>
        <v>0</v>
      </c>
      <c r="AJ90" s="183">
        <f>IF(OR($D90="",$I90="",$AS90="Determination Issued",$AS90="Rejected",$AS90="Open"),"",IF(OR($AH90="Rejected",$AH90="Dealt Separately",$AH90="Superseded",$AH90="Withdrawn"),"N/A",IF($I90="EOT",INDEX(Program_01!AR:AR,MATCH($B90,Program_01!A:A,0)),INDEX(Program_01!BB:BB,MATCH($B90,Program_01!A:A,0)))))</f>
        <v>0</v>
      </c>
      <c r="AK90" s="181">
        <f>IF(OR($A90="",$B90="",$I90="",$AS90="Determination Issued",$AS90="Rejected",$AS90="Open"),"",IF($AJ90="N/A","N/A",IF($I90="EOT",INDEX(Program_01!AS:AS,MATCH($B90,Program_01!A:A,0)),INDEX(Program_01!BC:BC,MATCH($B90,Program_01!A:A,0)))))</f>
        <v>0</v>
      </c>
      <c r="AL90" s="51"/>
      <c r="AM90" s="184">
        <f>IFERROR(INDEX(Program_01!$BT:$BT,MATCH($B90,Program_01!$A:$A,0)),"")</f>
        <v>0</v>
      </c>
      <c r="AN90" s="184">
        <f>IFERROR(INDEX(Program_01!$BU:$BU,MATCH($B90,Program_01!$A:$A,0)),"")</f>
        <v>0</v>
      </c>
      <c r="AO90" s="184">
        <f>IFERROR(INDEX(Program_01!$BV:$BV,MATCH($B90,Program_01!$A:$A,0)),"")</f>
        <v>0</v>
      </c>
      <c r="AP90" s="51" t="str">
        <f t="shared" si="12"/>
        <v/>
      </c>
      <c r="AQ90" s="184" t="str">
        <f>IFERROR(INDEX(Program_01!$BN:$BN,MATCH($B90,Program_01!$A:$A,0)),"")</f>
        <v>Discretionary EOT / EI Issued</v>
      </c>
      <c r="AR90" s="184" t="str">
        <f>IFERROR(INDEX(Program_01!$BO:$BO,MATCH($B90,Program_01!$A:$A,0)),"")</f>
        <v>Not Applicable</v>
      </c>
      <c r="AS90" s="184" t="str">
        <f>IFERROR(INDEX(Program_01!$BP:$BP,MATCH($B90,Program_01!$A:$A,0)),"")</f>
        <v>EI Issued</v>
      </c>
      <c r="AT90" s="185" t="str">
        <f>IFERROR(INDEX(Program_01!$BQ:$BQ,MATCH($B90,Program_01!$A:$A,0)),"")</f>
        <v>Closed</v>
      </c>
      <c r="AU90" s="179" t="str">
        <f>IFERROR(INDEX(Program_01!$BR:$BR,MATCH($B90,Program_01!$A:$A,0)),"")</f>
        <v>DEOT Assessment is based on the impact of Engineering delays and Additional scope of works. This EOT is subject to Discretionary EOT route</v>
      </c>
      <c r="AV90" s="186" t="str">
        <f t="shared" si="32"/>
        <v/>
      </c>
      <c r="AW90" s="186" t="str">
        <f t="shared" si="13"/>
        <v>CLOSED</v>
      </c>
      <c r="AX90" s="186" t="str">
        <f t="shared" si="33"/>
        <v>CLOSED</v>
      </c>
      <c r="AY90" s="181">
        <f t="shared" si="38"/>
        <v>45686</v>
      </c>
      <c r="AZ90" s="181">
        <f t="shared" si="27"/>
        <v>45763</v>
      </c>
      <c r="BA90" s="181">
        <f t="shared" si="4"/>
        <v>0</v>
      </c>
      <c r="BC90" s="181">
        <f>IFERROR(INDEX(Program_01!BF:BF,MATCH($B90,Program_01!$A:$A,0)),"")</f>
        <v>45686</v>
      </c>
      <c r="BD90" s="188" t="str">
        <f ca="1">IFERROR(INDEX(Program_01!BG:BG,MATCH($B90,Program_01!$A:$A,0)),"")</f>
        <v>N/A</v>
      </c>
      <c r="BE90" s="181">
        <f>IFERROR(INDEX(Program_01!BH:BH,MATCH($B90,Program_01!$A:$A,0)),"")</f>
        <v>0</v>
      </c>
      <c r="BF90" s="189">
        <f ca="1">IFERROR(INDEX(Program_01!BI:BI,MATCH($B90,Program_01!$A:$A,0)),"")</f>
        <v>0</v>
      </c>
      <c r="BG90" s="181">
        <f>IFERROR(INDEX(Program_01!BJ:BJ,MATCH($B90,Program_01!$A:$A,0)),"")</f>
        <v>0</v>
      </c>
      <c r="BH90" s="189">
        <f ca="1">IFERROR(INDEX(Program_01!BK:BK,MATCH($B90,Program_01!$A:$A,0)),"")</f>
        <v>0</v>
      </c>
      <c r="BI90" s="181">
        <f>IFERROR(INDEX(Program_01!BL:BL,MATCH($B90,Program_01!$A:$A,0)),"")</f>
        <v>0</v>
      </c>
      <c r="BK90" s="190" t="str">
        <f>IFERROR(IF(INDEX(Program_01!$BX:$BX,MATCH($B90,Program_01!$A:$A,0))=DATE(1900,1,0),"",INDEX(Program_01!$BX:$BX,MATCH($B90,Program_01!$A:$A,0))),"")</f>
        <v/>
      </c>
      <c r="BL90" s="190">
        <f>IFERROR(IF(INDEX(Program_01!$BY:$BY,MATCH($B90,Program_01!$A:$A,0))=DATE(1900,1,0),"",INDEX(Program_01!$BY:$BY,MATCH($B90,Program_01!$A:$A,0))),"")</f>
        <v>45763</v>
      </c>
      <c r="BM90" s="188">
        <f t="shared" ca="1" si="39"/>
        <v>77</v>
      </c>
      <c r="BN90" s="191">
        <f t="shared" ca="1" si="40"/>
        <v>0</v>
      </c>
      <c r="BO90" s="188" t="str">
        <f t="shared" si="34"/>
        <v/>
      </c>
      <c r="BP90" s="188" t="str">
        <f t="shared" si="6"/>
        <v>1</v>
      </c>
      <c r="BQ90" s="188" t="str">
        <f t="shared" ca="1" si="41"/>
        <v/>
      </c>
      <c r="BR90" s="181" t="str">
        <f t="shared" ca="1" si="28"/>
        <v/>
      </c>
      <c r="BT90" s="190" t="str">
        <f>IFERROR(IF(INDEX(Program_01!$BZ:$BZ,MATCH($B90,Program_01!$A:$A,0))=DATE(1900,1,0),"",INDEX(Program_01!$BZ:$BZ,MATCH($B90,Program_01!$A:$A,0))),"")</f>
        <v/>
      </c>
      <c r="BU90" s="182" t="str">
        <f t="shared" ca="1" si="22"/>
        <v/>
      </c>
      <c r="BV90" s="188" t="str">
        <f t="shared" si="35"/>
        <v/>
      </c>
      <c r="BW90" s="188" t="str">
        <f t="shared" si="8"/>
        <v>1</v>
      </c>
      <c r="BX90" s="188" t="str">
        <f t="shared" ca="1" si="36"/>
        <v/>
      </c>
      <c r="BY90" s="181" t="str">
        <f t="shared" ca="1" si="29"/>
        <v/>
      </c>
      <c r="CA90" s="192" t="str">
        <f t="shared" si="20"/>
        <v>N</v>
      </c>
      <c r="CB90" s="192" t="str">
        <f t="shared" si="21"/>
        <v>N</v>
      </c>
      <c r="CC90" s="193">
        <f>IFERROR(INDEX(Program_01!$CE:$CE,MATCH($B90,Program_01!$A:$A,0)),"")</f>
        <v>45763</v>
      </c>
      <c r="CD90" s="193">
        <f t="shared" si="31"/>
        <v>45763</v>
      </c>
      <c r="CG90" s="194">
        <f>IFERROR(INDEX(Program_01!$AT:$AT,MATCH($B90,Program_01!$A:$A,0)),"")</f>
        <v>0</v>
      </c>
      <c r="CH90" s="194">
        <f>IFERROR(INDEX(Program_01!$AX:$AX,MATCH($B90,Program_01!$A:$A,0)),"")</f>
        <v>0</v>
      </c>
    </row>
    <row r="91" spans="1:86" s="187" customFormat="1" ht="68">
      <c r="A91" s="174" t="s">
        <v>1</v>
      </c>
      <c r="B91" s="175">
        <v>73</v>
      </c>
      <c r="C91" s="176" t="str">
        <f>IFERROR(INDEX(Program_01!$B:$B,MATCH($B91,Program_01!$A:$A,0)),"")</f>
        <v>FULL TIA EAR</v>
      </c>
      <c r="D91" s="176" t="str">
        <f>IFERROR(INDEX(Program_01!$D:$D,MATCH($B91,Program_01!$A:$A,0)),"")</f>
        <v>1TB01002C23</v>
      </c>
      <c r="E91" s="176" t="str">
        <f>IFERROR(INDEX(Program_01!$E:$E,MATCH($B91,Program_01!$A:$A,0)),"")</f>
        <v>1.TB.01.002.99</v>
      </c>
      <c r="F91" s="176" t="str">
        <f>IFERROR(INDEX(Program_01!$F:$F,MATCH($B91,Program_01!$A:$A,0)),"")</f>
        <v>Marina Lifestyle Hotel &amp; Village</v>
      </c>
      <c r="G91" s="176" t="str">
        <f>IFERROR(INDEX(Program_01!$G:$G,MATCH($B91,Program_01!$A:$A,0)),"")</f>
        <v>Builders Works Package for Marina Lifestyle Hotel</v>
      </c>
      <c r="H91" s="176" t="str">
        <f>IFERROR(INDEX(Program_01!$H:$H,MATCH($B91,Program_01!$A:$A,0)),"")</f>
        <v>Shandong Tiejun Electric Power Engineering Co. LTD. Branch</v>
      </c>
      <c r="I91" s="176" t="str">
        <f t="shared" si="37"/>
        <v>EOT</v>
      </c>
      <c r="J91" s="176">
        <f>IFERROR(INDEX(Program_01!$I:$I,MATCH($B91,Program_01!$A:$A,0)),"")</f>
        <v>1</v>
      </c>
      <c r="K91" s="176">
        <f>IFERROR(INDEX(Program_01!$J:$J,MATCH($B91,Program_01!$A:$A,0)),"")</f>
        <v>0</v>
      </c>
      <c r="L91" s="176">
        <f>IFERROR(INDEX(Program_01!$K:$K,MATCH($B91,Program_01!$A:$A,0)),"")</f>
        <v>0</v>
      </c>
      <c r="M91" s="176">
        <f>IFERROR(INDEX(Program_01!$L:$L,MATCH($B91,Program_01!$A:$A,0)),"")</f>
        <v>0</v>
      </c>
      <c r="N91" s="176">
        <f>IFERROR(INDEX(Program_01!$L:$L,MATCH($B91,Program_01!$A:$A,0)),"")</f>
        <v>0</v>
      </c>
      <c r="O91" s="176">
        <f>IFERROR(INDEX(Program_01!$N:$N,MATCH($B91,Program_01!$A:$A,0)),"")</f>
        <v>0</v>
      </c>
      <c r="P91" s="178"/>
      <c r="Q91" s="179" t="str">
        <f>IFERROR(INDEX(Program_01!$C:$C,MATCH($B91,Program_01!$A:$A,0)),"")</f>
        <v>Requesting for an Extension of Time Claim</v>
      </c>
      <c r="R91" s="176" t="str">
        <f>IFERROR(INDEX(Program_01!$V:$V,MATCH($B91,Program_01!$A:$A,0)),"")</f>
        <v>Start is the date of the email from Planning where they decided to issue a DEOT</v>
      </c>
      <c r="S91" s="180">
        <f>IFERROR(INDEX(Program_01!$W:$W,MATCH($B91,Program_01!$A:$A,0)),"")</f>
        <v>45686</v>
      </c>
      <c r="T91" s="178"/>
      <c r="U91" s="176">
        <f>IFERROR(INDEX(Program_01!$Z:$Z,MATCH($B91,Program_01!$A:$A,0)),"")</f>
        <v>0</v>
      </c>
      <c r="V91" s="181" t="str">
        <f>IFERROR(INDEX(Program_01!$AA:$AA,MATCH($B91,Program_01!$A:$A,0)),"")</f>
        <v>N/A</v>
      </c>
      <c r="W91" s="182" t="str">
        <f t="shared" ca="1" si="0"/>
        <v/>
      </c>
      <c r="X91" s="51"/>
      <c r="Y91" s="179">
        <f>IFERROR(INDEX(Program_01!$BD:$BD,MATCH($B91,Program_01!$A:$A,0)),"")</f>
        <v>0</v>
      </c>
      <c r="Z91" s="51"/>
      <c r="AA91" s="183" t="str">
        <f>IFERROR(IF((INDEX(Program_01!$AD:$AD,MATCH($B91,Program_01!$A:$A,0))=""),INDEX(Program_01!$V:$V,MATCH($B91,Program_01!$A:$A,0)),INDEX(Program_01!$AD:$AD,MATCH($B91,Program_01!$A:$A,0))),"")</f>
        <v>Start is the date of the email from Planning where they decided to issue a DEOT</v>
      </c>
      <c r="AB91" s="147">
        <f>IFERROR(IF((INDEX(Program_01!$AE:$AE,MATCH($B91,Program_01!$A:$A,0))=""),INDEX(Program_01!$W:$W,MATCH($B91,Program_01!$A:$A,0)),INDEX(Program_01!$AE:$AE,MATCH($B91,Program_01!$A:$A,0))),"")</f>
        <v>45686</v>
      </c>
      <c r="AC91" s="183" t="str">
        <f>IFERROR(IF($I91="EOT",INDEX(Program_01!$AN:$AN,MATCH($B91,Program_01!$A:$A,0)),INDEX(Program_01!$AY:$AY,MATCH($B91,Program_01!$A:$A,0))),"")</f>
        <v>AMA01002-EMPI-000016
1TB01002-002C23-AMA-EMI-CM-0005</v>
      </c>
      <c r="AD91" s="181">
        <f>IFERROR(IF($I91="EOT",INDEX(Program_01!$AO:$AO,MATCH($B91,Program_01!$A:$A,0)),INDEX(Program_01!$AZ:$AZ,MATCH($B91,Program_01!$A:$A,0))),"")</f>
        <v>45761</v>
      </c>
      <c r="AE91" s="51"/>
      <c r="AF91" s="183"/>
      <c r="AG91" s="181"/>
      <c r="AH91" s="183">
        <f>IF(OR($D91="",$AS91="VO Issued",$AS91="Open"),"",IF(OR($AC91="Rejected",$AC91="Superseded",$AC91="Dealt Separately"),$AC91,IF($I91="EOT",INDEX(Program_01!$AR:$AR,MATCH($B91,Program_01!$A:$A,0)),INDEX(Program_01!$BB:$BB,MATCH($B91,Program_01!$A:$A,0)))))</f>
        <v>0</v>
      </c>
      <c r="AI91" s="181">
        <f>IF(OR($A91="",$B91="",$I91="",$AS91="VO Issued",$AS91="Open"),"",IF(OR($AD91="N/A"),$AD91,IF($I91="EOT",INDEX(Program_01!$AS:$AS,MATCH($B91,Program_01!$A:$A,0)),INDEX(Program_01!$BC:$BC,MATCH($B91,Program_01!$A:$A,0)))))</f>
        <v>0</v>
      </c>
      <c r="AJ91" s="183">
        <f>IF(OR($D91="",$I91="",$AS91="Determination Issued",$AS91="Rejected",$AS91="Open"),"",IF(OR($AH91="Rejected",$AH91="Dealt Separately",$AH91="Superseded",$AH91="Withdrawn"),"N/A",IF($I91="EOT",INDEX(Program_01!AR:AR,MATCH($B91,Program_01!A:A,0)),INDEX(Program_01!BB:BB,MATCH($B91,Program_01!A:A,0)))))</f>
        <v>0</v>
      </c>
      <c r="AK91" s="181">
        <f>IF(OR($A91="",$B91="",$I91="",$AS91="Determination Issued",$AS91="Rejected",$AS91="Open"),"",IF($AJ91="N/A","N/A",IF($I91="EOT",INDEX(Program_01!AS:AS,MATCH($B91,Program_01!A:A,0)),INDEX(Program_01!BC:BC,MATCH($B91,Program_01!A:A,0)))))</f>
        <v>0</v>
      </c>
      <c r="AL91" s="51"/>
      <c r="AM91" s="184">
        <f>IFERROR(INDEX(Program_01!$BT:$BT,MATCH($B91,Program_01!$A:$A,0)),"")</f>
        <v>0</v>
      </c>
      <c r="AN91" s="184">
        <f>IFERROR(INDEX(Program_01!$BU:$BU,MATCH($B91,Program_01!$A:$A,0)),"")</f>
        <v>0</v>
      </c>
      <c r="AO91" s="184">
        <f>IFERROR(INDEX(Program_01!$BV:$BV,MATCH($B91,Program_01!$A:$A,0)),"")</f>
        <v>0</v>
      </c>
      <c r="AP91" s="51" t="str">
        <f t="shared" si="12"/>
        <v/>
      </c>
      <c r="AQ91" s="184" t="str">
        <f>IFERROR(INDEX(Program_01!$BN:$BN,MATCH($B91,Program_01!$A:$A,0)),"")</f>
        <v>Discretionary EOT / EI Issued</v>
      </c>
      <c r="AR91" s="184" t="str">
        <f>IFERROR(INDEX(Program_01!$BO:$BO,MATCH($B91,Program_01!$A:$A,0)),"")</f>
        <v>Not Applicable</v>
      </c>
      <c r="AS91" s="184" t="str">
        <f>IFERROR(INDEX(Program_01!$BP:$BP,MATCH($B91,Program_01!$A:$A,0)),"")</f>
        <v>EI Issued</v>
      </c>
      <c r="AT91" s="185" t="str">
        <f>IFERROR(INDEX(Program_01!$BQ:$BQ,MATCH($B91,Program_01!$A:$A,0)),"")</f>
        <v>Closed</v>
      </c>
      <c r="AU91" s="179" t="str">
        <f>IFERROR(INDEX(Program_01!$BR:$BR,MATCH($B91,Program_01!$A:$A,0)),"")</f>
        <v>DEOT Assessment is based on the impact of Engineering delays and Additional scope of works. This EOT is subject to Discretionary EOT route</v>
      </c>
      <c r="AV91" s="186" t="str">
        <f t="shared" si="32"/>
        <v/>
      </c>
      <c r="AW91" s="186" t="str">
        <f t="shared" si="13"/>
        <v>CLOSED</v>
      </c>
      <c r="AX91" s="186" t="str">
        <f t="shared" si="33"/>
        <v>CLOSED</v>
      </c>
      <c r="AY91" s="181">
        <f t="shared" si="38"/>
        <v>45686</v>
      </c>
      <c r="AZ91" s="181">
        <f t="shared" si="27"/>
        <v>45761</v>
      </c>
      <c r="BA91" s="181">
        <f t="shared" si="4"/>
        <v>0</v>
      </c>
      <c r="BC91" s="181">
        <f>IFERROR(INDEX(Program_01!BF:BF,MATCH($B91,Program_01!$A:$A,0)),"")</f>
        <v>45686</v>
      </c>
      <c r="BD91" s="188" t="str">
        <f ca="1">IFERROR(INDEX(Program_01!BG:BG,MATCH($B91,Program_01!$A:$A,0)),"")</f>
        <v>N/A</v>
      </c>
      <c r="BE91" s="181">
        <f>IFERROR(INDEX(Program_01!BH:BH,MATCH($B91,Program_01!$A:$A,0)),"")</f>
        <v>0</v>
      </c>
      <c r="BF91" s="189">
        <f ca="1">IFERROR(INDEX(Program_01!BI:BI,MATCH($B91,Program_01!$A:$A,0)),"")</f>
        <v>0</v>
      </c>
      <c r="BG91" s="181">
        <f>IFERROR(INDEX(Program_01!BJ:BJ,MATCH($B91,Program_01!$A:$A,0)),"")</f>
        <v>0</v>
      </c>
      <c r="BH91" s="189">
        <f ca="1">IFERROR(INDEX(Program_01!BK:BK,MATCH($B91,Program_01!$A:$A,0)),"")</f>
        <v>0</v>
      </c>
      <c r="BI91" s="181">
        <f>IFERROR(INDEX(Program_01!BL:BL,MATCH($B91,Program_01!$A:$A,0)),"")</f>
        <v>0</v>
      </c>
      <c r="BK91" s="190" t="str">
        <f>IFERROR(IF(INDEX(Program_01!$BX:$BX,MATCH($B91,Program_01!$A:$A,0))=DATE(1900,1,0),"",INDEX(Program_01!$BX:$BX,MATCH($B91,Program_01!$A:$A,0))),"")</f>
        <v/>
      </c>
      <c r="BL91" s="190">
        <f>IFERROR(IF(INDEX(Program_01!$BY:$BY,MATCH($B91,Program_01!$A:$A,0))=DATE(1900,1,0),"",INDEX(Program_01!$BY:$BY,MATCH($B91,Program_01!$A:$A,0))),"")</f>
        <v>45761</v>
      </c>
      <c r="BM91" s="188">
        <f t="shared" ca="1" si="39"/>
        <v>75</v>
      </c>
      <c r="BN91" s="191">
        <f t="shared" ca="1" si="40"/>
        <v>0</v>
      </c>
      <c r="BO91" s="188" t="str">
        <f t="shared" si="34"/>
        <v/>
      </c>
      <c r="BP91" s="188" t="str">
        <f t="shared" si="6"/>
        <v>1</v>
      </c>
      <c r="BQ91" s="188" t="str">
        <f t="shared" ca="1" si="41"/>
        <v/>
      </c>
      <c r="BR91" s="181" t="str">
        <f t="shared" ca="1" si="28"/>
        <v/>
      </c>
      <c r="BT91" s="190" t="str">
        <f>IFERROR(IF(INDEX(Program_01!$BZ:$BZ,MATCH($B91,Program_01!$A:$A,0))=DATE(1900,1,0),"",INDEX(Program_01!$BZ:$BZ,MATCH($B91,Program_01!$A:$A,0))),"")</f>
        <v/>
      </c>
      <c r="BU91" s="182" t="str">
        <f t="shared" ca="1" si="22"/>
        <v/>
      </c>
      <c r="BV91" s="188" t="str">
        <f t="shared" si="35"/>
        <v/>
      </c>
      <c r="BW91" s="188" t="str">
        <f t="shared" si="8"/>
        <v>1</v>
      </c>
      <c r="BX91" s="188" t="str">
        <f t="shared" ca="1" si="36"/>
        <v/>
      </c>
      <c r="BY91" s="181" t="str">
        <f t="shared" ca="1" si="29"/>
        <v/>
      </c>
      <c r="CA91" s="192" t="str">
        <f t="shared" si="20"/>
        <v>N</v>
      </c>
      <c r="CB91" s="192" t="str">
        <f t="shared" si="21"/>
        <v>N</v>
      </c>
      <c r="CC91" s="193">
        <f>IFERROR(INDEX(Program_01!$CE:$CE,MATCH($B91,Program_01!$A:$A,0)),"")</f>
        <v>45761</v>
      </c>
      <c r="CD91" s="193">
        <f t="shared" si="31"/>
        <v>45761</v>
      </c>
      <c r="CG91" s="194">
        <f>IFERROR(INDEX(Program_01!$AT:$AT,MATCH($B91,Program_01!$A:$A,0)),"")</f>
        <v>0</v>
      </c>
      <c r="CH91" s="194">
        <f>IFERROR(INDEX(Program_01!$AX:$AX,MATCH($B91,Program_01!$A:$A,0)),"")</f>
        <v>0</v>
      </c>
    </row>
    <row r="92" spans="1:86" s="187" customFormat="1" ht="68">
      <c r="A92" s="174" t="s">
        <v>1</v>
      </c>
      <c r="B92" s="175">
        <v>74</v>
      </c>
      <c r="C92" s="176" t="str">
        <f>IFERROR(INDEX(Program_01!$B:$B,MATCH($B92,Program_01!$A:$A,0)),"")</f>
        <v>FULL TIA EAR</v>
      </c>
      <c r="D92" s="176" t="str">
        <f>IFERROR(INDEX(Program_01!$D:$D,MATCH($B92,Program_01!$A:$A,0)),"")</f>
        <v>1TB01006C22</v>
      </c>
      <c r="E92" s="176" t="str">
        <f>IFERROR(INDEX(Program_01!$E:$E,MATCH($B92,Program_01!$A:$A,0)),"")</f>
        <v>1.TB.01.006.99</v>
      </c>
      <c r="F92" s="176" t="str">
        <f>IFERROR(INDEX(Program_01!$F:$F,MATCH($B92,Program_01!$A:$A,0)),"")</f>
        <v>Village Boutique Hotel</v>
      </c>
      <c r="G92" s="176" t="str">
        <f>IFERROR(INDEX(Program_01!$G:$G,MATCH($B92,Program_01!$A:$A,0)),"")</f>
        <v>Builders Works Package for Marina Lifestyle Hotel</v>
      </c>
      <c r="H92" s="176" t="str">
        <f>IFERROR(INDEX(Program_01!$H:$H,MATCH($B92,Program_01!$A:$A,0)),"")</f>
        <v>Shandong Tiejun Electric Power Engineering Co. LTD. Branch</v>
      </c>
      <c r="I92" s="176" t="str">
        <f t="shared" si="37"/>
        <v>EOT</v>
      </c>
      <c r="J92" s="176">
        <f>IFERROR(INDEX(Program_01!$I:$I,MATCH($B92,Program_01!$A:$A,0)),"")</f>
        <v>1</v>
      </c>
      <c r="K92" s="176">
        <f>IFERROR(INDEX(Program_01!$J:$J,MATCH($B92,Program_01!$A:$A,0)),"")</f>
        <v>0</v>
      </c>
      <c r="L92" s="176">
        <f>IFERROR(INDEX(Program_01!$K:$K,MATCH($B92,Program_01!$A:$A,0)),"")</f>
        <v>0</v>
      </c>
      <c r="M92" s="176">
        <f>IFERROR(INDEX(Program_01!$L:$L,MATCH($B92,Program_01!$A:$A,0)),"")</f>
        <v>0</v>
      </c>
      <c r="N92" s="176">
        <f>IFERROR(INDEX(Program_01!$L:$L,MATCH($B92,Program_01!$A:$A,0)),"")</f>
        <v>0</v>
      </c>
      <c r="O92" s="176">
        <f>IFERROR(INDEX(Program_01!$N:$N,MATCH($B92,Program_01!$A:$A,0)),"")</f>
        <v>0</v>
      </c>
      <c r="P92" s="178"/>
      <c r="Q92" s="179" t="str">
        <f>IFERROR(INDEX(Program_01!$C:$C,MATCH($B92,Program_01!$A:$A,0)),"")</f>
        <v>Interim Extension of Time Claim (EOT #1)</v>
      </c>
      <c r="R92" s="176" t="str">
        <f>IFERROR(INDEX(Program_01!$V:$V,MATCH($B92,Program_01!$A:$A,0)),"")</f>
        <v>Start is the date of the email from Planning where they decided to issue a DEOT</v>
      </c>
      <c r="S92" s="180">
        <f>IFERROR(INDEX(Program_01!$W:$W,MATCH($B92,Program_01!$A:$A,0)),"")</f>
        <v>45686</v>
      </c>
      <c r="T92" s="178"/>
      <c r="U92" s="176">
        <f>IFERROR(INDEX(Program_01!$Z:$Z,MATCH($B92,Program_01!$A:$A,0)),"")</f>
        <v>0</v>
      </c>
      <c r="V92" s="181" t="str">
        <f>IFERROR(INDEX(Program_01!$AA:$AA,MATCH($B92,Program_01!$A:$A,0)),"")</f>
        <v>N/A</v>
      </c>
      <c r="W92" s="182" t="str">
        <f t="shared" ca="1" si="0"/>
        <v/>
      </c>
      <c r="X92" s="51"/>
      <c r="Y92" s="179">
        <f>IFERROR(INDEX(Program_01!$BD:$BD,MATCH($B92,Program_01!$A:$A,0)),"")</f>
        <v>0</v>
      </c>
      <c r="Z92" s="51"/>
      <c r="AA92" s="183" t="str">
        <f>IFERROR(IF((INDEX(Program_01!$AD:$AD,MATCH($B92,Program_01!$A:$A,0))=""),INDEX(Program_01!$V:$V,MATCH($B92,Program_01!$A:$A,0)),INDEX(Program_01!$AD:$AD,MATCH($B92,Program_01!$A:$A,0))),"")</f>
        <v>Start is the date of the email from Planning where they decided to issue a DEOT</v>
      </c>
      <c r="AB92" s="147">
        <f>IFERROR(IF((INDEX(Program_01!$AE:$AE,MATCH($B92,Program_01!$A:$A,0))=""),INDEX(Program_01!$W:$W,MATCH($B92,Program_01!$A:$A,0)),INDEX(Program_01!$AE:$AE,MATCH($B92,Program_01!$A:$A,0))),"")</f>
        <v>45686</v>
      </c>
      <c r="AC92" s="183" t="str">
        <f>IFERROR(IF($I92="EOT",INDEX(Program_01!$AN:$AN,MATCH($B92,Program_01!$A:$A,0)),INDEX(Program_01!$AY:$AY,MATCH($B92,Program_01!$A:$A,0))),"")</f>
        <v>AMA01006-EMPI-000011
1TB01006-006C22-AMA-EMI-CM-0006</v>
      </c>
      <c r="AD92" s="181">
        <f>IFERROR(IF($I92="EOT",INDEX(Program_01!$AO:$AO,MATCH($B92,Program_01!$A:$A,0)),INDEX(Program_01!$AZ:$AZ,MATCH($B92,Program_01!$A:$A,0))),"")</f>
        <v>45763</v>
      </c>
      <c r="AE92" s="51"/>
      <c r="AF92" s="183"/>
      <c r="AG92" s="181"/>
      <c r="AH92" s="183">
        <f>IF(OR($D92="",$AS92="VO Issued",$AS92="Open"),"",IF(OR($AC92="Rejected",$AC92="Superseded",$AC92="Dealt Separately"),$AC92,IF($I92="EOT",INDEX(Program_01!$AR:$AR,MATCH($B92,Program_01!$A:$A,0)),INDEX(Program_01!$BB:$BB,MATCH($B92,Program_01!$A:$A,0)))))</f>
        <v>0</v>
      </c>
      <c r="AI92" s="181">
        <f>IF(OR($A92="",$B92="",$I92="",$AS92="VO Issued",$AS92="Open"),"",IF(OR($AD92="N/A"),$AD92,IF($I92="EOT",INDEX(Program_01!$AS:$AS,MATCH($B92,Program_01!$A:$A,0)),INDEX(Program_01!$BC:$BC,MATCH($B92,Program_01!$A:$A,0)))))</f>
        <v>0</v>
      </c>
      <c r="AJ92" s="183">
        <f>IF(OR($D92="",$I92="",$AS92="Determination Issued",$AS92="Rejected",$AS92="Open"),"",IF(OR($AH92="Rejected",$AH92="Dealt Separately",$AH92="Superseded",$AH92="Withdrawn"),"N/A",IF($I92="EOT",INDEX(Program_01!AR:AR,MATCH($B92,Program_01!A:A,0)),INDEX(Program_01!BB:BB,MATCH($B92,Program_01!A:A,0)))))</f>
        <v>0</v>
      </c>
      <c r="AK92" s="181">
        <f>IF(OR($A92="",$B92="",$I92="",$AS92="Determination Issued",$AS92="Rejected",$AS92="Open"),"",IF($AJ92="N/A","N/A",IF($I92="EOT",INDEX(Program_01!AS:AS,MATCH($B92,Program_01!A:A,0)),INDEX(Program_01!BC:BC,MATCH($B92,Program_01!A:A,0)))))</f>
        <v>0</v>
      </c>
      <c r="AL92" s="51"/>
      <c r="AM92" s="184">
        <f>IFERROR(INDEX(Program_01!$BT:$BT,MATCH($B92,Program_01!$A:$A,0)),"")</f>
        <v>0</v>
      </c>
      <c r="AN92" s="184">
        <f>IFERROR(INDEX(Program_01!$BU:$BU,MATCH($B92,Program_01!$A:$A,0)),"")</f>
        <v>0</v>
      </c>
      <c r="AO92" s="184">
        <f>IFERROR(INDEX(Program_01!$BV:$BV,MATCH($B92,Program_01!$A:$A,0)),"")</f>
        <v>0</v>
      </c>
      <c r="AP92" s="51" t="str">
        <f t="shared" si="12"/>
        <v/>
      </c>
      <c r="AQ92" s="184" t="str">
        <f>IFERROR(INDEX(Program_01!$BN:$BN,MATCH($B92,Program_01!$A:$A,0)),"")</f>
        <v>Discretionary EOT / EI Issued</v>
      </c>
      <c r="AR92" s="184" t="str">
        <f>IFERROR(INDEX(Program_01!$BO:$BO,MATCH($B92,Program_01!$A:$A,0)),"")</f>
        <v>Not Applicable</v>
      </c>
      <c r="AS92" s="184" t="str">
        <f>IFERROR(INDEX(Program_01!$BP:$BP,MATCH($B92,Program_01!$A:$A,0)),"")</f>
        <v>EI Issued</v>
      </c>
      <c r="AT92" s="185" t="str">
        <f>IFERROR(INDEX(Program_01!$BQ:$BQ,MATCH($B92,Program_01!$A:$A,0)),"")</f>
        <v>Closed</v>
      </c>
      <c r="AU92" s="179" t="str">
        <f>IFERROR(INDEX(Program_01!$BR:$BR,MATCH($B92,Program_01!$A:$A,0)),"")</f>
        <v>DEOT Assessment is based on the impact of Engineering delays and Additional scope of works. This EOT is subject to Discretionary EOT route</v>
      </c>
      <c r="AV92" s="186" t="str">
        <f t="shared" si="32"/>
        <v/>
      </c>
      <c r="AW92" s="186" t="str">
        <f t="shared" si="13"/>
        <v>CLOSED</v>
      </c>
      <c r="AX92" s="186" t="str">
        <f t="shared" si="33"/>
        <v>CLOSED</v>
      </c>
      <c r="AY92" s="181">
        <f t="shared" si="38"/>
        <v>45686</v>
      </c>
      <c r="AZ92" s="181">
        <f t="shared" si="27"/>
        <v>45763</v>
      </c>
      <c r="BA92" s="181">
        <f t="shared" si="4"/>
        <v>0</v>
      </c>
      <c r="BC92" s="181">
        <f>IFERROR(INDEX(Program_01!BF:BF,MATCH($B92,Program_01!$A:$A,0)),"")</f>
        <v>45686</v>
      </c>
      <c r="BD92" s="188" t="str">
        <f ca="1">IFERROR(INDEX(Program_01!BG:BG,MATCH($B92,Program_01!$A:$A,0)),"")</f>
        <v>N/A</v>
      </c>
      <c r="BE92" s="181">
        <f>IFERROR(INDEX(Program_01!BH:BH,MATCH($B92,Program_01!$A:$A,0)),"")</f>
        <v>0</v>
      </c>
      <c r="BF92" s="189">
        <f ca="1">IFERROR(INDEX(Program_01!BI:BI,MATCH($B92,Program_01!$A:$A,0)),"")</f>
        <v>0</v>
      </c>
      <c r="BG92" s="181">
        <f>IFERROR(INDEX(Program_01!BJ:BJ,MATCH($B92,Program_01!$A:$A,0)),"")</f>
        <v>0</v>
      </c>
      <c r="BH92" s="189">
        <f ca="1">IFERROR(INDEX(Program_01!BK:BK,MATCH($B92,Program_01!$A:$A,0)),"")</f>
        <v>0</v>
      </c>
      <c r="BI92" s="181">
        <f>IFERROR(INDEX(Program_01!BL:BL,MATCH($B92,Program_01!$A:$A,0)),"")</f>
        <v>0</v>
      </c>
      <c r="BK92" s="190" t="str">
        <f>IFERROR(IF(INDEX(Program_01!$BX:$BX,MATCH($B92,Program_01!$A:$A,0))=DATE(1900,1,0),"",INDEX(Program_01!$BX:$BX,MATCH($B92,Program_01!$A:$A,0))),"")</f>
        <v/>
      </c>
      <c r="BL92" s="190">
        <f>IFERROR(IF(INDEX(Program_01!$BY:$BY,MATCH($B92,Program_01!$A:$A,0))=DATE(1900,1,0),"",INDEX(Program_01!$BY:$BY,MATCH($B92,Program_01!$A:$A,0))),"")</f>
        <v>45763</v>
      </c>
      <c r="BM92" s="188">
        <f t="shared" ca="1" si="39"/>
        <v>77</v>
      </c>
      <c r="BN92" s="191">
        <f t="shared" ca="1" si="40"/>
        <v>0</v>
      </c>
      <c r="BO92" s="188" t="str">
        <f t="shared" si="34"/>
        <v/>
      </c>
      <c r="BP92" s="188" t="str">
        <f t="shared" si="6"/>
        <v>1</v>
      </c>
      <c r="BQ92" s="188" t="str">
        <f t="shared" ca="1" si="41"/>
        <v/>
      </c>
      <c r="BR92" s="181" t="str">
        <f t="shared" ca="1" si="28"/>
        <v/>
      </c>
      <c r="BT92" s="190" t="str">
        <f>IFERROR(IF(INDEX(Program_01!$BZ:$BZ,MATCH($B92,Program_01!$A:$A,0))=DATE(1900,1,0),"",INDEX(Program_01!$BZ:$BZ,MATCH($B92,Program_01!$A:$A,0))),"")</f>
        <v/>
      </c>
      <c r="BU92" s="182" t="str">
        <f t="shared" ca="1" si="22"/>
        <v/>
      </c>
      <c r="BV92" s="188" t="str">
        <f t="shared" si="35"/>
        <v/>
      </c>
      <c r="BW92" s="188" t="str">
        <f t="shared" si="8"/>
        <v>1</v>
      </c>
      <c r="BX92" s="188" t="str">
        <f t="shared" ca="1" si="36"/>
        <v/>
      </c>
      <c r="BY92" s="181" t="str">
        <f t="shared" ca="1" si="29"/>
        <v/>
      </c>
      <c r="CA92" s="192" t="str">
        <f t="shared" si="20"/>
        <v>N</v>
      </c>
      <c r="CB92" s="192" t="str">
        <f t="shared" si="21"/>
        <v>N</v>
      </c>
      <c r="CC92" s="193">
        <f>IFERROR(INDEX(Program_01!$CE:$CE,MATCH($B92,Program_01!$A:$A,0)),"")</f>
        <v>45763</v>
      </c>
      <c r="CD92" s="193">
        <f t="shared" si="31"/>
        <v>45763</v>
      </c>
      <c r="CG92" s="194">
        <f>IFERROR(INDEX(Program_01!$AT:$AT,MATCH($B92,Program_01!$A:$A,0)),"")</f>
        <v>0</v>
      </c>
      <c r="CH92" s="194">
        <f>IFERROR(INDEX(Program_01!$AX:$AX,MATCH($B92,Program_01!$A:$A,0)),"")</f>
        <v>0</v>
      </c>
    </row>
    <row r="93" spans="1:86" s="187" customFormat="1" ht="68">
      <c r="A93" s="174" t="s">
        <v>1</v>
      </c>
      <c r="B93" s="175">
        <f>+B92+1</f>
        <v>75</v>
      </c>
      <c r="C93" s="176" t="str">
        <f>IFERROR(INDEX(Program_01!$B:$B,MATCH($B93,Program_01!$A:$A,0)),"")</f>
        <v>FULL TIA EAR</v>
      </c>
      <c r="D93" s="176" t="str">
        <f>IFERROR(INDEX(Program_01!$D:$D,MATCH($B93,Program_01!$A:$A,0)),"")</f>
        <v>1TB01005C18</v>
      </c>
      <c r="E93" s="176" t="str">
        <f>IFERROR(INDEX(Program_01!$E:$E,MATCH($B93,Program_01!$A:$A,0)),"")</f>
        <v>1.TB.01.005.01</v>
      </c>
      <c r="F93" s="176" t="str">
        <f>IFERROR(INDEX(Program_01!$F:$F,MATCH($B93,Program_01!$A:$A,0)),"")</f>
        <v>Red Sea Marine Life Institute</v>
      </c>
      <c r="G93" s="176" t="str">
        <f>IFERROR(INDEX(Program_01!$G:$G,MATCH($B93,Program_01!$A:$A,0)),"")</f>
        <v>Primary Steel Structure Contract</v>
      </c>
      <c r="H93" s="176" t="str">
        <f>IFERROR(INDEX(Program_01!$H:$H,MATCH($B93,Program_01!$A:$A,0)),"")</f>
        <v>Zamil Structural Steel Company (LTD)</v>
      </c>
      <c r="I93" s="176" t="str">
        <f t="shared" si="37"/>
        <v>EOT</v>
      </c>
      <c r="J93" s="176">
        <f>IFERROR(INDEX(Program_01!$I:$I,MATCH($B93,Program_01!$A:$A,0)),"")</f>
        <v>1</v>
      </c>
      <c r="K93" s="176">
        <f>IFERROR(INDEX(Program_01!$J:$J,MATCH($B93,Program_01!$A:$A,0)),"")</f>
        <v>0</v>
      </c>
      <c r="L93" s="176">
        <f>IFERROR(INDEX(Program_01!$K:$K,MATCH($B93,Program_01!$A:$A,0)),"")</f>
        <v>0</v>
      </c>
      <c r="M93" s="176">
        <f>IFERROR(INDEX(Program_01!$L:$L,MATCH($B93,Program_01!$A:$A,0)),"")</f>
        <v>0</v>
      </c>
      <c r="N93" s="176">
        <f>IFERROR(INDEX(Program_01!$L:$L,MATCH($B93,Program_01!$A:$A,0)),"")</f>
        <v>0</v>
      </c>
      <c r="O93" s="176">
        <f>IFERROR(INDEX(Program_01!$N:$N,MATCH($B93,Program_01!$A:$A,0)),"")</f>
        <v>0</v>
      </c>
      <c r="P93" s="178"/>
      <c r="Q93" s="179" t="str">
        <f>IFERROR(INDEX(Program_01!$C:$C,MATCH($B93,Program_01!$A:$A,0)),"")</f>
        <v>Delays suffered by the Contractor</v>
      </c>
      <c r="R93" s="176" t="str">
        <f>IFERROR(INDEX(Program_01!$V:$V,MATCH($B93,Program_01!$A:$A,0)),"")</f>
        <v>Start is the date of the email from Planning where they decided to issue a DEOT</v>
      </c>
      <c r="S93" s="180">
        <f>IFERROR(INDEX(Program_01!$W:$W,MATCH($B93,Program_01!$A:$A,0)),"")</f>
        <v>45686</v>
      </c>
      <c r="T93" s="178"/>
      <c r="U93" s="176">
        <f>IFERROR(INDEX(Program_01!$Z:$Z,MATCH($B93,Program_01!$A:$A,0)),"")</f>
        <v>0</v>
      </c>
      <c r="V93" s="181" t="str">
        <f>IFERROR(INDEX(Program_01!$AA:$AA,MATCH($B93,Program_01!$A:$A,0)),"")</f>
        <v>N/A</v>
      </c>
      <c r="W93" s="182" t="str">
        <f t="shared" ca="1" si="0"/>
        <v/>
      </c>
      <c r="X93" s="51"/>
      <c r="Y93" s="179">
        <f>IFERROR(INDEX(Program_01!$BD:$BD,MATCH($B93,Program_01!$A:$A,0)),"")</f>
        <v>0</v>
      </c>
      <c r="Z93" s="51"/>
      <c r="AA93" s="183" t="str">
        <f>IFERROR(IF((INDEX(Program_01!$AD:$AD,MATCH($B93,Program_01!$A:$A,0))=""),INDEX(Program_01!$V:$V,MATCH($B93,Program_01!$A:$A,0)),INDEX(Program_01!$AD:$AD,MATCH($B93,Program_01!$A:$A,0))),"")</f>
        <v>Start is the date of the email from Planning where they decided to issue a DEOT</v>
      </c>
      <c r="AB93" s="147">
        <f>IFERROR(IF((INDEX(Program_01!$AE:$AE,MATCH($B93,Program_01!$A:$A,0))=""),INDEX(Program_01!$W:$W,MATCH($B93,Program_01!$A:$A,0)),INDEX(Program_01!$AE:$AE,MATCH($B93,Program_01!$A:$A,0))),"")</f>
        <v>45686</v>
      </c>
      <c r="AC93" s="183" t="str">
        <f>IFERROR(IF($I93="EOT",INDEX(Program_01!$AN:$AN,MATCH($B93,Program_01!$A:$A,0)),INDEX(Program_01!$AY:$AY,MATCH($B93,Program_01!$A:$A,0))),"")</f>
        <v>1TB01005-005C18-AMA-LTR-0088</v>
      </c>
      <c r="AD93" s="181">
        <f>IFERROR(IF($I93="EOT",INDEX(Program_01!$AO:$AO,MATCH($B93,Program_01!$A:$A,0)),INDEX(Program_01!$AZ:$AZ,MATCH($B93,Program_01!$A:$A,0))),"")</f>
        <v>45768</v>
      </c>
      <c r="AE93" s="51"/>
      <c r="AF93" s="183"/>
      <c r="AG93" s="181"/>
      <c r="AH93" s="183">
        <f>IF(OR($D93="",$AS93="VO Issued",$AS93="Open"),"",IF(OR($AC93="Rejected",$AC93="Superseded",$AC93="Dealt Separately"),$AC93,IF($I93="EOT",INDEX(Program_01!$AR:$AR,MATCH($B93,Program_01!$A:$A,0)),INDEX(Program_01!$BB:$BB,MATCH($B93,Program_01!$A:$A,0)))))</f>
        <v>0</v>
      </c>
      <c r="AI93" s="181">
        <f>IF(OR($A93="",$B93="",$I93="",$AS93="VO Issued",$AS93="Open"),"",IF(OR($AD93="N/A"),$AD93,IF($I93="EOT",INDEX(Program_01!$AS:$AS,MATCH($B93,Program_01!$A:$A,0)),INDEX(Program_01!$BC:$BC,MATCH($B93,Program_01!$A:$A,0)))))</f>
        <v>0</v>
      </c>
      <c r="AJ93" s="183">
        <f>IF(OR($D93="",$I93="",$AS93="Determination Issued",$AS93="Rejected",$AS93="Open"),"",IF(OR($AH93="Rejected",$AH93="Dealt Separately",$AH93="Superseded",$AH93="Withdrawn"),"N/A",IF($I93="EOT",INDEX(Program_01!AR:AR,MATCH($B93,Program_01!A:A,0)),INDEX(Program_01!BB:BB,MATCH($B93,Program_01!A:A,0)))))</f>
        <v>0</v>
      </c>
      <c r="AK93" s="181">
        <f>IF(OR($A93="",$B93="",$I93="",$AS93="Determination Issued",$AS93="Rejected",$AS93="Open"),"",IF($AJ93="N/A","N/A",IF($I93="EOT",INDEX(Program_01!AS:AS,MATCH($B93,Program_01!A:A,0)),INDEX(Program_01!BC:BC,MATCH($B93,Program_01!A:A,0)))))</f>
        <v>0</v>
      </c>
      <c r="AL93" s="51"/>
      <c r="AM93" s="184">
        <f>IFERROR(INDEX(Program_01!$BT:$BT,MATCH($B93,Program_01!$A:$A,0)),"")</f>
        <v>0</v>
      </c>
      <c r="AN93" s="184">
        <f>IFERROR(INDEX(Program_01!$BU:$BU,MATCH($B93,Program_01!$A:$A,0)),"")</f>
        <v>0</v>
      </c>
      <c r="AO93" s="184">
        <f>IFERROR(INDEX(Program_01!$BV:$BV,MATCH($B93,Program_01!$A:$A,0)),"")</f>
        <v>0</v>
      </c>
      <c r="AP93" s="51" t="str">
        <f t="shared" si="12"/>
        <v/>
      </c>
      <c r="AQ93" s="184" t="str">
        <f>IFERROR(INDEX(Program_01!$BN:$BN,MATCH($B93,Program_01!$A:$A,0)),"")</f>
        <v>Discretionary EOT / EI Issued</v>
      </c>
      <c r="AR93" s="184" t="str">
        <f>IFERROR(INDEX(Program_01!$BO:$BO,MATCH($B93,Program_01!$A:$A,0)),"")</f>
        <v>Not Applicable</v>
      </c>
      <c r="AS93" s="184" t="str">
        <f>IFERROR(INDEX(Program_01!$BP:$BP,MATCH($B93,Program_01!$A:$A,0)),"")</f>
        <v>EI Issued</v>
      </c>
      <c r="AT93" s="185" t="str">
        <f>IFERROR(INDEX(Program_01!$BQ:$BQ,MATCH($B93,Program_01!$A:$A,0)),"")</f>
        <v>Closed</v>
      </c>
      <c r="AU93" s="179" t="str">
        <f>IFERROR(INDEX(Program_01!$BR:$BR,MATCH($B93,Program_01!$A:$A,0)),"")</f>
        <v>DEOT Assessment is based on the impact of Engineering delays and Additional scope of works. This EOT is subject to Discretionary EOT route</v>
      </c>
      <c r="AV93" s="186" t="str">
        <f t="shared" si="32"/>
        <v/>
      </c>
      <c r="AW93" s="186" t="str">
        <f t="shared" si="13"/>
        <v>CLOSED</v>
      </c>
      <c r="AX93" s="186" t="str">
        <f t="shared" si="33"/>
        <v>CLOSED</v>
      </c>
      <c r="AY93" s="181">
        <f t="shared" si="38"/>
        <v>45686</v>
      </c>
      <c r="AZ93" s="181">
        <f>IF($AD93=0,"",AD93)</f>
        <v>45768</v>
      </c>
      <c r="BA93" s="181">
        <f t="shared" si="4"/>
        <v>0</v>
      </c>
      <c r="BC93" s="181">
        <f>IFERROR(INDEX(Program_01!BF:BF,MATCH($B93,Program_01!$A:$A,0)),"")</f>
        <v>45686</v>
      </c>
      <c r="BD93" s="188" t="str">
        <f ca="1">IFERROR(INDEX(Program_01!BG:BG,MATCH($B93,Program_01!$A:$A,0)),"")</f>
        <v>N/A</v>
      </c>
      <c r="BE93" s="181">
        <f>IFERROR(INDEX(Program_01!BH:BH,MATCH($B93,Program_01!$A:$A,0)),"")</f>
        <v>0</v>
      </c>
      <c r="BF93" s="189">
        <f ca="1">IFERROR(INDEX(Program_01!BI:BI,MATCH($B93,Program_01!$A:$A,0)),"")</f>
        <v>0</v>
      </c>
      <c r="BG93" s="181">
        <f>IFERROR(INDEX(Program_01!BJ:BJ,MATCH($B93,Program_01!$A:$A,0)),"")</f>
        <v>0</v>
      </c>
      <c r="BH93" s="189">
        <f ca="1">IFERROR(INDEX(Program_01!BK:BK,MATCH($B93,Program_01!$A:$A,0)),"")</f>
        <v>0</v>
      </c>
      <c r="BI93" s="181">
        <f>IFERROR(INDEX(Program_01!BL:BL,MATCH($B93,Program_01!$A:$A,0)),"")</f>
        <v>0</v>
      </c>
      <c r="BK93" s="190" t="str">
        <f>IFERROR(IF(INDEX(Program_01!$BX:$BX,MATCH($B93,Program_01!$A:$A,0))=DATE(1900,1,0),"",INDEX(Program_01!$BX:$BX,MATCH($B93,Program_01!$A:$A,0))),"")</f>
        <v/>
      </c>
      <c r="BL93" s="190">
        <f>IFERROR(IF(INDEX(Program_01!$BY:$BY,MATCH($B93,Program_01!$A:$A,0))=DATE(1900,1,0),"",INDEX(Program_01!$BY:$BY,MATCH($B93,Program_01!$A:$A,0))),"")</f>
        <v>45768</v>
      </c>
      <c r="BM93" s="188">
        <f t="shared" ca="1" si="39"/>
        <v>82</v>
      </c>
      <c r="BN93" s="191">
        <f t="shared" ca="1" si="40"/>
        <v>0</v>
      </c>
      <c r="BO93" s="188" t="str">
        <f t="shared" si="34"/>
        <v/>
      </c>
      <c r="BP93" s="188" t="str">
        <f t="shared" si="6"/>
        <v>1</v>
      </c>
      <c r="BQ93" s="188" t="str">
        <f t="shared" ca="1" si="41"/>
        <v/>
      </c>
      <c r="BR93" s="181" t="str">
        <f ca="1">IF(BQ93="","","1")</f>
        <v/>
      </c>
      <c r="BT93" s="190" t="str">
        <f>IFERROR(IF(INDEX(Program_01!$BZ:$BZ,MATCH($B93,Program_01!$A:$A,0))=DATE(1900,1,0),"",INDEX(Program_01!$BZ:$BZ,MATCH($B93,Program_01!$A:$A,0))),"")</f>
        <v/>
      </c>
      <c r="BU93" s="182" t="str">
        <f t="shared" ca="1" si="22"/>
        <v/>
      </c>
      <c r="BV93" s="188" t="str">
        <f t="shared" si="35"/>
        <v/>
      </c>
      <c r="BW93" s="188" t="str">
        <f t="shared" si="8"/>
        <v>1</v>
      </c>
      <c r="BX93" s="188" t="str">
        <f t="shared" ca="1" si="36"/>
        <v/>
      </c>
      <c r="BY93" s="181" t="str">
        <f ca="1">IF(BX93="","","1")</f>
        <v/>
      </c>
      <c r="CA93" s="192" t="str">
        <f t="shared" si="20"/>
        <v>N</v>
      </c>
      <c r="CB93" s="192" t="str">
        <f t="shared" si="21"/>
        <v>N</v>
      </c>
      <c r="CC93" s="193">
        <f>IFERROR(INDEX(Program_01!$CE:$CE,MATCH($B93,Program_01!$A:$A,0)),"")</f>
        <v>45768</v>
      </c>
      <c r="CD93" s="193">
        <f t="shared" si="31"/>
        <v>45768</v>
      </c>
      <c r="CG93" s="194">
        <f>IFERROR(INDEX(Program_01!$AT:$AT,MATCH($B93,Program_01!$A:$A,0)),"")</f>
        <v>0</v>
      </c>
      <c r="CH93" s="194">
        <f>IFERROR(INDEX(Program_01!$AX:$AX,MATCH($B93,Program_01!$A:$A,0)),"")</f>
        <v>0</v>
      </c>
    </row>
    <row r="94" spans="1:86" s="187" customFormat="1" ht="68">
      <c r="A94" s="174" t="s">
        <v>1</v>
      </c>
      <c r="B94" s="175">
        <f t="shared" ref="B94:B157" si="42">+B93+1</f>
        <v>76</v>
      </c>
      <c r="C94" s="176" t="str">
        <f>IFERROR(INDEX(Program_01!$B:$B,MATCH($B94,Program_01!$A:$A,0)),"")</f>
        <v>FULL TIA EAR</v>
      </c>
      <c r="D94" s="176" t="str">
        <f>IFERROR(INDEX(Program_01!$D:$D,MATCH($B94,Program_01!$A:$A,0)),"")</f>
        <v>1TB01002C22</v>
      </c>
      <c r="E94" s="176" t="str">
        <f>IFERROR(INDEX(Program_01!$E:$E,MATCH($B94,Program_01!$A:$A,0)),"")</f>
        <v>1.TB.01.002.99</v>
      </c>
      <c r="F94" s="176" t="str">
        <f>IFERROR(INDEX(Program_01!$F:$F,MATCH($B94,Program_01!$A:$A,0)),"")</f>
        <v>Marina Lifestyle Hotel &amp; Village</v>
      </c>
      <c r="G94" s="176" t="str">
        <f>IFERROR(INDEX(Program_01!$G:$G,MATCH($B94,Program_01!$A:$A,0)),"")</f>
        <v>Structural Steel Works</v>
      </c>
      <c r="H94" s="176" t="str">
        <f>IFERROR(INDEX(Program_01!$H:$H,MATCH($B94,Program_01!$A:$A,0)),"")</f>
        <v>Cleveland Bridge Steel Co. LTD</v>
      </c>
      <c r="I94" s="176" t="str">
        <f t="shared" si="37"/>
        <v>EOT</v>
      </c>
      <c r="J94" s="176">
        <f>IFERROR(INDEX(Program_01!$I:$I,MATCH($B94,Program_01!$A:$A,0)),"")</f>
        <v>1</v>
      </c>
      <c r="K94" s="176">
        <f>IFERROR(INDEX(Program_01!$J:$J,MATCH($B94,Program_01!$A:$A,0)),"")</f>
        <v>0</v>
      </c>
      <c r="L94" s="176">
        <f>IFERROR(INDEX(Program_01!$K:$K,MATCH($B94,Program_01!$A:$A,0)),"")</f>
        <v>0</v>
      </c>
      <c r="M94" s="176">
        <f>IFERROR(INDEX(Program_01!$L:$L,MATCH($B94,Program_01!$A:$A,0)),"")</f>
        <v>0</v>
      </c>
      <c r="N94" s="176">
        <f>IFERROR(INDEX(Program_01!$L:$L,MATCH($B94,Program_01!$A:$A,0)),"")</f>
        <v>0</v>
      </c>
      <c r="O94" s="176">
        <f>IFERROR(INDEX(Program_01!$N:$N,MATCH($B94,Program_01!$A:$A,0)),"")</f>
        <v>0</v>
      </c>
      <c r="P94" s="178"/>
      <c r="Q94" s="179" t="str">
        <f>IFERROR(INDEX(Program_01!$C:$C,MATCH($B94,Program_01!$A:$A,0)),"")</f>
        <v>Notification of Extension of Time (EOT) </v>
      </c>
      <c r="R94" s="176" t="str">
        <f>IFERROR(INDEX(Program_01!$V:$V,MATCH($B94,Program_01!$A:$A,0)),"")</f>
        <v>Start is the date of the email from Planning where they decided to issue a DEOT</v>
      </c>
      <c r="S94" s="180">
        <f>IFERROR(INDEX(Program_01!$W:$W,MATCH($B94,Program_01!$A:$A,0)),"")</f>
        <v>45686</v>
      </c>
      <c r="T94" s="178"/>
      <c r="U94" s="176">
        <f>IFERROR(INDEX(Program_01!$Z:$Z,MATCH($B94,Program_01!$A:$A,0)),"")</f>
        <v>0</v>
      </c>
      <c r="V94" s="181" t="str">
        <f>IFERROR(INDEX(Program_01!$AA:$AA,MATCH($B94,Program_01!$A:$A,0)),"")</f>
        <v>N/A</v>
      </c>
      <c r="W94" s="182" t="str">
        <f t="shared" ca="1" si="0"/>
        <v/>
      </c>
      <c r="X94" s="51"/>
      <c r="Y94" s="179">
        <f>IFERROR(INDEX(Program_01!$BD:$BD,MATCH($B94,Program_01!$A:$A,0)),"")</f>
        <v>0</v>
      </c>
      <c r="Z94" s="51"/>
      <c r="AA94" s="183" t="str">
        <f>IFERROR(IF((INDEX(Program_01!$AD:$AD,MATCH($B94,Program_01!$A:$A,0))=""),INDEX(Program_01!$V:$V,MATCH($B94,Program_01!$A:$A,0)),INDEX(Program_01!$AD:$AD,MATCH($B94,Program_01!$A:$A,0))),"")</f>
        <v>Start is the date of the email from Planning where they decided to issue a DEOT</v>
      </c>
      <c r="AB94" s="147">
        <f>IFERROR(IF((INDEX(Program_01!$AE:$AE,MATCH($B94,Program_01!$A:$A,0))=""),INDEX(Program_01!$W:$W,MATCH($B94,Program_01!$A:$A,0)),INDEX(Program_01!$AE:$AE,MATCH($B94,Program_01!$A:$A,0))),"")</f>
        <v>45686</v>
      </c>
      <c r="AC94" s="183" t="str">
        <f>IFERROR(IF($I94="EOT",INDEX(Program_01!$AN:$AN,MATCH($B94,Program_01!$A:$A,0)),INDEX(Program_01!$AY:$AY,MATCH($B94,Program_01!$A:$A,0))),"")</f>
        <v>AMA01002-EMPI-000015
1TB01002-002C22-AMA-EMI-PM-0001</v>
      </c>
      <c r="AD94" s="181">
        <f>IFERROR(IF($I94="EOT",INDEX(Program_01!$AO:$AO,MATCH($B94,Program_01!$A:$A,0)),INDEX(Program_01!$AZ:$AZ,MATCH($B94,Program_01!$A:$A,0))),"")</f>
        <v>45761</v>
      </c>
      <c r="AE94" s="51"/>
      <c r="AF94" s="183"/>
      <c r="AG94" s="181"/>
      <c r="AH94" s="183">
        <f>IF(OR($D94="",$AS94="VO Issued",$AS94="Open"),"",IF(OR($AC94="Rejected",$AC94="Superseded",$AC94="Dealt Separately"),$AC94,IF($I94="EOT",INDEX(Program_01!$AR:$AR,MATCH($B94,Program_01!$A:$A,0)),INDEX(Program_01!$BB:$BB,MATCH($B94,Program_01!$A:$A,0)))))</f>
        <v>0</v>
      </c>
      <c r="AI94" s="181">
        <f>IF(OR($A94="",$B94="",$I94="",$AS94="VO Issued",$AS94="Open"),"",IF(OR($AD94="N/A"),$AD94,IF($I94="EOT",INDEX(Program_01!$AS:$AS,MATCH($B94,Program_01!$A:$A,0)),INDEX(Program_01!$BC:$BC,MATCH($B94,Program_01!$A:$A,0)))))</f>
        <v>0</v>
      </c>
      <c r="AJ94" s="183">
        <f>IF(OR($D94="",$I94="",$AS94="Determination Issued",$AS94="Rejected",$AS94="Open"),"",IF(OR($AH94="Rejected",$AH94="Dealt Separately",$AH94="Superseded",$AH94="Withdrawn"),"N/A",IF($I94="EOT",INDEX(Program_01!AR:AR,MATCH($B94,Program_01!A:A,0)),INDEX(Program_01!BB:BB,MATCH($B94,Program_01!A:A,0)))))</f>
        <v>0</v>
      </c>
      <c r="AK94" s="181">
        <f>IF(OR($A94="",$B94="",$I94="",$AS94="Determination Issued",$AS94="Rejected",$AS94="Open"),"",IF($AJ94="N/A","N/A",IF($I94="EOT",INDEX(Program_01!AS:AS,MATCH($B94,Program_01!A:A,0)),INDEX(Program_01!BC:BC,MATCH($B94,Program_01!A:A,0)))))</f>
        <v>0</v>
      </c>
      <c r="AL94" s="51"/>
      <c r="AM94" s="184">
        <f>IFERROR(INDEX(Program_01!$BT:$BT,MATCH($B94,Program_01!$A:$A,0)),"")</f>
        <v>0</v>
      </c>
      <c r="AN94" s="184">
        <f>IFERROR(INDEX(Program_01!$BU:$BU,MATCH($B94,Program_01!$A:$A,0)),"")</f>
        <v>0</v>
      </c>
      <c r="AO94" s="184">
        <f>IFERROR(INDEX(Program_01!$BV:$BV,MATCH($B94,Program_01!$A:$A,0)),"")</f>
        <v>0</v>
      </c>
      <c r="AP94" s="51" t="str">
        <f t="shared" si="12"/>
        <v/>
      </c>
      <c r="AQ94" s="184" t="str">
        <f>IFERROR(INDEX(Program_01!$BN:$BN,MATCH($B94,Program_01!$A:$A,0)),"")</f>
        <v>Discretionary EOT / EI Issued</v>
      </c>
      <c r="AR94" s="184" t="str">
        <f>IFERROR(INDEX(Program_01!$BO:$BO,MATCH($B94,Program_01!$A:$A,0)),"")</f>
        <v>Not Applicable</v>
      </c>
      <c r="AS94" s="184" t="str">
        <f>IFERROR(INDEX(Program_01!$BP:$BP,MATCH($B94,Program_01!$A:$A,0)),"")</f>
        <v>EI Issued</v>
      </c>
      <c r="AT94" s="185" t="str">
        <f>IFERROR(INDEX(Program_01!$BQ:$BQ,MATCH($B94,Program_01!$A:$A,0)),"")</f>
        <v>Closed</v>
      </c>
      <c r="AU94" s="179" t="str">
        <f>IFERROR(INDEX(Program_01!$BR:$BR,MATCH($B94,Program_01!$A:$A,0)),"")</f>
        <v>DEOT Assessment is based on the impact of Engineering delays and Additional scope of works. This EOT is subject to Discretionary EOT route</v>
      </c>
      <c r="AV94" s="186" t="str">
        <f t="shared" si="32"/>
        <v/>
      </c>
      <c r="AW94" s="186" t="str">
        <f t="shared" si="13"/>
        <v>CLOSED</v>
      </c>
      <c r="AX94" s="186" t="str">
        <f t="shared" si="33"/>
        <v>CLOSED</v>
      </c>
      <c r="AY94" s="181">
        <f t="shared" si="38"/>
        <v>45686</v>
      </c>
      <c r="AZ94" s="181">
        <f t="shared" ref="AZ94:AZ116" si="43">IF($AD94=0,"",AD94)</f>
        <v>45761</v>
      </c>
      <c r="BA94" s="181">
        <f t="shared" si="4"/>
        <v>0</v>
      </c>
      <c r="BC94" s="181">
        <f>IFERROR(INDEX(Program_01!BF:BF,MATCH($B94,Program_01!$A:$A,0)),"")</f>
        <v>45686</v>
      </c>
      <c r="BD94" s="188" t="str">
        <f ca="1">IFERROR(INDEX(Program_01!BG:BG,MATCH($B94,Program_01!$A:$A,0)),"")</f>
        <v>N/A</v>
      </c>
      <c r="BE94" s="181">
        <f>IFERROR(INDEX(Program_01!BH:BH,MATCH($B94,Program_01!$A:$A,0)),"")</f>
        <v>0</v>
      </c>
      <c r="BF94" s="189">
        <f ca="1">IFERROR(INDEX(Program_01!BI:BI,MATCH($B94,Program_01!$A:$A,0)),"")</f>
        <v>0</v>
      </c>
      <c r="BG94" s="181">
        <f>IFERROR(INDEX(Program_01!BJ:BJ,MATCH($B94,Program_01!$A:$A,0)),"")</f>
        <v>0</v>
      </c>
      <c r="BH94" s="189">
        <f ca="1">IFERROR(INDEX(Program_01!BK:BK,MATCH($B94,Program_01!$A:$A,0)),"")</f>
        <v>0</v>
      </c>
      <c r="BI94" s="181">
        <f>IFERROR(INDEX(Program_01!BL:BL,MATCH($B94,Program_01!$A:$A,0)),"")</f>
        <v>0</v>
      </c>
      <c r="BK94" s="190" t="str">
        <f>IFERROR(IF(INDEX(Program_01!$BX:$BX,MATCH($B94,Program_01!$A:$A,0))=DATE(1900,1,0),"",INDEX(Program_01!$BX:$BX,MATCH($B94,Program_01!$A:$A,0))),"")</f>
        <v/>
      </c>
      <c r="BL94" s="190">
        <f>IFERROR(IF(INDEX(Program_01!$BY:$BY,MATCH($B94,Program_01!$A:$A,0))=DATE(1900,1,0),"",INDEX(Program_01!$BY:$BY,MATCH($B94,Program_01!$A:$A,0))),"")</f>
        <v>45761</v>
      </c>
      <c r="BM94" s="188">
        <f t="shared" ca="1" si="39"/>
        <v>75</v>
      </c>
      <c r="BN94" s="191">
        <f t="shared" ca="1" si="40"/>
        <v>0</v>
      </c>
      <c r="BO94" s="188" t="str">
        <f t="shared" si="34"/>
        <v/>
      </c>
      <c r="BP94" s="188" t="str">
        <f t="shared" si="6"/>
        <v>1</v>
      </c>
      <c r="BQ94" s="188" t="str">
        <f t="shared" ca="1" si="41"/>
        <v/>
      </c>
      <c r="BR94" s="181" t="str">
        <f t="shared" ref="BR94:BR116" ca="1" si="44">IF(BQ94="","","1")</f>
        <v/>
      </c>
      <c r="BT94" s="190" t="str">
        <f>IFERROR(IF(INDEX(Program_01!$BZ:$BZ,MATCH($B94,Program_01!$A:$A,0))=DATE(1900,1,0),"",INDEX(Program_01!$BZ:$BZ,MATCH($B94,Program_01!$A:$A,0))),"")</f>
        <v/>
      </c>
      <c r="BU94" s="182" t="str">
        <f t="shared" ca="1" si="22"/>
        <v/>
      </c>
      <c r="BV94" s="188" t="str">
        <f t="shared" si="35"/>
        <v/>
      </c>
      <c r="BW94" s="188" t="str">
        <f t="shared" si="8"/>
        <v>1</v>
      </c>
      <c r="BX94" s="188" t="str">
        <f t="shared" ca="1" si="36"/>
        <v/>
      </c>
      <c r="BY94" s="181" t="str">
        <f t="shared" ref="BY94:BY116" ca="1" si="45">IF(BX94="","","1")</f>
        <v/>
      </c>
      <c r="CA94" s="192" t="str">
        <f t="shared" si="20"/>
        <v>N</v>
      </c>
      <c r="CB94" s="192" t="str">
        <f t="shared" si="21"/>
        <v>N</v>
      </c>
      <c r="CC94" s="193">
        <f>IFERROR(INDEX(Program_01!$CE:$CE,MATCH($B94,Program_01!$A:$A,0)),"")</f>
        <v>45761</v>
      </c>
      <c r="CD94" s="193">
        <f t="shared" si="31"/>
        <v>45761</v>
      </c>
      <c r="CG94" s="194">
        <f>IFERROR(INDEX(Program_01!$AT:$AT,MATCH($B94,Program_01!$A:$A,0)),"")</f>
        <v>0</v>
      </c>
      <c r="CH94" s="194">
        <f>IFERROR(INDEX(Program_01!$AX:$AX,MATCH($B94,Program_01!$A:$A,0)),"")</f>
        <v>0</v>
      </c>
    </row>
    <row r="95" spans="1:86" s="187" customFormat="1" ht="68">
      <c r="A95" s="174" t="s">
        <v>1</v>
      </c>
      <c r="B95" s="175">
        <f t="shared" si="42"/>
        <v>77</v>
      </c>
      <c r="C95" s="176" t="str">
        <f>IFERROR(INDEX(Program_01!$B:$B,MATCH($B95,Program_01!$A:$A,0)),"")</f>
        <v>FULL TIA EAR</v>
      </c>
      <c r="D95" s="176" t="str">
        <f>IFERROR(INDEX(Program_01!$D:$D,MATCH($B95,Program_01!$A:$A,0)),"")</f>
        <v>1TB01002C04</v>
      </c>
      <c r="E95" s="176" t="str">
        <f>IFERROR(INDEX(Program_01!$E:$E,MATCH($B95,Program_01!$A:$A,0)),"")</f>
        <v>1.TB.01.002.99</v>
      </c>
      <c r="F95" s="176" t="str">
        <f>IFERROR(INDEX(Program_01!$F:$F,MATCH($B95,Program_01!$A:$A,0)),"")</f>
        <v>Marina Lifestyle Hotel &amp; Village</v>
      </c>
      <c r="G95" s="176" t="str">
        <f>IFERROR(INDEX(Program_01!$G:$G,MATCH($B95,Program_01!$A:$A,0)),"")</f>
        <v>MEP &amp; ICT / ELV Works for Marina Lifestyle Hotel</v>
      </c>
      <c r="H95" s="176" t="str">
        <f>IFERROR(INDEX(Program_01!$H:$H,MATCH($B95,Program_01!$A:$A,0)),"")</f>
        <v>Shapoorji Pallonji Mideast LLC</v>
      </c>
      <c r="I95" s="176" t="str">
        <f t="shared" si="37"/>
        <v>EOT</v>
      </c>
      <c r="J95" s="176">
        <f>IFERROR(INDEX(Program_01!$I:$I,MATCH($B95,Program_01!$A:$A,0)),"")</f>
        <v>1</v>
      </c>
      <c r="K95" s="176">
        <f>IFERROR(INDEX(Program_01!$J:$J,MATCH($B95,Program_01!$A:$A,0)),"")</f>
        <v>0</v>
      </c>
      <c r="L95" s="176">
        <f>IFERROR(INDEX(Program_01!$K:$K,MATCH($B95,Program_01!$A:$A,0)),"")</f>
        <v>0</v>
      </c>
      <c r="M95" s="176">
        <f>IFERROR(INDEX(Program_01!$L:$L,MATCH($B95,Program_01!$A:$A,0)),"")</f>
        <v>0</v>
      </c>
      <c r="N95" s="176">
        <f>IFERROR(INDEX(Program_01!$L:$L,MATCH($B95,Program_01!$A:$A,0)),"")</f>
        <v>0</v>
      </c>
      <c r="O95" s="176">
        <f>IFERROR(INDEX(Program_01!$N:$N,MATCH($B95,Program_01!$A:$A,0)),"")</f>
        <v>0</v>
      </c>
      <c r="P95" s="178"/>
      <c r="Q95" s="179" t="str">
        <f>IFERROR(INDEX(Program_01!$C:$C,MATCH($B95,Program_01!$A:$A,0)),"")</f>
        <v>Extension of Time Claim No 1</v>
      </c>
      <c r="R95" s="176" t="str">
        <f>IFERROR(INDEX(Program_01!$V:$V,MATCH($B95,Program_01!$A:$A,0)),"")</f>
        <v>Start is the date of the email from Planning where they decided to issue a DEOT</v>
      </c>
      <c r="S95" s="180">
        <f>IFERROR(INDEX(Program_01!$W:$W,MATCH($B95,Program_01!$A:$A,0)),"")</f>
        <v>45686</v>
      </c>
      <c r="T95" s="178"/>
      <c r="U95" s="176">
        <f>IFERROR(INDEX(Program_01!$Z:$Z,MATCH($B95,Program_01!$A:$A,0)),"")</f>
        <v>0</v>
      </c>
      <c r="V95" s="181" t="str">
        <f>IFERROR(INDEX(Program_01!$AA:$AA,MATCH($B95,Program_01!$A:$A,0)),"")</f>
        <v>N/A</v>
      </c>
      <c r="W95" s="182" t="str">
        <f t="shared" ca="1" si="0"/>
        <v/>
      </c>
      <c r="X95" s="51"/>
      <c r="Y95" s="179">
        <f>IFERROR(INDEX(Program_01!$BD:$BD,MATCH($B95,Program_01!$A:$A,0)),"")</f>
        <v>0</v>
      </c>
      <c r="Z95" s="51"/>
      <c r="AA95" s="183" t="str">
        <f>IFERROR(IF((INDEX(Program_01!$AD:$AD,MATCH($B95,Program_01!$A:$A,0))=""),INDEX(Program_01!$V:$V,MATCH($B95,Program_01!$A:$A,0)),INDEX(Program_01!$AD:$AD,MATCH($B95,Program_01!$A:$A,0))),"")</f>
        <v>Start is the date of the email from Planning where they decided to issue a DEOT</v>
      </c>
      <c r="AB95" s="147">
        <f>IFERROR(IF((INDEX(Program_01!$AE:$AE,MATCH($B95,Program_01!$A:$A,0))=""),INDEX(Program_01!$W:$W,MATCH($B95,Program_01!$A:$A,0)),INDEX(Program_01!$AE:$AE,MATCH($B95,Program_01!$A:$A,0))),"")</f>
        <v>45686</v>
      </c>
      <c r="AC95" s="183" t="str">
        <f>IFERROR(IF($I95="EOT",INDEX(Program_01!$AN:$AN,MATCH($B95,Program_01!$A:$A,0)),INDEX(Program_01!$AY:$AY,MATCH($B95,Program_01!$A:$A,0))),"")</f>
        <v>1TB01002-002C04-AMA-EMI-PM-0001</v>
      </c>
      <c r="AD95" s="181">
        <f>IFERROR(IF($I95="EOT",INDEX(Program_01!$AO:$AO,MATCH($B95,Program_01!$A:$A,0)),INDEX(Program_01!$AZ:$AZ,MATCH($B95,Program_01!$A:$A,0))),"")</f>
        <v>45790</v>
      </c>
      <c r="AE95" s="51"/>
      <c r="AF95" s="183"/>
      <c r="AG95" s="181"/>
      <c r="AH95" s="183">
        <f>IF(OR($D95="",$AS95="VO Issued",$AS95="Open"),"",IF(OR($AC95="Rejected",$AC95="Superseded",$AC95="Dealt Separately"),$AC95,IF($I95="EOT",INDEX(Program_01!$AR:$AR,MATCH($B95,Program_01!$A:$A,0)),INDEX(Program_01!$BB:$BB,MATCH($B95,Program_01!$A:$A,0)))))</f>
        <v>0</v>
      </c>
      <c r="AI95" s="181">
        <f>IF(OR($A95="",$B95="",$I95="",$AS95="VO Issued",$AS95="Open"),"",IF(OR($AD95="N/A"),$AD95,IF($I95="EOT",INDEX(Program_01!$AS:$AS,MATCH($B95,Program_01!$A:$A,0)),INDEX(Program_01!$BC:$BC,MATCH($B95,Program_01!$A:$A,0)))))</f>
        <v>0</v>
      </c>
      <c r="AJ95" s="183">
        <f>IF(OR($D95="",$I95="",$AS95="Determination Issued",$AS95="Rejected",$AS95="Open"),"",IF(OR($AH95="Rejected",$AH95="Dealt Separately",$AH95="Superseded",$AH95="Withdrawn"),"N/A",IF($I95="EOT",INDEX(Program_01!AR:AR,MATCH($B95,Program_01!A:A,0)),INDEX(Program_01!BB:BB,MATCH($B95,Program_01!A:A,0)))))</f>
        <v>0</v>
      </c>
      <c r="AK95" s="181">
        <f>IF(OR($A95="",$B95="",$I95="",$AS95="Determination Issued",$AS95="Rejected",$AS95="Open"),"",IF($AJ95="N/A","N/A",IF($I95="EOT",INDEX(Program_01!AS:AS,MATCH($B95,Program_01!A:A,0)),INDEX(Program_01!BC:BC,MATCH($B95,Program_01!A:A,0)))))</f>
        <v>0</v>
      </c>
      <c r="AL95" s="51"/>
      <c r="AM95" s="184">
        <f>IFERROR(INDEX(Program_01!$BT:$BT,MATCH($B95,Program_01!$A:$A,0)),"")</f>
        <v>0</v>
      </c>
      <c r="AN95" s="184">
        <f>IFERROR(INDEX(Program_01!$BU:$BU,MATCH($B95,Program_01!$A:$A,0)),"")</f>
        <v>0</v>
      </c>
      <c r="AO95" s="184">
        <f>IFERROR(INDEX(Program_01!$BV:$BV,MATCH($B95,Program_01!$A:$A,0)),"")</f>
        <v>0</v>
      </c>
      <c r="AP95" s="51" t="str">
        <f t="shared" ref="AP95:AP158" si="46">IF(OR($AN95="Yes",$AO95="Yes"),"1","")</f>
        <v/>
      </c>
      <c r="AQ95" s="184" t="str">
        <f>IFERROR(INDEX(Program_01!$BN:$BN,MATCH($B95,Program_01!$A:$A,0)),"")</f>
        <v>Discretionary EOT / EI Issued</v>
      </c>
      <c r="AR95" s="184" t="str">
        <f>IFERROR(INDEX(Program_01!$BO:$BO,MATCH($B95,Program_01!$A:$A,0)),"")</f>
        <v>Not Applicable</v>
      </c>
      <c r="AS95" s="184" t="str">
        <f>IFERROR(INDEX(Program_01!$BP:$BP,MATCH($B95,Program_01!$A:$A,0)),"")</f>
        <v>EI Issued</v>
      </c>
      <c r="AT95" s="185" t="str">
        <f>IFERROR(INDEX(Program_01!$BQ:$BQ,MATCH($B95,Program_01!$A:$A,0)),"")</f>
        <v>Closed</v>
      </c>
      <c r="AU95" s="179" t="str">
        <f>IFERROR(INDEX(Program_01!$BR:$BR,MATCH($B95,Program_01!$A:$A,0)),"")</f>
        <v>DEOT Assessment is based on the impact of Engineering delays and Additional scope of works. This EOT is subject to Discretionary EOT route</v>
      </c>
      <c r="AV95" s="186" t="str">
        <f t="shared" si="32"/>
        <v/>
      </c>
      <c r="AW95" s="186" t="str">
        <f t="shared" ref="AW95:AW158" si="47">IF($I95="","",IF($S95&lt;$AW$16,"",IF($AS95="OPEN","OPEN",IF($AS95="","",IF(AND($AS95&lt;&gt;"OPEN",$AT95="CLOSED"),"CLOSED",IF(AND($AS95&lt;&gt;"OPEN",$AT95&lt;&gt;"CLOSED"),"OPEN",""))))))</f>
        <v>CLOSED</v>
      </c>
      <c r="AX95" s="186" t="str">
        <f t="shared" si="33"/>
        <v>CLOSED</v>
      </c>
      <c r="AY95" s="181">
        <f t="shared" si="38"/>
        <v>45686</v>
      </c>
      <c r="AZ95" s="181">
        <f t="shared" si="43"/>
        <v>45790</v>
      </c>
      <c r="BA95" s="181">
        <f t="shared" si="4"/>
        <v>0</v>
      </c>
      <c r="BC95" s="181">
        <f>IFERROR(INDEX(Program_01!BF:BF,MATCH($B95,Program_01!$A:$A,0)),"")</f>
        <v>45686</v>
      </c>
      <c r="BD95" s="188" t="str">
        <f ca="1">IFERROR(INDEX(Program_01!BG:BG,MATCH($B95,Program_01!$A:$A,0)),"")</f>
        <v>N/A</v>
      </c>
      <c r="BE95" s="181">
        <f>IFERROR(INDEX(Program_01!BH:BH,MATCH($B95,Program_01!$A:$A,0)),"")</f>
        <v>0</v>
      </c>
      <c r="BF95" s="189">
        <f ca="1">IFERROR(INDEX(Program_01!BI:BI,MATCH($B95,Program_01!$A:$A,0)),"")</f>
        <v>0</v>
      </c>
      <c r="BG95" s="181">
        <f>IFERROR(INDEX(Program_01!BJ:BJ,MATCH($B95,Program_01!$A:$A,0)),"")</f>
        <v>0</v>
      </c>
      <c r="BH95" s="189">
        <f ca="1">IFERROR(INDEX(Program_01!BK:BK,MATCH($B95,Program_01!$A:$A,0)),"")</f>
        <v>0</v>
      </c>
      <c r="BI95" s="181">
        <f>IFERROR(INDEX(Program_01!BL:BL,MATCH($B95,Program_01!$A:$A,0)),"")</f>
        <v>0</v>
      </c>
      <c r="BK95" s="190" t="str">
        <f>IFERROR(IF(INDEX(Program_01!$BX:$BX,MATCH($B95,Program_01!$A:$A,0))=DATE(1900,1,0),"",INDEX(Program_01!$BX:$BX,MATCH($B95,Program_01!$A:$A,0))),"")</f>
        <v/>
      </c>
      <c r="BL95" s="190">
        <f>IFERROR(IF(INDEX(Program_01!$BY:$BY,MATCH($B95,Program_01!$A:$A,0))=DATE(1900,1,0),"",INDEX(Program_01!$BY:$BY,MATCH($B95,Program_01!$A:$A,0))),"")</f>
        <v>45788</v>
      </c>
      <c r="BM95" s="188">
        <f t="shared" ca="1" si="39"/>
        <v>104</v>
      </c>
      <c r="BN95" s="191">
        <f t="shared" ca="1" si="40"/>
        <v>0</v>
      </c>
      <c r="BO95" s="188" t="str">
        <f t="shared" si="34"/>
        <v/>
      </c>
      <c r="BP95" s="188" t="str">
        <f t="shared" si="6"/>
        <v>1</v>
      </c>
      <c r="BQ95" s="188" t="str">
        <f t="shared" ca="1" si="41"/>
        <v/>
      </c>
      <c r="BR95" s="181" t="str">
        <f t="shared" ca="1" si="44"/>
        <v/>
      </c>
      <c r="BT95" s="190" t="str">
        <f>IFERROR(IF(INDEX(Program_01!$BZ:$BZ,MATCH($B95,Program_01!$A:$A,0))=DATE(1900,1,0),"",INDEX(Program_01!$BZ:$BZ,MATCH($B95,Program_01!$A:$A,0))),"")</f>
        <v/>
      </c>
      <c r="BU95" s="182" t="str">
        <f t="shared" ref="BU95:BU158" ca="1" si="48">IF(OR($I95="",$AV95="",$AM95&lt;&gt;0,$BA95="N/A",$AZ95=""),"",IF(AND($BA95="",$AZ95&lt;&gt;""),TODAY()-$AZ95,$BA95-$AZ95))</f>
        <v/>
      </c>
      <c r="BV95" s="188" t="str">
        <f t="shared" si="35"/>
        <v/>
      </c>
      <c r="BW95" s="188" t="str">
        <f t="shared" si="8"/>
        <v>1</v>
      </c>
      <c r="BX95" s="188" t="str">
        <f t="shared" ca="1" si="36"/>
        <v/>
      </c>
      <c r="BY95" s="181" t="str">
        <f t="shared" ca="1" si="45"/>
        <v/>
      </c>
      <c r="CA95" s="192" t="str">
        <f t="shared" ref="CA95:CA158" si="49">IF($I95="","",IF(AND($AR95="Assessment Report Issued",$AZ95&lt;&gt;""),"Y","N"))</f>
        <v>N</v>
      </c>
      <c r="CB95" s="192" t="str">
        <f t="shared" ref="CB95:CB158" si="50">IF($I95="","",IF(OR($AS95="Determination Issued",$AS95="VO Issued"),"Y","N"))</f>
        <v>N</v>
      </c>
      <c r="CC95" s="193">
        <f>IFERROR(INDEX(Program_01!$CE:$CE,MATCH($B95,Program_01!$A:$A,0)),"")</f>
        <v>45788</v>
      </c>
      <c r="CD95" s="193">
        <f t="shared" si="31"/>
        <v>45788</v>
      </c>
      <c r="CG95" s="194">
        <f>IFERROR(INDEX(Program_01!$AT:$AT,MATCH($B95,Program_01!$A:$A,0)),"")</f>
        <v>0</v>
      </c>
      <c r="CH95" s="194">
        <f>IFERROR(INDEX(Program_01!$AX:$AX,MATCH($B95,Program_01!$A:$A,0)),"")</f>
        <v>0</v>
      </c>
    </row>
    <row r="96" spans="1:86" s="187" customFormat="1" ht="68">
      <c r="A96" s="174" t="s">
        <v>1</v>
      </c>
      <c r="B96" s="175">
        <f t="shared" si="42"/>
        <v>78</v>
      </c>
      <c r="C96" s="176" t="str">
        <f>IFERROR(INDEX(Program_01!$B:$B,MATCH($B96,Program_01!$A:$A,0)),"")</f>
        <v>FULL TIA EAR</v>
      </c>
      <c r="D96" s="176" t="str">
        <f>IFERROR(INDEX(Program_01!$D:$D,MATCH($B96,Program_01!$A:$A,0)),"")</f>
        <v>1TB01006C15</v>
      </c>
      <c r="E96" s="176" t="str">
        <f>IFERROR(INDEX(Program_01!$E:$E,MATCH($B96,Program_01!$A:$A,0)),"")</f>
        <v>1.TB.01.006.99</v>
      </c>
      <c r="F96" s="176" t="str">
        <f>IFERROR(INDEX(Program_01!$F:$F,MATCH($B96,Program_01!$A:$A,0)),"")</f>
        <v>Village Boutique Hotel</v>
      </c>
      <c r="G96" s="176" t="str">
        <f>IFERROR(INDEX(Program_01!$G:$G,MATCH($B96,Program_01!$A:$A,0)),"")</f>
        <v>MEP &amp; ICT / ELV Works for Village Boutique Hotel</v>
      </c>
      <c r="H96" s="176" t="str">
        <f>IFERROR(INDEX(Program_01!$H:$H,MATCH($B96,Program_01!$A:$A,0)),"")</f>
        <v>Shapoorji Pallonji Mideast LLC</v>
      </c>
      <c r="I96" s="176" t="str">
        <f t="shared" si="37"/>
        <v>EOT</v>
      </c>
      <c r="J96" s="176">
        <f>IFERROR(INDEX(Program_01!$I:$I,MATCH($B96,Program_01!$A:$A,0)),"")</f>
        <v>1</v>
      </c>
      <c r="K96" s="176">
        <f>IFERROR(INDEX(Program_01!$J:$J,MATCH($B96,Program_01!$A:$A,0)),"")</f>
        <v>0</v>
      </c>
      <c r="L96" s="176">
        <f>IFERROR(INDEX(Program_01!$K:$K,MATCH($B96,Program_01!$A:$A,0)),"")</f>
        <v>0</v>
      </c>
      <c r="M96" s="176">
        <f>IFERROR(INDEX(Program_01!$L:$L,MATCH($B96,Program_01!$A:$A,0)),"")</f>
        <v>0</v>
      </c>
      <c r="N96" s="176">
        <f>IFERROR(INDEX(Program_01!$L:$L,MATCH($B96,Program_01!$A:$A,0)),"")</f>
        <v>0</v>
      </c>
      <c r="O96" s="176">
        <f>IFERROR(INDEX(Program_01!$N:$N,MATCH($B96,Program_01!$A:$A,0)),"")</f>
        <v>0</v>
      </c>
      <c r="P96" s="178"/>
      <c r="Q96" s="179" t="str">
        <f>IFERROR(INDEX(Program_01!$C:$C,MATCH($B96,Program_01!$A:$A,0)),"")</f>
        <v>Interim Extension of Time Claim No. 1 up to a cut-off date of 31 July 2024</v>
      </c>
      <c r="R96" s="176" t="str">
        <f>IFERROR(INDEX(Program_01!$V:$V,MATCH($B96,Program_01!$A:$A,0)),"")</f>
        <v>Start is the date of the email from Planning where they decided to issue a DEOT</v>
      </c>
      <c r="S96" s="180">
        <f>IFERROR(INDEX(Program_01!$W:$W,MATCH($B96,Program_01!$A:$A,0)),"")</f>
        <v>45686</v>
      </c>
      <c r="T96" s="178"/>
      <c r="U96" s="176">
        <f>IFERROR(INDEX(Program_01!$Z:$Z,MATCH($B96,Program_01!$A:$A,0)),"")</f>
        <v>0</v>
      </c>
      <c r="V96" s="181" t="str">
        <f>IFERROR(INDEX(Program_01!$AA:$AA,MATCH($B96,Program_01!$A:$A,0)),"")</f>
        <v>N/A</v>
      </c>
      <c r="W96" s="182" t="str">
        <f t="shared" ca="1" si="0"/>
        <v/>
      </c>
      <c r="X96" s="51"/>
      <c r="Y96" s="179">
        <f>IFERROR(INDEX(Program_01!$BD:$BD,MATCH($B96,Program_01!$A:$A,0)),"")</f>
        <v>0</v>
      </c>
      <c r="Z96" s="51"/>
      <c r="AA96" s="183" t="str">
        <f>IFERROR(IF((INDEX(Program_01!$AD:$AD,MATCH($B96,Program_01!$A:$A,0))=""),INDEX(Program_01!$V:$V,MATCH($B96,Program_01!$A:$A,0)),INDEX(Program_01!$AD:$AD,MATCH($B96,Program_01!$A:$A,0))),"")</f>
        <v>Start is the date of the email from Planning where they decided to issue a DEOT</v>
      </c>
      <c r="AB96" s="147">
        <f>IFERROR(IF((INDEX(Program_01!$AE:$AE,MATCH($B96,Program_01!$A:$A,0))=""),INDEX(Program_01!$W:$W,MATCH($B96,Program_01!$A:$A,0)),INDEX(Program_01!$AE:$AE,MATCH($B96,Program_01!$A:$A,0))),"")</f>
        <v>45686</v>
      </c>
      <c r="AC96" s="183" t="str">
        <f>IFERROR(IF($I96="EOT",INDEX(Program_01!$AN:$AN,MATCH($B96,Program_01!$A:$A,0)),INDEX(Program_01!$AY:$AY,MATCH($B96,Program_01!$A:$A,0))),"")</f>
        <v>1TB01006-006C15-AMA-EMI-CM-0004</v>
      </c>
      <c r="AD96" s="181">
        <f>IFERROR(IF($I96="EOT",INDEX(Program_01!$AO:$AO,MATCH($B96,Program_01!$A:$A,0)),INDEX(Program_01!$AZ:$AZ,MATCH($B96,Program_01!$A:$A,0))),"")</f>
        <v>45788</v>
      </c>
      <c r="AE96" s="51"/>
      <c r="AF96" s="183"/>
      <c r="AG96" s="181"/>
      <c r="AH96" s="183">
        <f>IF(OR($D96="",$AS96="VO Issued",$AS96="Open"),"",IF(OR($AC96="Rejected",$AC96="Superseded",$AC96="Dealt Separately"),$AC96,IF($I96="EOT",INDEX(Program_01!$AR:$AR,MATCH($B96,Program_01!$A:$A,0)),INDEX(Program_01!$BB:$BB,MATCH($B96,Program_01!$A:$A,0)))))</f>
        <v>0</v>
      </c>
      <c r="AI96" s="181">
        <f>IF(OR($A96="",$B96="",$I96="",$AS96="VO Issued",$AS96="Open"),"",IF(OR($AD96="N/A"),$AD96,IF($I96="EOT",INDEX(Program_01!$AS:$AS,MATCH($B96,Program_01!$A:$A,0)),INDEX(Program_01!$BC:$BC,MATCH($B96,Program_01!$A:$A,0)))))</f>
        <v>0</v>
      </c>
      <c r="AJ96" s="183">
        <f>IF(OR($D96="",$I96="",$AS96="Determination Issued",$AS96="Rejected",$AS96="Open"),"",IF(OR($AH96="Rejected",$AH96="Dealt Separately",$AH96="Superseded",$AH96="Withdrawn"),"N/A",IF($I96="EOT",INDEX(Program_01!AR:AR,MATCH($B96,Program_01!A:A,0)),INDEX(Program_01!BB:BB,MATCH($B96,Program_01!A:A,0)))))</f>
        <v>0</v>
      </c>
      <c r="AK96" s="181">
        <f>IF(OR($A96="",$B96="",$I96="",$AS96="Determination Issued",$AS96="Rejected",$AS96="Open"),"",IF($AJ96="N/A","N/A",IF($I96="EOT",INDEX(Program_01!AS:AS,MATCH($B96,Program_01!A:A,0)),INDEX(Program_01!BC:BC,MATCH($B96,Program_01!A:A,0)))))</f>
        <v>0</v>
      </c>
      <c r="AL96" s="51"/>
      <c r="AM96" s="184">
        <f>IFERROR(INDEX(Program_01!$BT:$BT,MATCH($B96,Program_01!$A:$A,0)),"")</f>
        <v>0</v>
      </c>
      <c r="AN96" s="184">
        <f>IFERROR(INDEX(Program_01!$BU:$BU,MATCH($B96,Program_01!$A:$A,0)),"")</f>
        <v>0</v>
      </c>
      <c r="AO96" s="184">
        <f>IFERROR(INDEX(Program_01!$BV:$BV,MATCH($B96,Program_01!$A:$A,0)),"")</f>
        <v>0</v>
      </c>
      <c r="AP96" s="51" t="str">
        <f t="shared" si="46"/>
        <v/>
      </c>
      <c r="AQ96" s="184" t="str">
        <f>IFERROR(INDEX(Program_01!$BN:$BN,MATCH($B96,Program_01!$A:$A,0)),"")</f>
        <v>Discretionary EOT / EI Issued</v>
      </c>
      <c r="AR96" s="184" t="str">
        <f>IFERROR(INDEX(Program_01!$BO:$BO,MATCH($B96,Program_01!$A:$A,0)),"")</f>
        <v>Not Applicable</v>
      </c>
      <c r="AS96" s="184" t="str">
        <f>IFERROR(INDEX(Program_01!$BP:$BP,MATCH($B96,Program_01!$A:$A,0)),"")</f>
        <v>EI Issued</v>
      </c>
      <c r="AT96" s="185" t="str">
        <f>IFERROR(INDEX(Program_01!$BQ:$BQ,MATCH($B96,Program_01!$A:$A,0)),"")</f>
        <v>Closed</v>
      </c>
      <c r="AU96" s="179" t="str">
        <f>IFERROR(INDEX(Program_01!$BR:$BR,MATCH($B96,Program_01!$A:$A,0)),"")</f>
        <v>DEOT Assessment is based on the impact of Engineering delays and Additional scope of works. This EOT is subject to Discretionary EOT route</v>
      </c>
      <c r="AV96" s="186" t="str">
        <f t="shared" si="32"/>
        <v/>
      </c>
      <c r="AW96" s="186" t="str">
        <f t="shared" si="47"/>
        <v>CLOSED</v>
      </c>
      <c r="AX96" s="186" t="str">
        <f t="shared" si="33"/>
        <v>CLOSED</v>
      </c>
      <c r="AY96" s="181">
        <f t="shared" si="38"/>
        <v>45686</v>
      </c>
      <c r="AZ96" s="181">
        <f t="shared" si="43"/>
        <v>45788</v>
      </c>
      <c r="BA96" s="181">
        <f t="shared" si="4"/>
        <v>0</v>
      </c>
      <c r="BC96" s="181">
        <f>IFERROR(INDEX(Program_01!BF:BF,MATCH($B96,Program_01!$A:$A,0)),"")</f>
        <v>45686</v>
      </c>
      <c r="BD96" s="188" t="str">
        <f ca="1">IFERROR(INDEX(Program_01!BG:BG,MATCH($B96,Program_01!$A:$A,0)),"")</f>
        <v>N/A</v>
      </c>
      <c r="BE96" s="181">
        <f>IFERROR(INDEX(Program_01!BH:BH,MATCH($B96,Program_01!$A:$A,0)),"")</f>
        <v>0</v>
      </c>
      <c r="BF96" s="189">
        <f ca="1">IFERROR(INDEX(Program_01!BI:BI,MATCH($B96,Program_01!$A:$A,0)),"")</f>
        <v>0</v>
      </c>
      <c r="BG96" s="181">
        <f>IFERROR(INDEX(Program_01!BJ:BJ,MATCH($B96,Program_01!$A:$A,0)),"")</f>
        <v>0</v>
      </c>
      <c r="BH96" s="189">
        <f ca="1">IFERROR(INDEX(Program_01!BK:BK,MATCH($B96,Program_01!$A:$A,0)),"")</f>
        <v>0</v>
      </c>
      <c r="BI96" s="181">
        <f>IFERROR(INDEX(Program_01!BL:BL,MATCH($B96,Program_01!$A:$A,0)),"")</f>
        <v>0</v>
      </c>
      <c r="BK96" s="190" t="str">
        <f>IFERROR(IF(INDEX(Program_01!$BX:$BX,MATCH($B96,Program_01!$A:$A,0))=DATE(1900,1,0),"",INDEX(Program_01!$BX:$BX,MATCH($B96,Program_01!$A:$A,0))),"")</f>
        <v/>
      </c>
      <c r="BL96" s="190">
        <f>IFERROR(IF(INDEX(Program_01!$BY:$BY,MATCH($B96,Program_01!$A:$A,0))=DATE(1900,1,0),"",INDEX(Program_01!$BY:$BY,MATCH($B96,Program_01!$A:$A,0))),"")</f>
        <v>45784</v>
      </c>
      <c r="BM96" s="188">
        <f t="shared" ca="1" si="39"/>
        <v>102</v>
      </c>
      <c r="BN96" s="191">
        <f t="shared" ca="1" si="40"/>
        <v>0</v>
      </c>
      <c r="BO96" s="188" t="str">
        <f t="shared" si="34"/>
        <v/>
      </c>
      <c r="BP96" s="188" t="str">
        <f t="shared" si="6"/>
        <v>1</v>
      </c>
      <c r="BQ96" s="188" t="str">
        <f t="shared" ca="1" si="41"/>
        <v/>
      </c>
      <c r="BR96" s="181" t="str">
        <f t="shared" ca="1" si="44"/>
        <v/>
      </c>
      <c r="BT96" s="190" t="str">
        <f>IFERROR(IF(INDEX(Program_01!$BZ:$BZ,MATCH($B96,Program_01!$A:$A,0))=DATE(1900,1,0),"",INDEX(Program_01!$BZ:$BZ,MATCH($B96,Program_01!$A:$A,0))),"")</f>
        <v/>
      </c>
      <c r="BU96" s="182" t="str">
        <f t="shared" ca="1" si="48"/>
        <v/>
      </c>
      <c r="BV96" s="188" t="str">
        <f t="shared" si="35"/>
        <v/>
      </c>
      <c r="BW96" s="188" t="str">
        <f t="shared" si="8"/>
        <v>1</v>
      </c>
      <c r="BX96" s="188" t="str">
        <f t="shared" ca="1" si="36"/>
        <v/>
      </c>
      <c r="BY96" s="181" t="str">
        <f t="shared" ca="1" si="45"/>
        <v/>
      </c>
      <c r="CA96" s="192" t="str">
        <f t="shared" si="49"/>
        <v>N</v>
      </c>
      <c r="CB96" s="192" t="str">
        <f t="shared" si="50"/>
        <v>N</v>
      </c>
      <c r="CC96" s="193">
        <f>IFERROR(INDEX(Program_01!$CE:$CE,MATCH($B96,Program_01!$A:$A,0)),"")</f>
        <v>45784</v>
      </c>
      <c r="CD96" s="193">
        <f t="shared" si="31"/>
        <v>45784</v>
      </c>
      <c r="CG96" s="194">
        <f>IFERROR(INDEX(Program_01!$AT:$AT,MATCH($B96,Program_01!$A:$A,0)),"")</f>
        <v>0</v>
      </c>
      <c r="CH96" s="194">
        <f>IFERROR(INDEX(Program_01!$AX:$AX,MATCH($B96,Program_01!$A:$A,0)),"")</f>
        <v>0</v>
      </c>
    </row>
    <row r="97" spans="1:86" s="187" customFormat="1" ht="68">
      <c r="A97" s="174" t="s">
        <v>1</v>
      </c>
      <c r="B97" s="175">
        <f t="shared" si="42"/>
        <v>79</v>
      </c>
      <c r="C97" s="176" t="str">
        <f>IFERROR(INDEX(Program_01!$B:$B,MATCH($B97,Program_01!$A:$A,0)),"")</f>
        <v>FULL TIA EAR</v>
      </c>
      <c r="D97" s="176" t="str">
        <f>IFERROR(INDEX(Program_01!$D:$D,MATCH($B97,Program_01!$A:$A,0)),"")</f>
        <v>1TB01005C06</v>
      </c>
      <c r="E97" s="176" t="str">
        <f>IFERROR(INDEX(Program_01!$E:$E,MATCH($B97,Program_01!$A:$A,0)),"")</f>
        <v>1.TB.01.005.01</v>
      </c>
      <c r="F97" s="176" t="str">
        <f>IFERROR(INDEX(Program_01!$F:$F,MATCH($B97,Program_01!$A:$A,0)),"")</f>
        <v>Red Sea Marine Life Institute</v>
      </c>
      <c r="G97" s="176" t="str">
        <f>IFERROR(INDEX(Program_01!$G:$G,MATCH($B97,Program_01!$A:$A,0)),"")</f>
        <v>Hard and Soft Landscaping Works</v>
      </c>
      <c r="H97" s="176" t="str">
        <f>IFERROR(INDEX(Program_01!$H:$H,MATCH($B97,Program_01!$A:$A,0)),"")</f>
        <v>Saudi Salco Contracting Company Co.</v>
      </c>
      <c r="I97" s="176" t="str">
        <f t="shared" si="37"/>
        <v>EOT</v>
      </c>
      <c r="J97" s="176">
        <f>IFERROR(INDEX(Program_01!$I:$I,MATCH($B97,Program_01!$A:$A,0)),"")</f>
        <v>1</v>
      </c>
      <c r="K97" s="176">
        <f>IFERROR(INDEX(Program_01!$J:$J,MATCH($B97,Program_01!$A:$A,0)),"")</f>
        <v>0</v>
      </c>
      <c r="L97" s="176">
        <f>IFERROR(INDEX(Program_01!$K:$K,MATCH($B97,Program_01!$A:$A,0)),"")</f>
        <v>0</v>
      </c>
      <c r="M97" s="176">
        <f>IFERROR(INDEX(Program_01!$L:$L,MATCH($B97,Program_01!$A:$A,0)),"")</f>
        <v>0</v>
      </c>
      <c r="N97" s="176">
        <f>IFERROR(INDEX(Program_01!$L:$L,MATCH($B97,Program_01!$A:$A,0)),"")</f>
        <v>0</v>
      </c>
      <c r="O97" s="176">
        <f>IFERROR(INDEX(Program_01!$N:$N,MATCH($B97,Program_01!$A:$A,0)),"")</f>
        <v>0</v>
      </c>
      <c r="P97" s="178"/>
      <c r="Q97" s="179" t="str">
        <f>IFERROR(INDEX(Program_01!$C:$C,MATCH($B97,Program_01!$A:$A,0)),"")</f>
        <v>Extension of Time - Claim No. 01</v>
      </c>
      <c r="R97" s="176" t="str">
        <f>IFERROR(INDEX(Program_01!$V:$V,MATCH($B97,Program_01!$A:$A,0)),"")</f>
        <v>Start is the date of the email from Planning where they decided to issue a DEOT</v>
      </c>
      <c r="S97" s="180">
        <f>IFERROR(INDEX(Program_01!$W:$W,MATCH($B97,Program_01!$A:$A,0)),"")</f>
        <v>45686</v>
      </c>
      <c r="T97" s="178"/>
      <c r="U97" s="176">
        <f>IFERROR(INDEX(Program_01!$Z:$Z,MATCH($B97,Program_01!$A:$A,0)),"")</f>
        <v>0</v>
      </c>
      <c r="V97" s="181" t="str">
        <f>IFERROR(INDEX(Program_01!$AA:$AA,MATCH($B97,Program_01!$A:$A,0)),"")</f>
        <v>N/A</v>
      </c>
      <c r="W97" s="182" t="str">
        <f t="shared" ca="1" si="0"/>
        <v/>
      </c>
      <c r="X97" s="51"/>
      <c r="Y97" s="179">
        <f>IFERROR(INDEX(Program_01!$BD:$BD,MATCH($B97,Program_01!$A:$A,0)),"")</f>
        <v>0</v>
      </c>
      <c r="Z97" s="51"/>
      <c r="AA97" s="183" t="str">
        <f>IFERROR(IF((INDEX(Program_01!$AD:$AD,MATCH($B97,Program_01!$A:$A,0))=""),INDEX(Program_01!$V:$V,MATCH($B97,Program_01!$A:$A,0)),INDEX(Program_01!$AD:$AD,MATCH($B97,Program_01!$A:$A,0))),"")</f>
        <v>Start is the date of the email from Planning where they decided to issue a DEOT</v>
      </c>
      <c r="AB97" s="147">
        <f>IFERROR(IF((INDEX(Program_01!$AE:$AE,MATCH($B97,Program_01!$A:$A,0))=""),INDEX(Program_01!$W:$W,MATCH($B97,Program_01!$A:$A,0)),INDEX(Program_01!$AE:$AE,MATCH($B97,Program_01!$A:$A,0))),"")</f>
        <v>45686</v>
      </c>
      <c r="AC97" s="183" t="str">
        <f>IFERROR(IF($I97="EOT",INDEX(Program_01!$AN:$AN,MATCH($B97,Program_01!$A:$A,0)),INDEX(Program_01!$AY:$AY,MATCH($B97,Program_01!$A:$A,0))),"")</f>
        <v>1TB01005-005C06-AMA-LTR-0063
1TB01005-005C06-AMA-EMI-PM-0004</v>
      </c>
      <c r="AD97" s="181">
        <f>IFERROR(IF($I97="EOT",INDEX(Program_01!$AO:$AO,MATCH($B97,Program_01!$A:$A,0)),INDEX(Program_01!$AZ:$AZ,MATCH($B97,Program_01!$A:$A,0))),"")</f>
        <v>45784</v>
      </c>
      <c r="AE97" s="51"/>
      <c r="AF97" s="183"/>
      <c r="AG97" s="181"/>
      <c r="AH97" s="183">
        <f>IF(OR($D97="",$AS97="VO Issued",$AS97="Open"),"",IF(OR($AC97="Rejected",$AC97="Superseded",$AC97="Dealt Separately"),$AC97,IF($I97="EOT",INDEX(Program_01!$AR:$AR,MATCH($B97,Program_01!$A:$A,0)),INDEX(Program_01!$BB:$BB,MATCH($B97,Program_01!$A:$A,0)))))</f>
        <v>0</v>
      </c>
      <c r="AI97" s="181">
        <f>IF(OR($A97="",$B97="",$I97="",$AS97="VO Issued",$AS97="Open"),"",IF(OR($AD97="N/A"),$AD97,IF($I97="EOT",INDEX(Program_01!$AS:$AS,MATCH($B97,Program_01!$A:$A,0)),INDEX(Program_01!$BC:$BC,MATCH($B97,Program_01!$A:$A,0)))))</f>
        <v>0</v>
      </c>
      <c r="AJ97" s="183">
        <f>IF(OR($D97="",$I97="",$AS97="Determination Issued",$AS97="Rejected",$AS97="Open"),"",IF(OR($AH97="Rejected",$AH97="Dealt Separately",$AH97="Superseded",$AH97="Withdrawn"),"N/A",IF($I97="EOT",INDEX(Program_01!AR:AR,MATCH($B97,Program_01!A:A,0)),INDEX(Program_01!BB:BB,MATCH($B97,Program_01!A:A,0)))))</f>
        <v>0</v>
      </c>
      <c r="AK97" s="181">
        <f>IF(OR($A97="",$B97="",$I97="",$AS97="Determination Issued",$AS97="Rejected",$AS97="Open"),"",IF($AJ97="N/A","N/A",IF($I97="EOT",INDEX(Program_01!AS:AS,MATCH($B97,Program_01!A:A,0)),INDEX(Program_01!BC:BC,MATCH($B97,Program_01!A:A,0)))))</f>
        <v>0</v>
      </c>
      <c r="AL97" s="51"/>
      <c r="AM97" s="184">
        <f>IFERROR(INDEX(Program_01!$BT:$BT,MATCH($B97,Program_01!$A:$A,0)),"")</f>
        <v>0</v>
      </c>
      <c r="AN97" s="184">
        <f>IFERROR(INDEX(Program_01!$BU:$BU,MATCH($B97,Program_01!$A:$A,0)),"")</f>
        <v>0</v>
      </c>
      <c r="AO97" s="184">
        <f>IFERROR(INDEX(Program_01!$BV:$BV,MATCH($B97,Program_01!$A:$A,0)),"")</f>
        <v>0</v>
      </c>
      <c r="AP97" s="51" t="str">
        <f t="shared" si="46"/>
        <v/>
      </c>
      <c r="AQ97" s="184" t="str">
        <f>IFERROR(INDEX(Program_01!$BN:$BN,MATCH($B97,Program_01!$A:$A,0)),"")</f>
        <v>Discretionary EOT / EI Issued</v>
      </c>
      <c r="AR97" s="184" t="str">
        <f>IFERROR(INDEX(Program_01!$BO:$BO,MATCH($B97,Program_01!$A:$A,0)),"")</f>
        <v>Not Applicable</v>
      </c>
      <c r="AS97" s="184" t="str">
        <f>IFERROR(INDEX(Program_01!$BP:$BP,MATCH($B97,Program_01!$A:$A,0)),"")</f>
        <v>EI Issued</v>
      </c>
      <c r="AT97" s="185" t="str">
        <f>IFERROR(INDEX(Program_01!$BQ:$BQ,MATCH($B97,Program_01!$A:$A,0)),"")</f>
        <v>Closed</v>
      </c>
      <c r="AU97" s="179" t="str">
        <f>IFERROR(INDEX(Program_01!$BR:$BR,MATCH($B97,Program_01!$A:$A,0)),"")</f>
        <v>DEOT Assessment is based on the impact of Engineering delays and Additional scope of works. This EOT is subject to Discretionary EOT route</v>
      </c>
      <c r="AV97" s="186" t="str">
        <f t="shared" si="32"/>
        <v/>
      </c>
      <c r="AW97" s="186" t="str">
        <f t="shared" si="47"/>
        <v>CLOSED</v>
      </c>
      <c r="AX97" s="186" t="str">
        <f t="shared" si="33"/>
        <v>CLOSED</v>
      </c>
      <c r="AY97" s="181">
        <f t="shared" si="38"/>
        <v>45686</v>
      </c>
      <c r="AZ97" s="181">
        <f t="shared" si="43"/>
        <v>45784</v>
      </c>
      <c r="BA97" s="181">
        <f t="shared" si="4"/>
        <v>0</v>
      </c>
      <c r="BC97" s="181">
        <f>IFERROR(INDEX(Program_01!BF:BF,MATCH($B97,Program_01!$A:$A,0)),"")</f>
        <v>45686</v>
      </c>
      <c r="BD97" s="188" t="str">
        <f ca="1">IFERROR(INDEX(Program_01!BG:BG,MATCH($B97,Program_01!$A:$A,0)),"")</f>
        <v>N/A</v>
      </c>
      <c r="BE97" s="181">
        <f>IFERROR(INDEX(Program_01!BH:BH,MATCH($B97,Program_01!$A:$A,0)),"")</f>
        <v>0</v>
      </c>
      <c r="BF97" s="189">
        <f ca="1">IFERROR(INDEX(Program_01!BI:BI,MATCH($B97,Program_01!$A:$A,0)),"")</f>
        <v>0</v>
      </c>
      <c r="BG97" s="181">
        <f>IFERROR(INDEX(Program_01!BJ:BJ,MATCH($B97,Program_01!$A:$A,0)),"")</f>
        <v>0</v>
      </c>
      <c r="BH97" s="189">
        <f ca="1">IFERROR(INDEX(Program_01!BK:BK,MATCH($B97,Program_01!$A:$A,0)),"")</f>
        <v>0</v>
      </c>
      <c r="BI97" s="181">
        <f>IFERROR(INDEX(Program_01!BL:BL,MATCH($B97,Program_01!$A:$A,0)),"")</f>
        <v>0</v>
      </c>
      <c r="BK97" s="190" t="str">
        <f>IFERROR(IF(INDEX(Program_01!$BX:$BX,MATCH($B97,Program_01!$A:$A,0))=DATE(1900,1,0),"",INDEX(Program_01!$BX:$BX,MATCH($B97,Program_01!$A:$A,0))),"")</f>
        <v/>
      </c>
      <c r="BL97" s="190">
        <f>IFERROR(IF(INDEX(Program_01!$BY:$BY,MATCH($B97,Program_01!$A:$A,0))=DATE(1900,1,0),"",INDEX(Program_01!$BY:$BY,MATCH($B97,Program_01!$A:$A,0))),"")</f>
        <v>45792</v>
      </c>
      <c r="BM97" s="188">
        <f t="shared" ca="1" si="39"/>
        <v>98</v>
      </c>
      <c r="BN97" s="191">
        <f t="shared" ca="1" si="40"/>
        <v>0</v>
      </c>
      <c r="BO97" s="188" t="str">
        <f t="shared" si="34"/>
        <v/>
      </c>
      <c r="BP97" s="188" t="str">
        <f t="shared" si="6"/>
        <v>1</v>
      </c>
      <c r="BQ97" s="188" t="str">
        <f t="shared" ca="1" si="41"/>
        <v/>
      </c>
      <c r="BR97" s="181" t="str">
        <f t="shared" ca="1" si="44"/>
        <v/>
      </c>
      <c r="BT97" s="190" t="str">
        <f>IFERROR(IF(INDEX(Program_01!$BZ:$BZ,MATCH($B97,Program_01!$A:$A,0))=DATE(1900,1,0),"",INDEX(Program_01!$BZ:$BZ,MATCH($B97,Program_01!$A:$A,0))),"")</f>
        <v/>
      </c>
      <c r="BU97" s="182" t="str">
        <f t="shared" ca="1" si="48"/>
        <v/>
      </c>
      <c r="BV97" s="188" t="str">
        <f t="shared" si="35"/>
        <v/>
      </c>
      <c r="BW97" s="188" t="str">
        <f t="shared" si="8"/>
        <v>1</v>
      </c>
      <c r="BX97" s="188" t="str">
        <f t="shared" ca="1" si="36"/>
        <v/>
      </c>
      <c r="BY97" s="181" t="str">
        <f t="shared" ca="1" si="45"/>
        <v/>
      </c>
      <c r="CA97" s="192" t="str">
        <f t="shared" si="49"/>
        <v>N</v>
      </c>
      <c r="CB97" s="192" t="str">
        <f t="shared" si="50"/>
        <v>N</v>
      </c>
      <c r="CC97" s="193">
        <f>IFERROR(INDEX(Program_01!$CE:$CE,MATCH($B97,Program_01!$A:$A,0)),"")</f>
        <v>45792</v>
      </c>
      <c r="CD97" s="193">
        <f t="shared" si="31"/>
        <v>45792</v>
      </c>
      <c r="CG97" s="194">
        <f>IFERROR(INDEX(Program_01!$AT:$AT,MATCH($B97,Program_01!$A:$A,0)),"")</f>
        <v>0</v>
      </c>
      <c r="CH97" s="194">
        <f>IFERROR(INDEX(Program_01!$AX:$AX,MATCH($B97,Program_01!$A:$A,0)),"")</f>
        <v>0</v>
      </c>
    </row>
    <row r="98" spans="1:86" s="187" customFormat="1" ht="68">
      <c r="A98" s="174" t="s">
        <v>1</v>
      </c>
      <c r="B98" s="175">
        <f t="shared" si="42"/>
        <v>80</v>
      </c>
      <c r="C98" s="176" t="str">
        <f>IFERROR(INDEX(Program_01!$B:$B,MATCH($B98,Program_01!$A:$A,0)),"")</f>
        <v>FULL TIA EAR</v>
      </c>
      <c r="D98" s="176" t="str">
        <f>IFERROR(INDEX(Program_01!$D:$D,MATCH($B98,Program_01!$A:$A,0)),"")</f>
        <v>1TB01002C24</v>
      </c>
      <c r="E98" s="176" t="str">
        <f>IFERROR(INDEX(Program_01!$E:$E,MATCH($B98,Program_01!$A:$A,0)),"")</f>
        <v>1.TB.01.002.99</v>
      </c>
      <c r="F98" s="176" t="str">
        <f>IFERROR(INDEX(Program_01!$F:$F,MATCH($B98,Program_01!$A:$A,0)),"")</f>
        <v>Marina Lifestyle Hotel &amp; Village</v>
      </c>
      <c r="G98" s="176" t="str">
        <f>IFERROR(INDEX(Program_01!$G:$G,MATCH($B98,Program_01!$A:$A,0)),"")</f>
        <v>Aluminum &amp; Glazing works for Marina Lifestyle Hotel</v>
      </c>
      <c r="H98" s="176" t="str">
        <f>IFERROR(INDEX(Program_01!$H:$H,MATCH($B98,Program_01!$A:$A,0)),"")</f>
        <v>REEM Emirates Company Limited</v>
      </c>
      <c r="I98" s="176" t="str">
        <f t="shared" si="37"/>
        <v>EOT</v>
      </c>
      <c r="J98" s="176">
        <f>IFERROR(INDEX(Program_01!$I:$I,MATCH($B98,Program_01!$A:$A,0)),"")</f>
        <v>1</v>
      </c>
      <c r="K98" s="176">
        <f>IFERROR(INDEX(Program_01!$J:$J,MATCH($B98,Program_01!$A:$A,0)),"")</f>
        <v>0</v>
      </c>
      <c r="L98" s="176">
        <f>IFERROR(INDEX(Program_01!$K:$K,MATCH($B98,Program_01!$A:$A,0)),"")</f>
        <v>0</v>
      </c>
      <c r="M98" s="176">
        <f>IFERROR(INDEX(Program_01!$L:$L,MATCH($B98,Program_01!$A:$A,0)),"")</f>
        <v>0</v>
      </c>
      <c r="N98" s="176">
        <f>IFERROR(INDEX(Program_01!$L:$L,MATCH($B98,Program_01!$A:$A,0)),"")</f>
        <v>0</v>
      </c>
      <c r="O98" s="176">
        <f>IFERROR(INDEX(Program_01!$N:$N,MATCH($B98,Program_01!$A:$A,0)),"")</f>
        <v>0</v>
      </c>
      <c r="P98" s="178"/>
      <c r="Q98" s="179" t="str">
        <f>IFERROR(INDEX(Program_01!$C:$C,MATCH($B98,Program_01!$A:$A,0)),"")</f>
        <v>Extension 0f Time Claim No. 1</v>
      </c>
      <c r="R98" s="176" t="str">
        <f>IFERROR(INDEX(Program_01!$V:$V,MATCH($B98,Program_01!$A:$A,0)),"")</f>
        <v>Start is the date of the email from Planning where they decided to issue a DEOT</v>
      </c>
      <c r="S98" s="180">
        <f>IFERROR(INDEX(Program_01!$W:$W,MATCH($B98,Program_01!$A:$A,0)),"")</f>
        <v>45686</v>
      </c>
      <c r="T98" s="178"/>
      <c r="U98" s="176">
        <f>IFERROR(INDEX(Program_01!$Z:$Z,MATCH($B98,Program_01!$A:$A,0)),"")</f>
        <v>0</v>
      </c>
      <c r="V98" s="181" t="str">
        <f>IFERROR(INDEX(Program_01!$AA:$AA,MATCH($B98,Program_01!$A:$A,0)),"")</f>
        <v>N/A</v>
      </c>
      <c r="W98" s="182" t="str">
        <f t="shared" ca="1" si="0"/>
        <v/>
      </c>
      <c r="X98" s="51"/>
      <c r="Y98" s="179">
        <f>IFERROR(INDEX(Program_01!$BD:$BD,MATCH($B98,Program_01!$A:$A,0)),"")</f>
        <v>0</v>
      </c>
      <c r="Z98" s="51"/>
      <c r="AA98" s="183" t="str">
        <f>IFERROR(IF((INDEX(Program_01!$AD:$AD,MATCH($B98,Program_01!$A:$A,0))=""),INDEX(Program_01!$V:$V,MATCH($B98,Program_01!$A:$A,0)),INDEX(Program_01!$AD:$AD,MATCH($B98,Program_01!$A:$A,0))),"")</f>
        <v>Start is the date of the email from Planning where they decided to issue a DEOT</v>
      </c>
      <c r="AB98" s="147">
        <f>IFERROR(IF((INDEX(Program_01!$AE:$AE,MATCH($B98,Program_01!$A:$A,0))=""),INDEX(Program_01!$W:$W,MATCH($B98,Program_01!$A:$A,0)),INDEX(Program_01!$AE:$AE,MATCH($B98,Program_01!$A:$A,0))),"")</f>
        <v>45686</v>
      </c>
      <c r="AC98" s="183" t="str">
        <f>IFERROR(IF($I98="EOT",INDEX(Program_01!$AN:$AN,MATCH($B98,Program_01!$A:$A,0)),INDEX(Program_01!$AY:$AY,MATCH($B98,Program_01!$A:$A,0))),"")</f>
        <v>1TB01002-002C24-AMAEMI-PM-0001</v>
      </c>
      <c r="AD98" s="181">
        <f>IFERROR(IF($I98="EOT",INDEX(Program_01!$AO:$AO,MATCH($B98,Program_01!$A:$A,0)),INDEX(Program_01!$AZ:$AZ,MATCH($B98,Program_01!$A:$A,0))),"")</f>
        <v>45792</v>
      </c>
      <c r="AE98" s="51"/>
      <c r="AF98" s="183"/>
      <c r="AG98" s="181"/>
      <c r="AH98" s="183">
        <f>IF(OR($D98="",$AS98="VO Issued",$AS98="Open"),"",IF(OR($AC98="Rejected",$AC98="Superseded",$AC98="Dealt Separately"),$AC98,IF($I98="EOT",INDEX(Program_01!$AR:$AR,MATCH($B98,Program_01!$A:$A,0)),INDEX(Program_01!$BB:$BB,MATCH($B98,Program_01!$A:$A,0)))))</f>
        <v>0</v>
      </c>
      <c r="AI98" s="181">
        <f>IF(OR($A98="",$B98="",$I98="",$AS98="VO Issued",$AS98="Open"),"",IF(OR($AD98="N/A"),$AD98,IF($I98="EOT",INDEX(Program_01!$AS:$AS,MATCH($B98,Program_01!$A:$A,0)),INDEX(Program_01!$BC:$BC,MATCH($B98,Program_01!$A:$A,0)))))</f>
        <v>0</v>
      </c>
      <c r="AJ98" s="183">
        <f>IF(OR($D98="",$I98="",$AS98="Determination Issued",$AS98="Rejected",$AS98="Open"),"",IF(OR($AH98="Rejected",$AH98="Dealt Separately",$AH98="Superseded",$AH98="Withdrawn"),"N/A",IF($I98="EOT",INDEX(Program_01!AR:AR,MATCH($B98,Program_01!A:A,0)),INDEX(Program_01!BB:BB,MATCH($B98,Program_01!A:A,0)))))</f>
        <v>0</v>
      </c>
      <c r="AK98" s="181">
        <f>IF(OR($A98="",$B98="",$I98="",$AS98="Determination Issued",$AS98="Rejected",$AS98="Open"),"",IF($AJ98="N/A","N/A",IF($I98="EOT",INDEX(Program_01!AS:AS,MATCH($B98,Program_01!A:A,0)),INDEX(Program_01!BC:BC,MATCH($B98,Program_01!A:A,0)))))</f>
        <v>0</v>
      </c>
      <c r="AL98" s="51"/>
      <c r="AM98" s="184">
        <f>IFERROR(INDEX(Program_01!$BT:$BT,MATCH($B98,Program_01!$A:$A,0)),"")</f>
        <v>0</v>
      </c>
      <c r="AN98" s="184">
        <f>IFERROR(INDEX(Program_01!$BU:$BU,MATCH($B98,Program_01!$A:$A,0)),"")</f>
        <v>0</v>
      </c>
      <c r="AO98" s="184">
        <f>IFERROR(INDEX(Program_01!$BV:$BV,MATCH($B98,Program_01!$A:$A,0)),"")</f>
        <v>0</v>
      </c>
      <c r="AP98" s="51" t="str">
        <f t="shared" si="46"/>
        <v/>
      </c>
      <c r="AQ98" s="184" t="str">
        <f>IFERROR(INDEX(Program_01!$BN:$BN,MATCH($B98,Program_01!$A:$A,0)),"")</f>
        <v>Discretionary EOT / EI Issued</v>
      </c>
      <c r="AR98" s="184" t="str">
        <f>IFERROR(INDEX(Program_01!$BO:$BO,MATCH($B98,Program_01!$A:$A,0)),"")</f>
        <v>Not Applicable</v>
      </c>
      <c r="AS98" s="184" t="str">
        <f>IFERROR(INDEX(Program_01!$BP:$BP,MATCH($B98,Program_01!$A:$A,0)),"")</f>
        <v>EI Issued</v>
      </c>
      <c r="AT98" s="185" t="str">
        <f>IFERROR(INDEX(Program_01!$BQ:$BQ,MATCH($B98,Program_01!$A:$A,0)),"")</f>
        <v>Closed</v>
      </c>
      <c r="AU98" s="179" t="str">
        <f>IFERROR(INDEX(Program_01!$BR:$BR,MATCH($B98,Program_01!$A:$A,0)),"")</f>
        <v>DEOT Assessment is based on the impact of Engineering delays and Additional scope of works. This EOT is subject to Discretionary EOT route</v>
      </c>
      <c r="AV98" s="186" t="str">
        <f t="shared" si="32"/>
        <v/>
      </c>
      <c r="AW98" s="186" t="str">
        <f t="shared" si="47"/>
        <v>CLOSED</v>
      </c>
      <c r="AX98" s="186" t="str">
        <f t="shared" si="33"/>
        <v>CLOSED</v>
      </c>
      <c r="AY98" s="181">
        <f t="shared" si="38"/>
        <v>45686</v>
      </c>
      <c r="AZ98" s="181">
        <f t="shared" si="43"/>
        <v>45792</v>
      </c>
      <c r="BA98" s="181">
        <f t="shared" si="4"/>
        <v>0</v>
      </c>
      <c r="BC98" s="181">
        <f>IFERROR(INDEX(Program_01!BF:BF,MATCH($B98,Program_01!$A:$A,0)),"")</f>
        <v>45686</v>
      </c>
      <c r="BD98" s="188" t="str">
        <f ca="1">IFERROR(INDEX(Program_01!BG:BG,MATCH($B98,Program_01!$A:$A,0)),"")</f>
        <v>N/A</v>
      </c>
      <c r="BE98" s="181">
        <f>IFERROR(INDEX(Program_01!BH:BH,MATCH($B98,Program_01!$A:$A,0)),"")</f>
        <v>0</v>
      </c>
      <c r="BF98" s="189">
        <f ca="1">IFERROR(INDEX(Program_01!BI:BI,MATCH($B98,Program_01!$A:$A,0)),"")</f>
        <v>0</v>
      </c>
      <c r="BG98" s="181">
        <f>IFERROR(INDEX(Program_01!BJ:BJ,MATCH($B98,Program_01!$A:$A,0)),"")</f>
        <v>0</v>
      </c>
      <c r="BH98" s="189">
        <f ca="1">IFERROR(INDEX(Program_01!BK:BK,MATCH($B98,Program_01!$A:$A,0)),"")</f>
        <v>0</v>
      </c>
      <c r="BI98" s="181">
        <f>IFERROR(INDEX(Program_01!BL:BL,MATCH($B98,Program_01!$A:$A,0)),"")</f>
        <v>0</v>
      </c>
      <c r="BK98" s="190" t="str">
        <f>IFERROR(IF(INDEX(Program_01!$BX:$BX,MATCH($B98,Program_01!$A:$A,0))=DATE(1900,1,0),"",INDEX(Program_01!$BX:$BX,MATCH($B98,Program_01!$A:$A,0))),"")</f>
        <v/>
      </c>
      <c r="BL98" s="190">
        <f>IFERROR(IF(INDEX(Program_01!$BY:$BY,MATCH($B98,Program_01!$A:$A,0))=DATE(1900,1,0),"",INDEX(Program_01!$BY:$BY,MATCH($B98,Program_01!$A:$A,0))),"")</f>
        <v>45792</v>
      </c>
      <c r="BM98" s="188">
        <f t="shared" ca="1" si="39"/>
        <v>106</v>
      </c>
      <c r="BN98" s="191">
        <f t="shared" ca="1" si="40"/>
        <v>0</v>
      </c>
      <c r="BO98" s="188" t="str">
        <f t="shared" si="34"/>
        <v/>
      </c>
      <c r="BP98" s="188" t="str">
        <f t="shared" si="6"/>
        <v>1</v>
      </c>
      <c r="BQ98" s="188" t="str">
        <f t="shared" ca="1" si="41"/>
        <v/>
      </c>
      <c r="BR98" s="181" t="str">
        <f t="shared" ca="1" si="44"/>
        <v/>
      </c>
      <c r="BT98" s="190" t="str">
        <f>IFERROR(IF(INDEX(Program_01!$BZ:$BZ,MATCH($B98,Program_01!$A:$A,0))=DATE(1900,1,0),"",INDEX(Program_01!$BZ:$BZ,MATCH($B98,Program_01!$A:$A,0))),"")</f>
        <v/>
      </c>
      <c r="BU98" s="182" t="str">
        <f t="shared" ca="1" si="48"/>
        <v/>
      </c>
      <c r="BV98" s="188" t="str">
        <f t="shared" si="35"/>
        <v/>
      </c>
      <c r="BW98" s="188" t="str">
        <f t="shared" si="8"/>
        <v>1</v>
      </c>
      <c r="BX98" s="188" t="str">
        <f t="shared" ca="1" si="36"/>
        <v/>
      </c>
      <c r="BY98" s="181" t="str">
        <f t="shared" ca="1" si="45"/>
        <v/>
      </c>
      <c r="CA98" s="192" t="str">
        <f t="shared" si="49"/>
        <v>N</v>
      </c>
      <c r="CB98" s="192" t="str">
        <f t="shared" si="50"/>
        <v>N</v>
      </c>
      <c r="CC98" s="193">
        <f>IFERROR(INDEX(Program_01!$CE:$CE,MATCH($B98,Program_01!$A:$A,0)),"")</f>
        <v>45792</v>
      </c>
      <c r="CD98" s="193">
        <f t="shared" si="31"/>
        <v>45792</v>
      </c>
      <c r="CG98" s="194">
        <f>IFERROR(INDEX(Program_01!$AT:$AT,MATCH($B98,Program_01!$A:$A,0)),"")</f>
        <v>0</v>
      </c>
      <c r="CH98" s="194">
        <f>IFERROR(INDEX(Program_01!$AX:$AX,MATCH($B98,Program_01!$A:$A,0)),"")</f>
        <v>0</v>
      </c>
    </row>
    <row r="99" spans="1:86" s="187" customFormat="1" ht="353.25" customHeight="1">
      <c r="A99" s="174" t="s">
        <v>1</v>
      </c>
      <c r="B99" s="175">
        <f t="shared" si="42"/>
        <v>81</v>
      </c>
      <c r="C99" s="176" t="str">
        <f>IFERROR(INDEX(Program_01!$B:$B,MATCH($B99,Program_01!$A:$A,0)),"")</f>
        <v>FULL TIA EAR</v>
      </c>
      <c r="D99" s="176" t="str">
        <f>IFERROR(INDEX(Program_01!$D:$D,MATCH($B99,Program_01!$A:$A,0)),"")</f>
        <v>1TB01002C06</v>
      </c>
      <c r="E99" s="176" t="str">
        <f>IFERROR(INDEX(Program_01!$E:$E,MATCH($B99,Program_01!$A:$A,0)),"")</f>
        <v>1TB.01.002.99</v>
      </c>
      <c r="F99" s="176" t="str">
        <f>IFERROR(INDEX(Program_01!$F:$F,MATCH($B99,Program_01!$A:$A,0)),"")</f>
        <v>Marina Lifestyle Hotel &amp; Village</v>
      </c>
      <c r="G99" s="176" t="str">
        <f>IFERROR(INDEX(Program_01!$G:$G,MATCH($B99,Program_01!$A:$A,0)),"")</f>
        <v>MLH - Havelock One Interiors Company - Fit-Out Works</v>
      </c>
      <c r="H99" s="176" t="str">
        <f>IFERROR(INDEX(Program_01!$H:$H,MATCH($B99,Program_01!$A:$A,0)),"")</f>
        <v>Havelock One Interiors WLL – KSA</v>
      </c>
      <c r="I99" s="176" t="str">
        <f t="shared" si="37"/>
        <v>EOT</v>
      </c>
      <c r="J99" s="176">
        <f>IFERROR(INDEX(Program_01!$I:$I,MATCH($B99,Program_01!$A:$A,0)),"")</f>
        <v>1</v>
      </c>
      <c r="K99" s="176">
        <f>IFERROR(INDEX(Program_01!$J:$J,MATCH($B99,Program_01!$A:$A,0)),"")</f>
        <v>0</v>
      </c>
      <c r="L99" s="176">
        <f>IFERROR(INDEX(Program_01!$K:$K,MATCH($B99,Program_01!$A:$A,0)),"")</f>
        <v>0</v>
      </c>
      <c r="M99" s="176">
        <f>IFERROR(INDEX(Program_01!$L:$L,MATCH($B99,Program_01!$A:$A,0)),"")</f>
        <v>0</v>
      </c>
      <c r="N99" s="176">
        <f>IFERROR(INDEX(Program_01!$L:$L,MATCH($B99,Program_01!$A:$A,0)),"")</f>
        <v>0</v>
      </c>
      <c r="O99" s="176">
        <f>IFERROR(INDEX(Program_01!$N:$N,MATCH($B99,Program_01!$A:$A,0)),"")</f>
        <v>0</v>
      </c>
      <c r="P99" s="178"/>
      <c r="Q99" s="179" t="str">
        <f>IFERROR(INDEX(Program_01!$C:$C,MATCH($B99,Program_01!$A:$A,0)),"")</f>
        <v>Request for Interim Extension of Time due to Additional works Front of House, Public Space ID Package (EOT Rev 01)</v>
      </c>
      <c r="R99" s="176" t="str">
        <f>IFERROR(INDEX(Program_01!$V:$V,MATCH($B99,Program_01!$A:$A,0)),"")</f>
        <v>TB01002-002C06-HOI-LTR-0031</v>
      </c>
      <c r="S99" s="180">
        <f>IFERROR(INDEX(Program_01!$W:$W,MATCH($B99,Program_01!$A:$A,0)),"")</f>
        <v>45839</v>
      </c>
      <c r="T99" s="178"/>
      <c r="U99" s="176">
        <f>IFERROR(INDEX(Program_01!$Z:$Z,MATCH($B99,Program_01!$A:$A,0)),"")</f>
        <v>0</v>
      </c>
      <c r="V99" s="181" t="str">
        <f>IFERROR(INDEX(Program_01!$AA:$AA,MATCH($B99,Program_01!$A:$A,0)),"")</f>
        <v>N/A</v>
      </c>
      <c r="W99" s="182" t="str">
        <f t="shared" ca="1" si="0"/>
        <v/>
      </c>
      <c r="X99" s="51"/>
      <c r="Y99" s="179">
        <f>IFERROR(INDEX(Program_01!$BD:$BD,MATCH($B99,Program_01!$A:$A,0)),"")</f>
        <v>0</v>
      </c>
      <c r="Z99" s="51"/>
      <c r="AA99" s="183" t="str">
        <f>IFERROR(IF((INDEX(Program_01!$AD:$AD,MATCH($B99,Program_01!$A:$A,0))=""),INDEX(Program_01!$V:$V,MATCH($B99,Program_01!$A:$A,0)),INDEX(Program_01!$AD:$AD,MATCH($B99,Program_01!$A:$A,0))),"")</f>
        <v>TB01002-002C06-HOI-LTR-0031</v>
      </c>
      <c r="AB99" s="147">
        <f>IFERROR(IF((INDEX(Program_01!$AE:$AE,MATCH($B99,Program_01!$A:$A,0))=""),INDEX(Program_01!$W:$W,MATCH($B99,Program_01!$A:$A,0)),INDEX(Program_01!$AE:$AE,MATCH($B99,Program_01!$A:$A,0))),"")</f>
        <v>45839</v>
      </c>
      <c r="AC99" s="183" t="str">
        <f>IFERROR(IF($I99="EOT",INDEX(Program_01!$AN:$AN,MATCH($B99,Program_01!$A:$A,0)),INDEX(Program_01!$AY:$AY,MATCH($B99,Program_01!$A:$A,0))),"")</f>
        <v xml:space="preserve">1TB01002-002C06-AMA-LTR-0044 </v>
      </c>
      <c r="AD99" s="181">
        <f>IFERROR(IF($I99="EOT",INDEX(Program_01!$AO:$AO,MATCH($B99,Program_01!$A:$A,0)),INDEX(Program_01!$AZ:$AZ,MATCH($B99,Program_01!$A:$A,0))),"")</f>
        <v>45964</v>
      </c>
      <c r="AE99" s="51"/>
      <c r="AF99" s="183"/>
      <c r="AG99" s="181"/>
      <c r="AH99" s="183">
        <f>IF(OR($D99="",$AS99="VO Issued",$AS99="Open"),"",IF(OR($AC99="Rejected",$AC99="Superseded",$AC99="Dealt Separately"),$AC99,IF($I99="EOT",INDEX(Program_01!$AR:$AR,MATCH($B99,Program_01!$A:$A,0)),INDEX(Program_01!$BB:$BB,MATCH($B99,Program_01!$A:$A,0)))))</f>
        <v>0</v>
      </c>
      <c r="AI99" s="181">
        <f>IF(OR($A99="",$B99="",$I99="",$AS99="VO Issued",$AS99="Open"),"",IF(OR($AD99="N/A"),$AD99,IF($I99="EOT",INDEX(Program_01!$AS:$AS,MATCH($B99,Program_01!$A:$A,0)),INDEX(Program_01!$BC:$BC,MATCH($B99,Program_01!$A:$A,0)))))</f>
        <v>0</v>
      </c>
      <c r="AJ99" s="183">
        <f>IF(OR($D99="",$I99="",$AS99="Determination Issued",$AS99="Rejected",$AS99="Open"),"",IF(OR($AH99="Rejected",$AH99="Dealt Separately",$AH99="Superseded",$AH99="Withdrawn"),"N/A",IF($I99="EOT",INDEX(Program_01!AR:AR,MATCH($B99,Program_01!A:A,0)),INDEX(Program_01!BB:BB,MATCH($B99,Program_01!A:A,0)))))</f>
        <v>0</v>
      </c>
      <c r="AK99" s="181">
        <f>IF(OR($A99="",$B99="",$I99="",$AS99="Determination Issued",$AS99="Rejected",$AS99="Open"),"",IF($AJ99="N/A","N/A",IF($I99="EOT",INDEX(Program_01!AS:AS,MATCH($B99,Program_01!A:A,0)),INDEX(Program_01!BC:BC,MATCH($B99,Program_01!A:A,0)))))</f>
        <v>0</v>
      </c>
      <c r="AL99" s="51"/>
      <c r="AM99" s="184">
        <f>IFERROR(INDEX(Program_01!$BT:$BT,MATCH($B99,Program_01!$A:$A,0)),"")</f>
        <v>0</v>
      </c>
      <c r="AN99" s="184">
        <f>IFERROR(INDEX(Program_01!$BU:$BU,MATCH($B99,Program_01!$A:$A,0)),"")</f>
        <v>0</v>
      </c>
      <c r="AO99" s="184">
        <f>IFERROR(INDEX(Program_01!$BV:$BV,MATCH($B99,Program_01!$A:$A,0)),"")</f>
        <v>0</v>
      </c>
      <c r="AP99" s="51" t="str">
        <f t="shared" si="46"/>
        <v/>
      </c>
      <c r="AQ99" s="184">
        <f>IFERROR(INDEX(Program_01!$BN:$BN,MATCH($B99,Program_01!$A:$A,0)),"")</f>
        <v>0</v>
      </c>
      <c r="AR99" s="184" t="str">
        <f>IFERROR(INDEX(Program_01!$BO:$BO,MATCH($B99,Program_01!$A:$A,0)),"")</f>
        <v>Assessment Report Issued</v>
      </c>
      <c r="AS99" s="184" t="str">
        <f>IFERROR(INDEX(Program_01!$BP:$BP,MATCH($B99,Program_01!$A:$A,0)),"")</f>
        <v>EI Issued</v>
      </c>
      <c r="AT99" s="185" t="str">
        <f>IFERROR(INDEX(Program_01!$BQ:$BQ,MATCH($B99,Program_01!$A:$A,0)),"")</f>
        <v>Closed</v>
      </c>
      <c r="AU99" s="179" t="str">
        <f>IFERROR(INDEX(Program_01!$BR:$BR,MATCH($B99,Program_01!$A:$A,0)),"")</f>
        <v xml:space="preserve">17 Aug 25: Draft report sent to Planning for review and sent back to commercial to provide clarification regarding the Employer delays that affected the Condos, part of the original scope, prior to issuance of the VO
20 Aug 25: Draft report sent back to Planning to proceed with TIA
23 Aug 25: Commercial updated EOT report with additional chronology events to substantiate 21Condo delays. Under review  with Planning team.
25 Aug 25: revised report with updated chronology sent to planning, Target date by 31 Aug 25
25 Aug 25: claims to provide clarifications / advise on the comments from planning 
30 Aug 25: Clarification provided and planning to proceed with TIA, upon which commercial to review sections 1, 2 4 &amp; 6 to ensure we match current EAR format/expectations
01 Sep 25: Targeted to fianlise by 04 Sep 25
08 Sep 25: Final Draft report sent to claims for approval prior to WF initiation
29 Sep 25: Final Draft report approved and sent to commercial to initiate WF process
01 Oct 25: Draft report put in WF under ref WF-031666
06 Oct 25: Ditto
18 Oct 25: Ditto, report with Fahad since 16 Oct. 
20 Oct 25: EAR approved on 19 Oct 25, commercial to prepare the cover letter and initiate the WF for issuance
22 Oct 25: cover letter put in WF (WF-032562) - 1TB01002-002C06-AMA-LTR-0044 
03 Nov 25: WF completed, EAR issued to contracor via 1TB01002-002C06-AMA-LTR-0044 on 03 Nov 25
17 Nov 25:Awaiting response from Contractor
01 Dec 25: Ditto, commercial to issue EI
13 Dec 25: The Contractor issued its reponse accepting to the EAR via letter ref: 1TB01002-002C06-HOI-LTR-0063 dated 07-Dec-25.
15 Dec 25: comm to issue EI
11 Jan 25: Comm to issue EI to WF
25 Jan 26: EI was issued. Under WF for approval (WF-035905)
07 Feb 26: EI Nr 9 – MLH – Extension of Time Award – EOT 1 was issued to Contractor on 29-Jan-26 via letter 1TB01002-002C06-AMA-LTR-0049, which the Contractor eventually acknowledged and signed via HOI01002-GENCORR-000208 on 2-Feb-26.	</v>
      </c>
      <c r="AV99" s="186" t="str">
        <f t="shared" si="32"/>
        <v/>
      </c>
      <c r="AW99" s="186" t="str">
        <f t="shared" si="47"/>
        <v>CLOSED</v>
      </c>
      <c r="AX99" s="186" t="str">
        <f t="shared" si="33"/>
        <v>CLOSED</v>
      </c>
      <c r="AY99" s="181">
        <f t="shared" si="38"/>
        <v>45839</v>
      </c>
      <c r="AZ99" s="181">
        <f t="shared" si="43"/>
        <v>45964</v>
      </c>
      <c r="BA99" s="181">
        <f t="shared" si="4"/>
        <v>0</v>
      </c>
      <c r="BC99" s="181">
        <f>IFERROR(INDEX(Program_01!BF:BF,MATCH($B99,Program_01!$A:$A,0)),"")</f>
        <v>45839</v>
      </c>
      <c r="BD99" s="188" t="str">
        <f ca="1">IFERROR(INDEX(Program_01!BG:BG,MATCH($B99,Program_01!$A:$A,0)),"")</f>
        <v>N/A</v>
      </c>
      <c r="BE99" s="181">
        <f>IFERROR(INDEX(Program_01!BH:BH,MATCH($B99,Program_01!$A:$A,0)),"")</f>
        <v>0</v>
      </c>
      <c r="BF99" s="189">
        <f ca="1">IFERROR(INDEX(Program_01!BI:BI,MATCH($B99,Program_01!$A:$A,0)),"")</f>
        <v>0</v>
      </c>
      <c r="BG99" s="181">
        <f>IFERROR(INDEX(Program_01!BJ:BJ,MATCH($B99,Program_01!$A:$A,0)),"")</f>
        <v>0</v>
      </c>
      <c r="BH99" s="189">
        <f ca="1">IFERROR(INDEX(Program_01!BK:BK,MATCH($B99,Program_01!$A:$A,0)),"")</f>
        <v>0</v>
      </c>
      <c r="BI99" s="181">
        <f>IFERROR(INDEX(Program_01!BL:BL,MATCH($B99,Program_01!$A:$A,0)),"")</f>
        <v>0</v>
      </c>
      <c r="BK99" s="190">
        <f>IFERROR(IF(INDEX(Program_01!$BX:$BX,MATCH($B99,Program_01!$A:$A,0))=DATE(1900,1,0),"",INDEX(Program_01!$BX:$BX,MATCH($B99,Program_01!$A:$A,0))),"")</f>
        <v>45964</v>
      </c>
      <c r="BL99" s="190" t="str">
        <f>IFERROR(IF(INDEX(Program_01!$BY:$BY,MATCH($B99,Program_01!$A:$A,0))=DATE(1900,1,0),"",INDEX(Program_01!$BY:$BY,MATCH($B99,Program_01!$A:$A,0))),"")</f>
        <v/>
      </c>
      <c r="BM99" s="188">
        <f t="shared" ca="1" si="39"/>
        <v>125</v>
      </c>
      <c r="BN99" s="191">
        <f t="shared" ca="1" si="40"/>
        <v>125</v>
      </c>
      <c r="BO99" s="188">
        <f t="shared" ca="1" si="34"/>
        <v>125</v>
      </c>
      <c r="BP99" s="188" t="str">
        <f t="shared" si="6"/>
        <v>1</v>
      </c>
      <c r="BQ99" s="188" t="str">
        <f t="shared" ca="1" si="41"/>
        <v/>
      </c>
      <c r="BR99" s="181" t="str">
        <f t="shared" ca="1" si="44"/>
        <v/>
      </c>
      <c r="BT99" s="190" t="str">
        <f>IFERROR(IF(INDEX(Program_01!$BZ:$BZ,MATCH($B99,Program_01!$A:$A,0))=DATE(1900,1,0),"",INDEX(Program_01!$BZ:$BZ,MATCH($B99,Program_01!$A:$A,0))),"")</f>
        <v/>
      </c>
      <c r="BU99" s="182" t="str">
        <f t="shared" ca="1" si="48"/>
        <v/>
      </c>
      <c r="BV99" s="188" t="str">
        <f t="shared" si="35"/>
        <v/>
      </c>
      <c r="BW99" s="188" t="str">
        <f t="shared" si="8"/>
        <v>1</v>
      </c>
      <c r="BX99" s="188" t="str">
        <f t="shared" ca="1" si="36"/>
        <v/>
      </c>
      <c r="BY99" s="181" t="str">
        <f t="shared" ca="1" si="45"/>
        <v/>
      </c>
      <c r="CA99" s="192" t="str">
        <f t="shared" si="49"/>
        <v>Y</v>
      </c>
      <c r="CB99" s="192" t="str">
        <f t="shared" si="50"/>
        <v>N</v>
      </c>
      <c r="CC99" s="193">
        <f>IFERROR(INDEX(Program_01!$CE:$CE,MATCH($B99,Program_01!$A:$A,0)),"")</f>
        <v>45851</v>
      </c>
      <c r="CD99" s="193">
        <f t="shared" si="31"/>
        <v>45851</v>
      </c>
      <c r="CG99" s="194">
        <f>IFERROR(INDEX(Program_01!$AT:$AT,MATCH($B99,Program_01!$A:$A,0)),"")</f>
        <v>0</v>
      </c>
      <c r="CH99" s="194">
        <f>IFERROR(INDEX(Program_01!$AX:$AX,MATCH($B99,Program_01!$A:$A,0)),"")</f>
        <v>0</v>
      </c>
    </row>
    <row r="100" spans="1:86" s="187" customFormat="1" ht="409.5" customHeight="1">
      <c r="A100" s="174" t="s">
        <v>1</v>
      </c>
      <c r="B100" s="175">
        <f t="shared" si="42"/>
        <v>82</v>
      </c>
      <c r="C100" s="176" t="str">
        <f>IFERROR(INDEX(Program_01!$B:$B,MATCH($B100,Program_01!$A:$A,0)),"")</f>
        <v>FULL TIA EAR</v>
      </c>
      <c r="D100" s="176" t="str">
        <f>IFERROR(INDEX(Program_01!$D:$D,MATCH($B100,Program_01!$A:$A,0)),"")</f>
        <v>1TB01009C34</v>
      </c>
      <c r="E100" s="176" t="str">
        <f>IFERROR(INDEX(Program_01!$E:$E,MATCH($B100,Program_01!$A:$A,0)),"")</f>
        <v>1.TB.01.009.01</v>
      </c>
      <c r="F100" s="176" t="str">
        <f>IFERROR(INDEX(Program_01!$F:$F,MATCH($B100,Program_01!$A:$A,0)),"")</f>
        <v>Marina Hotel 3</v>
      </c>
      <c r="G100" s="176" t="str">
        <f>IFERROR(INDEX(Program_01!$G:$G,MATCH($B100,Program_01!$A:$A,0)),"")</f>
        <v>Building Envelope Limestone Works for Marina Hotel 3</v>
      </c>
      <c r="H100" s="176" t="str">
        <f>IFERROR(INDEX(Program_01!$H:$H,MATCH($B100,Program_01!$A:$A,0)),"")</f>
        <v>Deemahstone Arabia</v>
      </c>
      <c r="I100" s="176" t="str">
        <f t="shared" si="37"/>
        <v>EOT</v>
      </c>
      <c r="J100" s="176">
        <f>IFERROR(INDEX(Program_01!$I:$I,MATCH($B100,Program_01!$A:$A,0)),"")</f>
        <v>1</v>
      </c>
      <c r="K100" s="176">
        <f>IFERROR(INDEX(Program_01!$J:$J,MATCH($B100,Program_01!$A:$A,0)),"")</f>
        <v>0</v>
      </c>
      <c r="L100" s="176">
        <f>IFERROR(INDEX(Program_01!$K:$K,MATCH($B100,Program_01!$A:$A,0)),"")</f>
        <v>0</v>
      </c>
      <c r="M100" s="176">
        <f>IFERROR(INDEX(Program_01!$L:$L,MATCH($B100,Program_01!$A:$A,0)),"")</f>
        <v>0</v>
      </c>
      <c r="N100" s="176">
        <f>IFERROR(INDEX(Program_01!$L:$L,MATCH($B100,Program_01!$A:$A,0)),"")</f>
        <v>0</v>
      </c>
      <c r="O100" s="176">
        <f>IFERROR(INDEX(Program_01!$N:$N,MATCH($B100,Program_01!$A:$A,0)),"")</f>
        <v>0</v>
      </c>
      <c r="P100" s="178"/>
      <c r="Q100" s="179" t="str">
        <f>IFERROR(INDEX(Program_01!$C:$C,MATCH($B100,Program_01!$A:$A,0)),"")</f>
        <v>Submission of Extension of Time (EOT-01 Rev.0) – Marina Hotel 3 Stone Cladding Package</v>
      </c>
      <c r="R100" s="176" t="str">
        <f>IFERROR(INDEX(Program_01!$V:$V,MATCH($B100,Program_01!$A:$A,0)),"")</f>
        <v>1TB01009-009C34-TIC-LTR-0007
DAC01009-TRANSMIT-000033</v>
      </c>
      <c r="S100" s="180">
        <f>IFERROR(INDEX(Program_01!$W:$W,MATCH($B100,Program_01!$A:$A,0)),"")</f>
        <v>45848</v>
      </c>
      <c r="T100" s="178"/>
      <c r="U100" s="176" t="str">
        <f>IFERROR(INDEX(Program_01!$Z:$Z,MATCH($B100,Program_01!$A:$A,0)),"")</f>
        <v>AMA01009-GENCORR-005177</v>
      </c>
      <c r="V100" s="181">
        <f>IFERROR(INDEX(Program_01!$AA:$AA,MATCH($B100,Program_01!$A:$A,0)),"")</f>
        <v>45866</v>
      </c>
      <c r="W100" s="182">
        <f t="shared" ca="1" si="0"/>
        <v>18</v>
      </c>
      <c r="X100" s="51"/>
      <c r="Y100" s="179">
        <f>IFERROR(INDEX(Program_01!$BD:$BD,MATCH($B100,Program_01!$A:$A,0)),"")</f>
        <v>0</v>
      </c>
      <c r="Z100" s="51"/>
      <c r="AA100" s="183" t="str">
        <f>IFERROR(IF((INDEX(Program_01!$AD:$AD,MATCH($B100,Program_01!$A:$A,0))=""),INDEX(Program_01!$V:$V,MATCH($B100,Program_01!$A:$A,0)),INDEX(Program_01!$AD:$AD,MATCH($B100,Program_01!$A:$A,0))),"")</f>
        <v xml:space="preserve">1TB01009-009C34-DAC-LTR-0024 on 22 Sep 25
1TB01009-009C34-DAC-LTR-0028 on 19 Oct 25
1TB01009-009C34-DAC-LTR-0033 on 16 Dec 25
1TB01009-009C34-DAC-LTR-0036 on 24 Jan 26
1TB01009-009C34-DAC-LTR-0038 on 15 Feb 26
1TB01009-009C34-DAC-LTR-0038 </v>
      </c>
      <c r="AB100" s="147">
        <f>IFERROR(IF((INDEX(Program_01!$AE:$AE,MATCH($B100,Program_01!$A:$A,0))=""),INDEX(Program_01!$W:$W,MATCH($B100,Program_01!$A:$A,0)),INDEX(Program_01!$AE:$AE,MATCH($B100,Program_01!$A:$A,0))),"")</f>
        <v>46238</v>
      </c>
      <c r="AC100" s="183">
        <f>IFERROR(IF($I100="EOT",INDEX(Program_01!$AN:$AN,MATCH($B100,Program_01!$A:$A,0)),INDEX(Program_01!$AY:$AY,MATCH($B100,Program_01!$A:$A,0))),"")</f>
        <v>0</v>
      </c>
      <c r="AD100" s="181">
        <f>IFERROR(IF($I100="EOT",INDEX(Program_01!$AO:$AO,MATCH($B100,Program_01!$A:$A,0)),INDEX(Program_01!$AZ:$AZ,MATCH($B100,Program_01!$A:$A,0))),"")</f>
        <v>0</v>
      </c>
      <c r="AE100" s="51"/>
      <c r="AF100" s="183"/>
      <c r="AG100" s="181"/>
      <c r="AH100" s="183" t="str">
        <f>IF(OR($D100="",$AS100="VO Issued",$AS100="Open"),"",IF(OR($AC100="Rejected",$AC100="Superseded",$AC100="Dealt Separately"),$AC100,IF($I100="EOT",INDEX(Program_01!$AR:$AR,MATCH($B100,Program_01!$A:$A,0)),INDEX(Program_01!$BB:$BB,MATCH($B100,Program_01!$A:$A,0)))))</f>
        <v/>
      </c>
      <c r="AI100" s="181" t="str">
        <f>IF(OR($A100="",$B100="",$I100="",$AS100="VO Issued",$AS100="Open"),"",IF(OR($AD100="N/A"),$AD100,IF($I100="EOT",INDEX(Program_01!$AS:$AS,MATCH($B100,Program_01!$A:$A,0)),INDEX(Program_01!$BC:$BC,MATCH($B100,Program_01!$A:$A,0)))))</f>
        <v/>
      </c>
      <c r="AJ100" s="183" t="str">
        <f>IF(OR($D100="",$I100="",$AS100="Determination Issued",$AS100="Rejected",$AS100="Open"),"",IF(OR($AH100="Rejected",$AH100="Dealt Separately",$AH100="Superseded",$AH100="Withdrawn"),"N/A",IF($I100="EOT",INDEX(Program_01!AR:AR,MATCH($B100,Program_01!A:A,0)),INDEX(Program_01!BB:BB,MATCH($B100,Program_01!A:A,0)))))</f>
        <v/>
      </c>
      <c r="AK100" s="181" t="str">
        <f>IF(OR($A100="",$B100="",$I100="",$AS100="Determination Issued",$AS100="Rejected",$AS100="Open"),"",IF($AJ100="N/A","N/A",IF($I100="EOT",INDEX(Program_01!AS:AS,MATCH($B100,Program_01!A:A,0)),INDEX(Program_01!BC:BC,MATCH($B100,Program_01!A:A,0)))))</f>
        <v/>
      </c>
      <c r="AL100" s="51"/>
      <c r="AM100" s="184">
        <f>IFERROR(INDEX(Program_01!$BT:$BT,MATCH($B100,Program_01!$A:$A,0)),"")</f>
        <v>0</v>
      </c>
      <c r="AN100" s="184">
        <f>IFERROR(INDEX(Program_01!$BU:$BU,MATCH($B100,Program_01!$A:$A,0)),"")</f>
        <v>0</v>
      </c>
      <c r="AO100" s="184">
        <f>IFERROR(INDEX(Program_01!$BV:$BV,MATCH($B100,Program_01!$A:$A,0)),"")</f>
        <v>0</v>
      </c>
      <c r="AP100" s="51" t="str">
        <f t="shared" si="46"/>
        <v/>
      </c>
      <c r="AQ100" s="184">
        <f>IFERROR(INDEX(Program_01!$BN:$BN,MATCH($B100,Program_01!$A:$A,0)),"")</f>
        <v>0</v>
      </c>
      <c r="AR100" s="184" t="str">
        <f>IFERROR(INDEX(Program_01!$BO:$BO,MATCH($B100,Program_01!$A:$A,0)),"")</f>
        <v>Pending</v>
      </c>
      <c r="AS100" s="184" t="str">
        <f>IFERROR(INDEX(Program_01!$BP:$BP,MATCH($B100,Program_01!$A:$A,0)),"")</f>
        <v>Open</v>
      </c>
      <c r="AT100" s="185" t="str">
        <f>IFERROR(INDEX(Program_01!$BQ:$BQ,MATCH($B100,Program_01!$A:$A,0)),"")</f>
        <v>Commercial Team</v>
      </c>
      <c r="AU100" s="179" t="str">
        <f>IFERROR(INDEX(Program_01!$BR:$BR,MATCH($B100,Program_01!$A:$A,0)),"")</f>
        <v>23 Feb 26: The Contractor resubmitted the EOT Claim on 09 Feb (1TB01009-009C34-DAC-LTR-0038)  and sent  xer files on 15 Feb DAC01009-GENCORR-000015,  with updated cut-off date. EAR shall be updated. Target date - 15 March 26
09 March 26: Ditto
06 Apr 26: Target date shall be deferred to 30 Apr 26
20 Apr 26: Ditto
04 May 26: Under review by Commercial, trget date 10 May 26. 
18 May 26: Ditto. Target date deferred to 15 Jun 26
31 May 26: Contractor's updated submission received (letter ref 1TB009-01009-009C34-DAC-LTR-0048 and 23 May 26) . Target date for review and response - 25 Jun 26
15 Jun 26: Ditto
29 Jun 26:  Target date for review and response moved to 09 July 26
13 Jul 26: Contractor's works are complete on site. Contractor agreed to resubmit updated final EOT claim for consolidated review. same confimred via AMA01009-GENCORR-006433
25 Jul 26: Contractor has confirmed to revise and resubmit their claim with the latest cut-off date through GC DAC01009-RESP-000004 dated 13 Jul 26
10 Aug 26: Contractor has resubmitted the claim through letter ref. 1TB01009-009C34-DAC-LTR-0038 dated 4 Aug 26. EAR shall be prepared by 20 Sep 26
24 Aug 26: Ditto
07 Sep 26: Target date to be deferred - 15 Oct 26
21 Sep 26: Ditto
04 Oct 26: Ditto</v>
      </c>
      <c r="AV100" s="186" t="str">
        <f t="shared" si="32"/>
        <v/>
      </c>
      <c r="AW100" s="186" t="str">
        <f t="shared" si="47"/>
        <v>OPEN</v>
      </c>
      <c r="AX100" s="186" t="str">
        <f t="shared" si="33"/>
        <v>OPEN</v>
      </c>
      <c r="AY100" s="181">
        <f t="shared" si="38"/>
        <v>46238</v>
      </c>
      <c r="AZ100" s="181" t="str">
        <f t="shared" si="43"/>
        <v/>
      </c>
      <c r="BA100" s="181" t="str">
        <f t="shared" si="4"/>
        <v/>
      </c>
      <c r="BC100" s="181">
        <f>IFERROR(INDEX(Program_01!BF:BF,MATCH($B100,Program_01!$A:$A,0)),"")</f>
        <v>46238</v>
      </c>
      <c r="BD100" s="188">
        <f ca="1">IFERROR(INDEX(Program_01!BG:BG,MATCH($B100,Program_01!$A:$A,0)),"")</f>
        <v>62</v>
      </c>
      <c r="BE100" s="181">
        <f>IFERROR(INDEX(Program_01!BH:BH,MATCH($B100,Program_01!$A:$A,0)),"")</f>
        <v>0</v>
      </c>
      <c r="BF100" s="189">
        <f ca="1">IFERROR(INDEX(Program_01!BI:BI,MATCH($B100,Program_01!$A:$A,0)),"")</f>
        <v>0</v>
      </c>
      <c r="BG100" s="181">
        <f>IFERROR(INDEX(Program_01!BJ:BJ,MATCH($B100,Program_01!$A:$A,0)),"")</f>
        <v>0</v>
      </c>
      <c r="BH100" s="189">
        <f ca="1">IFERROR(INDEX(Program_01!BK:BK,MATCH($B100,Program_01!$A:$A,0)),"")</f>
        <v>0</v>
      </c>
      <c r="BI100" s="181">
        <f>IFERROR(INDEX(Program_01!BL:BL,MATCH($B100,Program_01!$A:$A,0)),"")</f>
        <v>0</v>
      </c>
      <c r="BK100" s="190" t="str">
        <f>IFERROR(IF(INDEX(Program_01!$BX:$BX,MATCH($B100,Program_01!$A:$A,0))=DATE(1900,1,0),"",INDEX(Program_01!$BX:$BX,MATCH($B100,Program_01!$A:$A,0))),"")</f>
        <v/>
      </c>
      <c r="BL100" s="190" t="str">
        <f>IFERROR(IF(INDEX(Program_01!$BY:$BY,MATCH($B100,Program_01!$A:$A,0))=DATE(1900,1,0),"",INDEX(Program_01!$BY:$BY,MATCH($B100,Program_01!$A:$A,0))),"")</f>
        <v/>
      </c>
      <c r="BM100" s="188" t="str">
        <f t="shared" ca="1" si="39"/>
        <v/>
      </c>
      <c r="BN100" s="191">
        <f t="shared" ca="1" si="40"/>
        <v>62</v>
      </c>
      <c r="BO100" s="188" t="str">
        <f t="shared" si="34"/>
        <v/>
      </c>
      <c r="BP100" s="188" t="str">
        <f t="shared" si="6"/>
        <v/>
      </c>
      <c r="BQ100" s="188" t="str">
        <f t="shared" ca="1" si="41"/>
        <v/>
      </c>
      <c r="BR100" s="181" t="str">
        <f t="shared" ca="1" si="44"/>
        <v/>
      </c>
      <c r="BT100" s="190" t="str">
        <f>IFERROR(IF(INDEX(Program_01!$BZ:$BZ,MATCH($B100,Program_01!$A:$A,0))=DATE(1900,1,0),"",INDEX(Program_01!$BZ:$BZ,MATCH($B100,Program_01!$A:$A,0))),"")</f>
        <v/>
      </c>
      <c r="BU100" s="182" t="str">
        <f t="shared" ca="1" si="48"/>
        <v/>
      </c>
      <c r="BV100" s="188" t="str">
        <f t="shared" si="35"/>
        <v/>
      </c>
      <c r="BW100" s="188" t="str">
        <f t="shared" si="8"/>
        <v/>
      </c>
      <c r="BX100" s="188" t="str">
        <f t="shared" ca="1" si="36"/>
        <v/>
      </c>
      <c r="BY100" s="181" t="str">
        <f t="shared" ca="1" si="45"/>
        <v/>
      </c>
      <c r="CA100" s="192" t="str">
        <f t="shared" si="49"/>
        <v>N</v>
      </c>
      <c r="CB100" s="192" t="str">
        <f t="shared" si="50"/>
        <v>N</v>
      </c>
      <c r="CC100" s="193">
        <f>IFERROR(INDEX(Program_01!$CE:$CE,MATCH($B100,Program_01!$A:$A,0)),"")</f>
        <v>45851</v>
      </c>
      <c r="CD100" s="193">
        <f t="shared" si="31"/>
        <v>45851</v>
      </c>
      <c r="CG100" s="194">
        <f>IFERROR(INDEX(Program_01!$AT:$AT,MATCH($B100,Program_01!$A:$A,0)),"")</f>
        <v>0</v>
      </c>
      <c r="CH100" s="194">
        <f>IFERROR(INDEX(Program_01!$AX:$AX,MATCH($B100,Program_01!$A:$A,0)),"")</f>
        <v>0</v>
      </c>
    </row>
    <row r="101" spans="1:86" s="187" customFormat="1" ht="409" customHeight="1">
      <c r="A101" s="174" t="s">
        <v>1</v>
      </c>
      <c r="B101" s="175">
        <f t="shared" si="42"/>
        <v>83</v>
      </c>
      <c r="C101" s="176" t="str">
        <f>IFERROR(INDEX(Program_01!$B:$B,MATCH($B101,Program_01!$A:$A,0)),"")</f>
        <v>FULL TIA EAR</v>
      </c>
      <c r="D101" s="176" t="str">
        <f>IFERROR(INDEX(Program_01!$D:$D,MATCH($B101,Program_01!$A:$A,0)),"")</f>
        <v>1TB01009C13</v>
      </c>
      <c r="E101" s="176" t="str">
        <f>IFERROR(INDEX(Program_01!$E:$E,MATCH($B101,Program_01!$A:$A,0)),"")</f>
        <v>1.TB.01.009.01</v>
      </c>
      <c r="F101" s="176" t="str">
        <f>IFERROR(INDEX(Program_01!$F:$F,MATCH($B101,Program_01!$A:$A,0)),"")</f>
        <v>Marina Hotel 3</v>
      </c>
      <c r="G101" s="176" t="str">
        <f>IFERROR(INDEX(Program_01!$G:$G,MATCH($B101,Program_01!$A:$A,0)),"")</f>
        <v>Aluminium &amp; Glazing Works for Marina Hotel 3</v>
      </c>
      <c r="H101" s="176" t="str">
        <f>IFERROR(INDEX(Program_01!$H:$H,MATCH($B101,Program_01!$A:$A,0)),"")</f>
        <v>Aluminium Technology Auxiliary Industries (Alutec) WLL</v>
      </c>
      <c r="I101" s="176" t="str">
        <f t="shared" si="37"/>
        <v>EOT</v>
      </c>
      <c r="J101" s="176">
        <f>IFERROR(INDEX(Program_01!$I:$I,MATCH($B101,Program_01!$A:$A,0)),"")</f>
        <v>1</v>
      </c>
      <c r="K101" s="176">
        <f>IFERROR(INDEX(Program_01!$J:$J,MATCH($B101,Program_01!$A:$A,0)),"")</f>
        <v>0</v>
      </c>
      <c r="L101" s="176">
        <f>IFERROR(INDEX(Program_01!$K:$K,MATCH($B101,Program_01!$A:$A,0)),"")</f>
        <v>0</v>
      </c>
      <c r="M101" s="176">
        <f>IFERROR(INDEX(Program_01!$L:$L,MATCH($B101,Program_01!$A:$A,0)),"")</f>
        <v>0</v>
      </c>
      <c r="N101" s="176">
        <f>IFERROR(INDEX(Program_01!$L:$L,MATCH($B101,Program_01!$A:$A,0)),"")</f>
        <v>0</v>
      </c>
      <c r="O101" s="176">
        <f>IFERROR(INDEX(Program_01!$N:$N,MATCH($B101,Program_01!$A:$A,0)),"")</f>
        <v>0</v>
      </c>
      <c r="P101" s="178"/>
      <c r="Q101" s="179" t="str">
        <f>IFERROR(INDEX(Program_01!$C:$C,MATCH($B101,Program_01!$A:$A,0)),"")</f>
        <v>Extension of Time</v>
      </c>
      <c r="R101" s="176" t="str">
        <f>IFERROR(INDEX(Program_01!$V:$V,MATCH($B101,Program_01!$A:$A,0)),"")</f>
        <v>1TB01009-009C13-LUT-LTR-0022</v>
      </c>
      <c r="S101" s="180">
        <f>IFERROR(INDEX(Program_01!$W:$W,MATCH($B101,Program_01!$A:$A,0)),"")</f>
        <v>45852</v>
      </c>
      <c r="T101" s="178"/>
      <c r="U101" s="176" t="str">
        <f>IFERROR(INDEX(Program_01!$Z:$Z,MATCH($B101,Program_01!$A:$A,0)),"")</f>
        <v>1TB01009-009C13-AMA-LTR-0065</v>
      </c>
      <c r="V101" s="181">
        <f>IFERROR(INDEX(Program_01!$AA:$AA,MATCH($B101,Program_01!$A:$A,0)),"")</f>
        <v>45938</v>
      </c>
      <c r="W101" s="182">
        <f t="shared" ca="1" si="0"/>
        <v>86</v>
      </c>
      <c r="X101" s="51"/>
      <c r="Y101" s="179">
        <f>IFERROR(INDEX(Program_01!$BD:$BD,MATCH($B101,Program_01!$A:$A,0)),"")</f>
        <v>0</v>
      </c>
      <c r="Z101" s="51"/>
      <c r="AA101" s="183" t="str">
        <f>IFERROR(IF((INDEX(Program_01!$AD:$AD,MATCH($B101,Program_01!$A:$A,0))=""),INDEX(Program_01!$V:$V,MATCH($B101,Program_01!$A:$A,0)),INDEX(Program_01!$AD:$AD,MATCH($B101,Program_01!$A:$A,0))),"")</f>
        <v>1TB01009-009C13-LUT-LTR-0049 on 21 Jun 26
1TB01009-009C13-LUT-LTR-0049</v>
      </c>
      <c r="AB101" s="147">
        <f>IFERROR(IF((INDEX(Program_01!$AE:$AE,MATCH($B101,Program_01!$A:$A,0))=""),INDEX(Program_01!$W:$W,MATCH($B101,Program_01!$A:$A,0)),INDEX(Program_01!$AE:$AE,MATCH($B101,Program_01!$A:$A,0))),"")</f>
        <v>46212</v>
      </c>
      <c r="AC101" s="183">
        <f>IFERROR(IF($I101="EOT",INDEX(Program_01!$AN:$AN,MATCH($B101,Program_01!$A:$A,0)),INDEX(Program_01!$AY:$AY,MATCH($B101,Program_01!$A:$A,0))),"")</f>
        <v>0</v>
      </c>
      <c r="AD101" s="181">
        <f>IFERROR(IF($I101="EOT",INDEX(Program_01!$AO:$AO,MATCH($B101,Program_01!$A:$A,0)),INDEX(Program_01!$AZ:$AZ,MATCH($B101,Program_01!$A:$A,0))),"")</f>
        <v>0</v>
      </c>
      <c r="AE101" s="51"/>
      <c r="AF101" s="183"/>
      <c r="AG101" s="181"/>
      <c r="AH101" s="183" t="str">
        <f>IF(OR($D101="",$AS101="VO Issued",$AS101="Open"),"",IF(OR($AC101="Rejected",$AC101="Superseded",$AC101="Dealt Separately"),$AC101,IF($I101="EOT",INDEX(Program_01!$AR:$AR,MATCH($B101,Program_01!$A:$A,0)),INDEX(Program_01!$BB:$BB,MATCH($B101,Program_01!$A:$A,0)))))</f>
        <v/>
      </c>
      <c r="AI101" s="181" t="str">
        <f>IF(OR($A101="",$B101="",$I101="",$AS101="VO Issued",$AS101="Open"),"",IF(OR($AD101="N/A"),$AD101,IF($I101="EOT",INDEX(Program_01!$AS:$AS,MATCH($B101,Program_01!$A:$A,0)),INDEX(Program_01!$BC:$BC,MATCH($B101,Program_01!$A:$A,0)))))</f>
        <v/>
      </c>
      <c r="AJ101" s="183" t="str">
        <f>IF(OR($D101="",$I101="",$AS101="Determination Issued",$AS101="Rejected",$AS101="Open"),"",IF(OR($AH101="Rejected",$AH101="Dealt Separately",$AH101="Superseded",$AH101="Withdrawn"),"N/A",IF($I101="EOT",INDEX(Program_01!AR:AR,MATCH($B101,Program_01!A:A,0)),INDEX(Program_01!BB:BB,MATCH($B101,Program_01!A:A,0)))))</f>
        <v/>
      </c>
      <c r="AK101" s="181" t="str">
        <f>IF(OR($A101="",$B101="",$I101="",$AS101="Determination Issued",$AS101="Rejected",$AS101="Open"),"",IF($AJ101="N/A","N/A",IF($I101="EOT",INDEX(Program_01!AS:AS,MATCH($B101,Program_01!A:A,0)),INDEX(Program_01!BC:BC,MATCH($B101,Program_01!A:A,0)))))</f>
        <v/>
      </c>
      <c r="AL101" s="51"/>
      <c r="AM101" s="184" t="str">
        <f>IFERROR(INDEX(Program_01!$BT:$BT,MATCH($B101,Program_01!$A:$A,0)),"")</f>
        <v>Revise &amp; resubmit</v>
      </c>
      <c r="AN101" s="184">
        <f>IFERROR(INDEX(Program_01!$BU:$BU,MATCH($B101,Program_01!$A:$A,0)),"")</f>
        <v>0</v>
      </c>
      <c r="AO101" s="184">
        <f>IFERROR(INDEX(Program_01!$BV:$BV,MATCH($B101,Program_01!$A:$A,0)),"")</f>
        <v>0</v>
      </c>
      <c r="AP101" s="51" t="str">
        <f t="shared" si="46"/>
        <v/>
      </c>
      <c r="AQ101" s="184">
        <f>IFERROR(INDEX(Program_01!$BN:$BN,MATCH($B101,Program_01!$A:$A,0)),"")</f>
        <v>0</v>
      </c>
      <c r="AR101" s="184" t="str">
        <f>IFERROR(INDEX(Program_01!$BO:$BO,MATCH($B101,Program_01!$A:$A,0)),"")</f>
        <v>Pending</v>
      </c>
      <c r="AS101" s="184" t="str">
        <f>IFERROR(INDEX(Program_01!$BP:$BP,MATCH($B101,Program_01!$A:$A,0)),"")</f>
        <v>Open</v>
      </c>
      <c r="AT101" s="185" t="str">
        <f>IFERROR(INDEX(Program_01!$BQ:$BQ,MATCH($B101,Program_01!$A:$A,0)),"")</f>
        <v>Contractor</v>
      </c>
      <c r="AU101" s="179" t="str">
        <f>IFERROR(INDEX(Program_01!$BR:$BR,MATCH($B101,Program_01!$A:$A,0)),"")</f>
        <v>29 Nov 25: Meeting held with Contractor on 27 Nov 25, Awaiting revised submission from the Contractor, commercial to issue a follow up letter with details discussed and agreed during the meeting
13 Dec 25: Follow up letter issued. ( WF-069103 - AMA01009-WTRAN-204487 - Released on 16 Dec 2025, 1TB01009-009C13-AMA-LTR-0078.
10 Jan 26: Awaiting revised submission from the Contractor
12 Jan 26: Comm to issue a follow up letter
25 Jan 26: Follow up letter in WF-WF-075753
03 Feb 26: Follow up letter isuued to the Contractor - 1TB01009-009C13-AMA-LTR-0083
09 Feb 26: Awaiting revised submission from Contractor
23 Feb 26: Awaiting revised submission from Contractor
09 March 26: Ditto, comm to issue 2nd follow up letter
06 Apr 26: Awaiting Contractor's revised submission incorporating Employer's comments
20 Apr 26: Ditto, 2nd follow up not issued yet, comm to issue a follow up
21 Apr 26: Letter issued to the Contractor 1TB01009-009C13-AMA-LTR-0094. 
04 May 26: Ditto
18 May 26: Ditto
04 June 26: Revised EOT submission received on 5 April 26 under letter Ref. TB0009-009C3-LUT-LTR-0043. The Employer rejected the submission through letter ref. TB0009-009C13-AMA-LTR-0094 dated 21 April 26 advising to revise and resubmit.  Awaiting Contractor's revised submission
15 Jun 26: Ditto
29 June 26: The Contractor's revised submission submitted on 21 June 26 via letter ref.1TB01009-009C13-LUT-LTR-0049, Target date TBC
13 Jul 26: Contractor resubmitted their EOT on 9 Jul 26 via 1TB01009-009C13-LUT-LTR-0049. Initial response shall be prepared by 30 Jul 26. 
25 Jul 26: resposne letter under WF-094287, target to issue before 30 July 2026.
10 Aug 26: Planning comments issued to Contractor through letter ref. 1TB01009-009C13-AMA-LTR-0117 dated 29 Jul 26. Commercial comments under preparation. commercial targeted to issue the comments back to contractor by 15 Aug 26
24 Aug 26: Awaiting feedback from Contractor. 
07 Sep 26: Ditto
21 Sep 26: Ditto</v>
      </c>
      <c r="AV101" s="186" t="str">
        <f t="shared" si="32"/>
        <v/>
      </c>
      <c r="AW101" s="186" t="str">
        <f t="shared" si="47"/>
        <v>OPEN</v>
      </c>
      <c r="AX101" s="186" t="str">
        <f t="shared" si="33"/>
        <v>OPEN</v>
      </c>
      <c r="AY101" s="181">
        <f t="shared" si="38"/>
        <v>46212</v>
      </c>
      <c r="AZ101" s="181" t="str">
        <f t="shared" si="43"/>
        <v/>
      </c>
      <c r="BA101" s="181" t="str">
        <f t="shared" si="4"/>
        <v/>
      </c>
      <c r="BC101" s="181">
        <f>IFERROR(INDEX(Program_01!BF:BF,MATCH($B101,Program_01!$A:$A,0)),"")</f>
        <v>46212</v>
      </c>
      <c r="BD101" s="188">
        <f ca="1">IFERROR(INDEX(Program_01!BG:BG,MATCH($B101,Program_01!$A:$A,0)),"")</f>
        <v>0</v>
      </c>
      <c r="BE101" s="181">
        <f>IFERROR(INDEX(Program_01!BH:BH,MATCH($B101,Program_01!$A:$A,0)),"")</f>
        <v>0</v>
      </c>
      <c r="BF101" s="189">
        <f ca="1">IFERROR(INDEX(Program_01!BI:BI,MATCH($B101,Program_01!$A:$A,0)),"")</f>
        <v>0</v>
      </c>
      <c r="BG101" s="181">
        <f>IFERROR(INDEX(Program_01!BJ:BJ,MATCH($B101,Program_01!$A:$A,0)),"")</f>
        <v>0</v>
      </c>
      <c r="BH101" s="189">
        <f ca="1">IFERROR(INDEX(Program_01!BK:BK,MATCH($B101,Program_01!$A:$A,0)),"")</f>
        <v>0</v>
      </c>
      <c r="BI101" s="181">
        <f>IFERROR(INDEX(Program_01!BL:BL,MATCH($B101,Program_01!$A:$A,0)),"")</f>
        <v>0</v>
      </c>
      <c r="BK101" s="190" t="str">
        <f>IFERROR(IF(INDEX(Program_01!$BX:$BX,MATCH($B101,Program_01!$A:$A,0))=DATE(1900,1,0),"",INDEX(Program_01!$BX:$BX,MATCH($B101,Program_01!$A:$A,0))),"")</f>
        <v/>
      </c>
      <c r="BL101" s="190" t="str">
        <f>IFERROR(IF(INDEX(Program_01!$BY:$BY,MATCH($B101,Program_01!$A:$A,0))=DATE(1900,1,0),"",INDEX(Program_01!$BY:$BY,MATCH($B101,Program_01!$A:$A,0))),"")</f>
        <v/>
      </c>
      <c r="BM101" s="188" t="str">
        <f t="shared" ca="1" si="39"/>
        <v/>
      </c>
      <c r="BN101" s="191">
        <f t="shared" ca="1" si="40"/>
        <v>0</v>
      </c>
      <c r="BO101" s="188" t="str">
        <f t="shared" si="34"/>
        <v/>
      </c>
      <c r="BP101" s="188" t="str">
        <f t="shared" si="6"/>
        <v/>
      </c>
      <c r="BQ101" s="188" t="str">
        <f t="shared" ca="1" si="41"/>
        <v/>
      </c>
      <c r="BR101" s="181" t="str">
        <f t="shared" ca="1" si="44"/>
        <v/>
      </c>
      <c r="BT101" s="190" t="str">
        <f>IFERROR(IF(INDEX(Program_01!$BZ:$BZ,MATCH($B101,Program_01!$A:$A,0))=DATE(1900,1,0),"",INDEX(Program_01!$BZ:$BZ,MATCH($B101,Program_01!$A:$A,0))),"")</f>
        <v/>
      </c>
      <c r="BU101" s="182" t="str">
        <f t="shared" ca="1" si="48"/>
        <v/>
      </c>
      <c r="BV101" s="188" t="str">
        <f t="shared" si="35"/>
        <v/>
      </c>
      <c r="BW101" s="188" t="str">
        <f t="shared" si="8"/>
        <v/>
      </c>
      <c r="BX101" s="188" t="str">
        <f t="shared" ca="1" si="36"/>
        <v/>
      </c>
      <c r="BY101" s="181" t="str">
        <f t="shared" ca="1" si="45"/>
        <v/>
      </c>
      <c r="CA101" s="192" t="str">
        <f t="shared" si="49"/>
        <v>N</v>
      </c>
      <c r="CB101" s="192" t="str">
        <f t="shared" si="50"/>
        <v>N</v>
      </c>
      <c r="CC101" s="193">
        <f>IFERROR(INDEX(Program_01!$CE:$CE,MATCH($B101,Program_01!$A:$A,0)),"")</f>
        <v>45865</v>
      </c>
      <c r="CD101" s="193">
        <f t="shared" si="31"/>
        <v>45865</v>
      </c>
      <c r="CG101" s="194">
        <f>IFERROR(INDEX(Program_01!$AT:$AT,MATCH($B101,Program_01!$A:$A,0)),"")</f>
        <v>0</v>
      </c>
      <c r="CH101" s="194">
        <f>IFERROR(INDEX(Program_01!$AX:$AX,MATCH($B101,Program_01!$A:$A,0)),"")</f>
        <v>0</v>
      </c>
    </row>
    <row r="102" spans="1:86" s="187" customFormat="1" ht="391.5" customHeight="1">
      <c r="A102" s="174" t="s">
        <v>1</v>
      </c>
      <c r="B102" s="175">
        <f t="shared" si="42"/>
        <v>84</v>
      </c>
      <c r="C102" s="176" t="str">
        <f>IFERROR(INDEX(Program_01!$B:$B,MATCH($B102,Program_01!$A:$A,0)),"")</f>
        <v>FULL TIA EAR</v>
      </c>
      <c r="D102" s="176" t="str">
        <f>IFERROR(INDEX(Program_01!$D:$D,MATCH($B102,Program_01!$A:$A,0)),"")</f>
        <v>1TB01031C15</v>
      </c>
      <c r="E102" s="176" t="str">
        <f>IFERROR(INDEX(Program_01!$E:$E,MATCH($B102,Program_01!$A:$A,0)),"")</f>
        <v>1.TB.01.031.01</v>
      </c>
      <c r="F102" s="176" t="str">
        <f>IFERROR(INDEX(Program_01!$F:$F,MATCH($B102,Program_01!$A:$A,0)),"")</f>
        <v>The Marina</v>
      </c>
      <c r="G102" s="176" t="str">
        <f>IFERROR(INDEX(Program_01!$G:$G,MATCH($B102,Program_01!$A:$A,0)),"")</f>
        <v>Constructing Boardwalks &amp; Jetties for Hijaz Island at Amaala
Development</v>
      </c>
      <c r="H102" s="176" t="str">
        <f>IFERROR(INDEX(Program_01!$H:$H,MATCH($B102,Program_01!$A:$A,0)),"")</f>
        <v>Elmar Marinas Khaleej LLC</v>
      </c>
      <c r="I102" s="176" t="str">
        <f t="shared" si="37"/>
        <v>EOT</v>
      </c>
      <c r="J102" s="176">
        <f>IFERROR(INDEX(Program_01!$I:$I,MATCH($B102,Program_01!$A:$A,0)),"")</f>
        <v>1</v>
      </c>
      <c r="K102" s="176">
        <f>IFERROR(INDEX(Program_01!$J:$J,MATCH($B102,Program_01!$A:$A,0)),"")</f>
        <v>0</v>
      </c>
      <c r="L102" s="176">
        <f>IFERROR(INDEX(Program_01!$K:$K,MATCH($B102,Program_01!$A:$A,0)),"")</f>
        <v>0</v>
      </c>
      <c r="M102" s="176">
        <f>IFERROR(INDEX(Program_01!$L:$L,MATCH($B102,Program_01!$A:$A,0)),"")</f>
        <v>0</v>
      </c>
      <c r="N102" s="176">
        <f>IFERROR(INDEX(Program_01!$L:$L,MATCH($B102,Program_01!$A:$A,0)),"")</f>
        <v>0</v>
      </c>
      <c r="O102" s="176">
        <f>IFERROR(INDEX(Program_01!$N:$N,MATCH($B102,Program_01!$A:$A,0)),"")</f>
        <v>0</v>
      </c>
      <c r="P102" s="178"/>
      <c r="Q102" s="179" t="str">
        <f>IFERROR(INDEX(Program_01!$C:$C,MATCH($B102,Program_01!$A:$A,0)),"")</f>
        <v>EOT-01  TB Marina Project - Request for Extension of Time -Elmaar</v>
      </c>
      <c r="R102" s="176" t="str">
        <f>IFERROR(INDEX(Program_01!$V:$V,MATCH($B102,Program_01!$A:$A,0)),"")</f>
        <v>1TB01031-031C15-EMC-LTR-0008</v>
      </c>
      <c r="S102" s="180">
        <f>IFERROR(INDEX(Program_01!$W:$W,MATCH($B102,Program_01!$A:$A,0)),"")</f>
        <v>45860</v>
      </c>
      <c r="T102" s="178"/>
      <c r="U102" s="176" t="str">
        <f>IFERROR(INDEX(Program_01!$Z:$Z,MATCH($B102,Program_01!$A:$A,0)),"")</f>
        <v>AMA01031-GENCORR-001021</v>
      </c>
      <c r="V102" s="181">
        <f>IFERROR(INDEX(Program_01!$AA:$AA,MATCH($B102,Program_01!$A:$A,0)),"")</f>
        <v>45875</v>
      </c>
      <c r="W102" s="182">
        <f t="shared" ca="1" si="0"/>
        <v>15</v>
      </c>
      <c r="X102" s="51"/>
      <c r="Y102" s="179">
        <f>IFERROR(INDEX(Program_01!$BD:$BD,MATCH($B102,Program_01!$A:$A,0)),"")</f>
        <v>0</v>
      </c>
      <c r="Z102" s="51"/>
      <c r="AA102" s="183" t="str">
        <f>IFERROR(IF((INDEX(Program_01!$AD:$AD,MATCH($B102,Program_01!$A:$A,0))=""),INDEX(Program_01!$V:$V,MATCH($B102,Program_01!$A:$A,0)),INDEX(Program_01!$AD:$AD,MATCH($B102,Program_01!$A:$A,0))),"")</f>
        <v>1TB01031-031C15-EMC-LTR-0010</v>
      </c>
      <c r="AB102" s="147">
        <f>IFERROR(IF((INDEX(Program_01!$AE:$AE,MATCH($B102,Program_01!$A:$A,0))=""),INDEX(Program_01!$W:$W,MATCH($B102,Program_01!$A:$A,0)),INDEX(Program_01!$AE:$AE,MATCH($B102,Program_01!$A:$A,0))),"")</f>
        <v>45890</v>
      </c>
      <c r="AC102" s="183" t="str">
        <f>IFERROR(IF($I102="EOT",INDEX(Program_01!$AN:$AN,MATCH($B102,Program_01!$A:$A,0)),INDEX(Program_01!$AY:$AY,MATCH($B102,Program_01!$A:$A,0))),"")</f>
        <v>1TB01031-031C15-AMA-LTR-0025</v>
      </c>
      <c r="AD102" s="181">
        <f>IFERROR(IF($I102="EOT",INDEX(Program_01!$AO:$AO,MATCH($B102,Program_01!$A:$A,0)),INDEX(Program_01!$AZ:$AZ,MATCH($B102,Program_01!$A:$A,0))),"")</f>
        <v>45999</v>
      </c>
      <c r="AE102" s="51"/>
      <c r="AF102" s="183"/>
      <c r="AG102" s="181"/>
      <c r="AH102" s="183">
        <f>IF(OR($D102="",$AS102="VO Issued",$AS102="Open"),"",IF(OR($AC102="Rejected",$AC102="Superseded",$AC102="Dealt Separately"),$AC102,IF($I102="EOT",INDEX(Program_01!$AR:$AR,MATCH($B102,Program_01!$A:$A,0)),INDEX(Program_01!$BB:$BB,MATCH($B102,Program_01!$A:$A,0)))))</f>
        <v>0</v>
      </c>
      <c r="AI102" s="181">
        <f>IF(OR($A102="",$B102="",$I102="",$AS102="VO Issued",$AS102="Open"),"",IF(OR($AD102="N/A"),$AD102,IF($I102="EOT",INDEX(Program_01!$AS:$AS,MATCH($B102,Program_01!$A:$A,0)),INDEX(Program_01!$BC:$BC,MATCH($B102,Program_01!$A:$A,0)))))</f>
        <v>0</v>
      </c>
      <c r="AJ102" s="183">
        <f>IF(OR($D102="",$I102="",$AS102="Determination Issued",$AS102="Rejected",$AS102="Open"),"",IF(OR($AH102="Rejected",$AH102="Dealt Separately",$AH102="Superseded",$AH102="Withdrawn"),"N/A",IF($I102="EOT",INDEX(Program_01!AR:AR,MATCH($B102,Program_01!A:A,0)),INDEX(Program_01!BB:BB,MATCH($B102,Program_01!A:A,0)))))</f>
        <v>0</v>
      </c>
      <c r="AK102" s="181">
        <f>IF(OR($A102="",$B102="",$I102="",$AS102="Determination Issued",$AS102="Rejected",$AS102="Open"),"",IF($AJ102="N/A","N/A",IF($I102="EOT",INDEX(Program_01!AS:AS,MATCH($B102,Program_01!A:A,0)),INDEX(Program_01!BC:BC,MATCH($B102,Program_01!A:A,0)))))</f>
        <v>0</v>
      </c>
      <c r="AL102" s="51"/>
      <c r="AM102" s="184">
        <f>IFERROR(INDEX(Program_01!$BT:$BT,MATCH($B102,Program_01!$A:$A,0)),"")</f>
        <v>0</v>
      </c>
      <c r="AN102" s="184">
        <f>IFERROR(INDEX(Program_01!$BU:$BU,MATCH($B102,Program_01!$A:$A,0)),"")</f>
        <v>0</v>
      </c>
      <c r="AO102" s="184">
        <f>IFERROR(INDEX(Program_01!$BV:$BV,MATCH($B102,Program_01!$A:$A,0)),"")</f>
        <v>0</v>
      </c>
      <c r="AP102" s="51" t="str">
        <f t="shared" si="46"/>
        <v/>
      </c>
      <c r="AQ102" s="184">
        <f>IFERROR(INDEX(Program_01!$BN:$BN,MATCH($B102,Program_01!$A:$A,0)),"")</f>
        <v>0</v>
      </c>
      <c r="AR102" s="184" t="str">
        <f>IFERROR(INDEX(Program_01!$BO:$BO,MATCH($B102,Program_01!$A:$A,0)),"")</f>
        <v>Assessment Report Issued</v>
      </c>
      <c r="AS102" s="184" t="str">
        <f>IFERROR(INDEX(Program_01!$BP:$BP,MATCH($B102,Program_01!$A:$A,0)),"")</f>
        <v>EI Issued</v>
      </c>
      <c r="AT102" s="185" t="str">
        <f>IFERROR(INDEX(Program_01!$BQ:$BQ,MATCH($B102,Program_01!$A:$A,0)),"")</f>
        <v>Closed</v>
      </c>
      <c r="AU102" s="179" t="str">
        <f>IFERROR(INDEX(Program_01!$BR:$BR,MATCH($B102,Program_01!$A:$A,0)),"")</f>
        <v>06 Oct 25: The draft EAR is submitted to the Prgram-01 Claim team before it is issued to Nigel. BK: target date 09 October. 
11 Oct 25: Draft report sent to claims team for review
12 Oct 25: EAR sent to planning to proceed with TIA
13 Oct 25: Target date TBC
19 Oct 25 : Ditto, Targeted to revert bt 30 Oct 25
27 Oct 25: Target date moved to 5 Nov 05
01 Nov 25: TIA incorporated and sent to commercial for finalisation
03 Nov 25: Commercial to review and to be sent to Claims team for final approval before WF. Target date 04 Nov 25. 
05 Nov 25: Draft EAR sent to planning for review to outline any compensable delays and non-compensable delays. Final Draft sent to claims team for approval 
17 Nov 25: Ditto, Targeted to revert by 18 Nov 25
18 Nov 25: EAR approved &amp; sent back to commercial to initiate WF
19 Nov 25: EAR put in WF (015404)
01 Dec 25: Ditto, approved by GCEO on 01 Dec 25. comm to put cover letter in WF
08 Dec 25: 1TB01031-031C15-AMA-LTR-0025 EAR issued to Contractor
15 Dec 25: Contractort requested P6 native file via email,
16 Dec 25: Native file shared with the contractor via AMA01006-GENCORR-004077
12 Jan 26 : Ditto, comm to follwo up with the contractor 
25 Jan 26: Contractor has submitted the Cost assessment via 1TB01031-031C15-EMC-LTR-0024 based on the Employer's Assessment report issued. Employer's Review is in progress (to be added as new line item) 
27 Jan 26: Comm to ask the contractor to formally accept the EAR for EOT-01 in order to issue the EI and close this line item
08 Feb-26: Contractor has submitted the formal acceptance vis ACONEX ref 1TB01031-031C15-EMC-LTR-0025. EI to be issued
22 Feb 26: EIissued on 05 Feb, AMA01031-EMPI-000006</v>
      </c>
      <c r="AV102" s="186" t="str">
        <f t="shared" si="32"/>
        <v/>
      </c>
      <c r="AW102" s="186" t="str">
        <f t="shared" si="47"/>
        <v>CLOSED</v>
      </c>
      <c r="AX102" s="186" t="str">
        <f t="shared" si="33"/>
        <v>CLOSED</v>
      </c>
      <c r="AY102" s="181">
        <f t="shared" si="38"/>
        <v>45890</v>
      </c>
      <c r="AZ102" s="181">
        <f t="shared" si="43"/>
        <v>45999</v>
      </c>
      <c r="BA102" s="181">
        <f t="shared" si="4"/>
        <v>0</v>
      </c>
      <c r="BC102" s="181">
        <f>IFERROR(INDEX(Program_01!BF:BF,MATCH($B102,Program_01!$A:$A,0)),"")</f>
        <v>45890</v>
      </c>
      <c r="BD102" s="188" t="str">
        <f ca="1">IFERROR(INDEX(Program_01!BG:BG,MATCH($B102,Program_01!$A:$A,0)),"")</f>
        <v>N/A</v>
      </c>
      <c r="BE102" s="181">
        <f>IFERROR(INDEX(Program_01!BH:BH,MATCH($B102,Program_01!$A:$A,0)),"")</f>
        <v>0</v>
      </c>
      <c r="BF102" s="189">
        <f ca="1">IFERROR(INDEX(Program_01!BI:BI,MATCH($B102,Program_01!$A:$A,0)),"")</f>
        <v>0</v>
      </c>
      <c r="BG102" s="181">
        <f>IFERROR(INDEX(Program_01!BJ:BJ,MATCH($B102,Program_01!$A:$A,0)),"")</f>
        <v>0</v>
      </c>
      <c r="BH102" s="189">
        <f ca="1">IFERROR(INDEX(Program_01!BK:BK,MATCH($B102,Program_01!$A:$A,0)),"")</f>
        <v>0</v>
      </c>
      <c r="BI102" s="181">
        <f>IFERROR(INDEX(Program_01!BL:BL,MATCH($B102,Program_01!$A:$A,0)),"")</f>
        <v>0</v>
      </c>
      <c r="BK102" s="190">
        <f>IFERROR(IF(INDEX(Program_01!$BX:$BX,MATCH($B102,Program_01!$A:$A,0))=DATE(1900,1,0),"",INDEX(Program_01!$BX:$BX,MATCH($B102,Program_01!$A:$A,0))),"")</f>
        <v>45999</v>
      </c>
      <c r="BL102" s="190" t="str">
        <f>IFERROR(IF(INDEX(Program_01!$BY:$BY,MATCH($B102,Program_01!$A:$A,0))=DATE(1900,1,0),"",INDEX(Program_01!$BY:$BY,MATCH($B102,Program_01!$A:$A,0))),"")</f>
        <v/>
      </c>
      <c r="BM102" s="188">
        <f t="shared" ca="1" si="39"/>
        <v>109</v>
      </c>
      <c r="BN102" s="191">
        <f t="shared" ca="1" si="40"/>
        <v>109</v>
      </c>
      <c r="BO102" s="188">
        <f t="shared" ca="1" si="34"/>
        <v>109</v>
      </c>
      <c r="BP102" s="188" t="str">
        <f t="shared" si="6"/>
        <v>1</v>
      </c>
      <c r="BQ102" s="188" t="str">
        <f t="shared" ca="1" si="41"/>
        <v/>
      </c>
      <c r="BR102" s="181" t="str">
        <f t="shared" ca="1" si="44"/>
        <v/>
      </c>
      <c r="BT102" s="190" t="str">
        <f>IFERROR(IF(INDEX(Program_01!$BZ:$BZ,MATCH($B102,Program_01!$A:$A,0))=DATE(1900,1,0),"",INDEX(Program_01!$BZ:$BZ,MATCH($B102,Program_01!$A:$A,0))),"")</f>
        <v/>
      </c>
      <c r="BU102" s="182" t="str">
        <f t="shared" ca="1" si="48"/>
        <v/>
      </c>
      <c r="BV102" s="188" t="str">
        <f t="shared" si="35"/>
        <v/>
      </c>
      <c r="BW102" s="188" t="str">
        <f t="shared" si="8"/>
        <v>1</v>
      </c>
      <c r="BX102" s="188" t="str">
        <f t="shared" ca="1" si="36"/>
        <v/>
      </c>
      <c r="BY102" s="181" t="str">
        <f t="shared" ca="1" si="45"/>
        <v/>
      </c>
      <c r="CA102" s="192" t="str">
        <f t="shared" si="49"/>
        <v>Y</v>
      </c>
      <c r="CB102" s="192" t="str">
        <f t="shared" si="50"/>
        <v>N</v>
      </c>
      <c r="CC102" s="193">
        <f>IFERROR(INDEX(Program_01!$CE:$CE,MATCH($B102,Program_01!$A:$A,0)),"")</f>
        <v>45880</v>
      </c>
      <c r="CD102" s="193">
        <f t="shared" si="31"/>
        <v>45880</v>
      </c>
      <c r="CG102" s="194">
        <f>IFERROR(INDEX(Program_01!$AT:$AT,MATCH($B102,Program_01!$A:$A,0)),"")</f>
        <v>0</v>
      </c>
      <c r="CH102" s="194">
        <f>IFERROR(INDEX(Program_01!$AX:$AX,MATCH($B102,Program_01!$A:$A,0)),"")</f>
        <v>0</v>
      </c>
    </row>
    <row r="103" spans="1:86" s="187" customFormat="1" ht="201.75" customHeight="1">
      <c r="A103" s="174" t="s">
        <v>1</v>
      </c>
      <c r="B103" s="175">
        <f t="shared" si="42"/>
        <v>85</v>
      </c>
      <c r="C103" s="176" t="str">
        <f>IFERROR(INDEX(Program_01!$B:$B,MATCH($B103,Program_01!$A:$A,0)),"")</f>
        <v>COST EAR</v>
      </c>
      <c r="D103" s="176" t="str">
        <f>IFERROR(INDEX(Program_01!$D:$D,MATCH($B103,Program_01!$A:$A,0)),"")</f>
        <v>1TB01005C02</v>
      </c>
      <c r="E103" s="176" t="str">
        <f>IFERROR(INDEX(Program_01!$E:$E,MATCH($B103,Program_01!$A:$A,0)),"")</f>
        <v>1.TB.01.005.01</v>
      </c>
      <c r="F103" s="176" t="str">
        <f>IFERROR(INDEX(Program_01!$F:$F,MATCH($B103,Program_01!$A:$A,0)),"")</f>
        <v>Red Sea Marine Life Institute</v>
      </c>
      <c r="G103" s="176" t="str">
        <f>IFERROR(INDEX(Program_01!$G:$G,MATCH($B103,Program_01!$A:$A,0)),"")</f>
        <v>Construction Contract - Structural Concrete, Wet Trades, Dewatering, Earthworks &amp; BOH Finishes</v>
      </c>
      <c r="H103" s="176" t="str">
        <f>IFERROR(INDEX(Program_01!$H:$H,MATCH($B103,Program_01!$A:$A,0)),"")</f>
        <v>Saudi Arabian Baytur Construction Company</v>
      </c>
      <c r="I103" s="176" t="str">
        <f t="shared" si="37"/>
        <v>Other Claims</v>
      </c>
      <c r="J103" s="176">
        <f>IFERROR(INDEX(Program_01!$I:$I,MATCH($B103,Program_01!$A:$A,0)),"")</f>
        <v>0</v>
      </c>
      <c r="K103" s="176">
        <f>IFERROR(INDEX(Program_01!$J:$J,MATCH($B103,Program_01!$A:$A,0)),"")</f>
        <v>0</v>
      </c>
      <c r="L103" s="176">
        <f>IFERROR(INDEX(Program_01!$K:$K,MATCH($B103,Program_01!$A:$A,0)),"")</f>
        <v>0</v>
      </c>
      <c r="M103" s="176">
        <f>IFERROR(INDEX(Program_01!$L:$L,MATCH($B103,Program_01!$A:$A,0)),"")</f>
        <v>0</v>
      </c>
      <c r="N103" s="176">
        <f>IFERROR(INDEX(Program_01!$L:$L,MATCH($B103,Program_01!$A:$A,0)),"")</f>
        <v>0</v>
      </c>
      <c r="O103" s="176">
        <f>IFERROR(INDEX(Program_01!$N:$N,MATCH($B103,Program_01!$A:$A,0)),"")</f>
        <v>1</v>
      </c>
      <c r="P103" s="178"/>
      <c r="Q103" s="179" t="str">
        <f>IFERROR(INDEX(Program_01!$C:$C,MATCH($B103,Program_01!$A:$A,0)),"")</f>
        <v>EoT Claim - De-Watering Services</v>
      </c>
      <c r="R103" s="176" t="str">
        <f>IFERROR(INDEX(Program_01!$V:$V,MATCH($B103,Program_01!$A:$A,0)),"")</f>
        <v>1TB01005-005C02-SAB-LTR-0307</v>
      </c>
      <c r="S103" s="180">
        <f>IFERROR(INDEX(Program_01!$W:$W,MATCH($B103,Program_01!$A:$A,0)),"")</f>
        <v>45872</v>
      </c>
      <c r="T103" s="178"/>
      <c r="U103" s="176">
        <f>IFERROR(INDEX(Program_01!$Z:$Z,MATCH($B103,Program_01!$A:$A,0)),"")</f>
        <v>0</v>
      </c>
      <c r="V103" s="181" t="str">
        <f>IFERROR(INDEX(Program_01!$AA:$AA,MATCH($B103,Program_01!$A:$A,0)),"")</f>
        <v>N/A</v>
      </c>
      <c r="W103" s="182" t="str">
        <f t="shared" ca="1" si="0"/>
        <v/>
      </c>
      <c r="X103" s="51"/>
      <c r="Y103" s="179">
        <f>IFERROR(INDEX(Program_01!$BD:$BD,MATCH($B103,Program_01!$A:$A,0)),"")</f>
        <v>0</v>
      </c>
      <c r="Z103" s="51"/>
      <c r="AA103" s="183" t="str">
        <f>IFERROR(IF((INDEX(Program_01!$AD:$AD,MATCH($B103,Program_01!$A:$A,0))=""),INDEX(Program_01!$V:$V,MATCH($B103,Program_01!$A:$A,0)),INDEX(Program_01!$AD:$AD,MATCH($B103,Program_01!$A:$A,0))),"")</f>
        <v>1TB01005-005C02-SAB-LTR-0307</v>
      </c>
      <c r="AB103" s="147">
        <f>IFERROR(IF((INDEX(Program_01!$AE:$AE,MATCH($B103,Program_01!$A:$A,0))=""),INDEX(Program_01!$W:$W,MATCH($B103,Program_01!$A:$A,0)),INDEX(Program_01!$AE:$AE,MATCH($B103,Program_01!$A:$A,0))),"")</f>
        <v>45872</v>
      </c>
      <c r="AC103" s="183" t="str">
        <f>IFERROR(IF($I103="EOT",INDEX(Program_01!$AN:$AN,MATCH($B103,Program_01!$A:$A,0)),INDEX(Program_01!$AY:$AY,MATCH($B103,Program_01!$A:$A,0))),"")</f>
        <v>N/A</v>
      </c>
      <c r="AD103" s="181" t="str">
        <f>IFERROR(IF($I103="EOT",INDEX(Program_01!$AO:$AO,MATCH($B103,Program_01!$A:$A,0)),INDEX(Program_01!$AZ:$AZ,MATCH($B103,Program_01!$A:$A,0))),"")</f>
        <v>N/A</v>
      </c>
      <c r="AE103" s="51"/>
      <c r="AF103" s="183"/>
      <c r="AG103" s="181"/>
      <c r="AH103" s="183">
        <f>IF(OR($D103="",$AS103="VO Issued",$AS103="Open"),"",IF(OR($AC103="Rejected",$AC103="Superseded",$AC103="Dealt Separately"),$AC103,IF($I103="EOT",INDEX(Program_01!$AR:$AR,MATCH($B103,Program_01!$A:$A,0)),INDEX(Program_01!$BB:$BB,MATCH($B103,Program_01!$A:$A,0)))))</f>
        <v>0</v>
      </c>
      <c r="AI103" s="181" t="str">
        <f>IF(OR($A103="",$B103="",$I103="",$AS103="VO Issued",$AS103="Open"),"",IF(OR($AD103="N/A"),$AD103,IF($I103="EOT",INDEX(Program_01!$AS:$AS,MATCH($B103,Program_01!$A:$A,0)),INDEX(Program_01!$BC:$BC,MATCH($B103,Program_01!$A:$A,0)))))</f>
        <v>N/A</v>
      </c>
      <c r="AJ103" s="183">
        <f>IF(OR($D103="",$I103="",$AS103="Determination Issued",$AS103="Rejected",$AS103="Open"),"",IF(OR($AH103="Rejected",$AH103="Dealt Separately",$AH103="Superseded",$AH103="Withdrawn"),"N/A",IF($I103="EOT",INDEX(Program_01!AR:AR,MATCH($B103,Program_01!A:A,0)),INDEX(Program_01!BB:BB,MATCH($B103,Program_01!A:A,0)))))</f>
        <v>0</v>
      </c>
      <c r="AK103" s="181">
        <f>IF(OR($A103="",$B103="",$I103="",$AS103="Determination Issued",$AS103="Rejected",$AS103="Open"),"",IF($AJ103="N/A","N/A",IF($I103="EOT",INDEX(Program_01!AS:AS,MATCH($B103,Program_01!A:A,0)),INDEX(Program_01!BC:BC,MATCH($B103,Program_01!A:A,0)))))</f>
        <v>0</v>
      </c>
      <c r="AL103" s="51"/>
      <c r="AM103" s="184">
        <f>IFERROR(INDEX(Program_01!$BT:$BT,MATCH($B103,Program_01!$A:$A,0)),"")</f>
        <v>0</v>
      </c>
      <c r="AN103" s="184">
        <f>IFERROR(INDEX(Program_01!$BU:$BU,MATCH($B103,Program_01!$A:$A,0)),"")</f>
        <v>0</v>
      </c>
      <c r="AO103" s="184">
        <f>IFERROR(INDEX(Program_01!$BV:$BV,MATCH($B103,Program_01!$A:$A,0)),"")</f>
        <v>0</v>
      </c>
      <c r="AP103" s="51" t="str">
        <f t="shared" si="46"/>
        <v/>
      </c>
      <c r="AQ103" s="184">
        <f>IFERROR(INDEX(Program_01!$BN:$BN,MATCH($B103,Program_01!$A:$A,0)),"")</f>
        <v>0</v>
      </c>
      <c r="AR103" s="184" t="str">
        <f>IFERROR(INDEX(Program_01!$BO:$BO,MATCH($B103,Program_01!$A:$A,0)),"")</f>
        <v>Canceled</v>
      </c>
      <c r="AS103" s="184" t="str">
        <f>IFERROR(INDEX(Program_01!$BP:$BP,MATCH($B103,Program_01!$A:$A,0)),"")</f>
        <v>Canceled</v>
      </c>
      <c r="AT103" s="185" t="str">
        <f>IFERROR(INDEX(Program_01!$BQ:$BQ,MATCH($B103,Program_01!$A:$A,0)),"")</f>
        <v>Closed</v>
      </c>
      <c r="AU103" s="179" t="str">
        <f>IFERROR(INDEX(Program_01!$BR:$BR,MATCH($B103,Program_01!$A:$A,0)),"")</f>
        <v>09 Aug 25: Under review by the Project Team. Claim relates to the extension of temporary works services that were provided by the Contractor. (De-watering). Calim is for four month extension to the Contract removal date - Circa SAR 3m. Project team review to be completed by 30 Aug 25.
25 Aug 25 - Site planning have rejected TIA - Commercial assessment of the Claim to be completed and responded to. Proposed the assessment is put forward as RFA given contractor is now terminated. Target close out end Oct.
Perhaps this can be removed from the Claims tracker?
NE &amp; BK to discuss offline
14 Nov 25: Agreed item can be closed given Contractor is terminated.</v>
      </c>
      <c r="AV103" s="186" t="str">
        <f t="shared" si="32"/>
        <v/>
      </c>
      <c r="AW103" s="186" t="str">
        <f t="shared" si="47"/>
        <v>CLOSED</v>
      </c>
      <c r="AX103" s="186" t="str">
        <f t="shared" si="33"/>
        <v>CLOSED</v>
      </c>
      <c r="AY103" s="181">
        <f t="shared" si="38"/>
        <v>45872</v>
      </c>
      <c r="AZ103" s="181" t="str">
        <f t="shared" si="43"/>
        <v>N/A</v>
      </c>
      <c r="BA103" s="181" t="str">
        <f t="shared" si="4"/>
        <v>N/A</v>
      </c>
      <c r="BC103" s="181">
        <f>IFERROR(INDEX(Program_01!BF:BF,MATCH($B103,Program_01!$A:$A,0)),"")</f>
        <v>45872</v>
      </c>
      <c r="BD103" s="188" t="str">
        <f ca="1">IFERROR(INDEX(Program_01!BG:BG,MATCH($B103,Program_01!$A:$A,0)),"")</f>
        <v>N/A</v>
      </c>
      <c r="BE103" s="181">
        <f>IFERROR(INDEX(Program_01!BH:BH,MATCH($B103,Program_01!$A:$A,0)),"")</f>
        <v>0</v>
      </c>
      <c r="BF103" s="189" t="str">
        <f ca="1">IFERROR(INDEX(Program_01!BI:BI,MATCH($B103,Program_01!$A:$A,0)),"")</f>
        <v>N/A</v>
      </c>
      <c r="BG103" s="181">
        <f>IFERROR(INDEX(Program_01!BJ:BJ,MATCH($B103,Program_01!$A:$A,0)),"")</f>
        <v>0</v>
      </c>
      <c r="BH103" s="189">
        <f ca="1">IFERROR(INDEX(Program_01!BK:BK,MATCH($B103,Program_01!$A:$A,0)),"")</f>
        <v>0</v>
      </c>
      <c r="BI103" s="181">
        <f>IFERROR(INDEX(Program_01!BL:BL,MATCH($B103,Program_01!$A:$A,0)),"")</f>
        <v>0</v>
      </c>
      <c r="BK103" s="190">
        <f>IFERROR(IF(INDEX(Program_01!$BX:$BX,MATCH($B103,Program_01!$A:$A,0))=DATE(1900,1,0),"",INDEX(Program_01!$BX:$BX,MATCH($B103,Program_01!$A:$A,0))),"")</f>
        <v>45978</v>
      </c>
      <c r="BL103" s="190" t="str">
        <f>IFERROR(IF(INDEX(Program_01!$BY:$BY,MATCH($B103,Program_01!$A:$A,0))=DATE(1900,1,0),"",INDEX(Program_01!$BY:$BY,MATCH($B103,Program_01!$A:$A,0))),"")</f>
        <v/>
      </c>
      <c r="BM103" s="188" t="str">
        <f t="shared" ca="1" si="39"/>
        <v/>
      </c>
      <c r="BN103" s="191">
        <f t="shared" ca="1" si="40"/>
        <v>0</v>
      </c>
      <c r="BO103" s="188" t="str">
        <f t="shared" si="34"/>
        <v/>
      </c>
      <c r="BP103" s="188" t="str">
        <f t="shared" si="6"/>
        <v>1</v>
      </c>
      <c r="BQ103" s="188" t="str">
        <f t="shared" ca="1" si="41"/>
        <v/>
      </c>
      <c r="BR103" s="181" t="str">
        <f t="shared" ca="1" si="44"/>
        <v/>
      </c>
      <c r="BT103" s="190" t="str">
        <f>IFERROR(IF(INDEX(Program_01!$BZ:$BZ,MATCH($B103,Program_01!$A:$A,0))=DATE(1900,1,0),"",INDEX(Program_01!$BZ:$BZ,MATCH($B103,Program_01!$A:$A,0))),"")</f>
        <v/>
      </c>
      <c r="BU103" s="182" t="str">
        <f t="shared" ca="1" si="48"/>
        <v/>
      </c>
      <c r="BV103" s="188" t="str">
        <f t="shared" si="35"/>
        <v/>
      </c>
      <c r="BW103" s="188" t="str">
        <f t="shared" si="8"/>
        <v>1</v>
      </c>
      <c r="BX103" s="188" t="str">
        <f t="shared" ca="1" si="36"/>
        <v/>
      </c>
      <c r="BY103" s="181" t="str">
        <f t="shared" ca="1" si="45"/>
        <v/>
      </c>
      <c r="CA103" s="192" t="str">
        <f t="shared" si="49"/>
        <v>N</v>
      </c>
      <c r="CB103" s="192" t="str">
        <f t="shared" si="50"/>
        <v>N</v>
      </c>
      <c r="CC103" s="193">
        <f>IFERROR(INDEX(Program_01!$CE:$CE,MATCH($B103,Program_01!$A:$A,0)),"")</f>
        <v>45880</v>
      </c>
      <c r="CD103" s="193">
        <f t="shared" si="31"/>
        <v>45880</v>
      </c>
      <c r="CG103" s="194">
        <f>IFERROR(INDEX(Program_01!$AT:$AT,MATCH($B103,Program_01!$A:$A,0)),"")</f>
        <v>2987485.2</v>
      </c>
      <c r="CH103" s="194">
        <f>IFERROR(INDEX(Program_01!$AX:$AX,MATCH($B103,Program_01!$A:$A,0)),"")</f>
        <v>0</v>
      </c>
    </row>
    <row r="104" spans="1:86" s="187" customFormat="1" ht="409.5" customHeight="1">
      <c r="A104" s="174" t="s">
        <v>1</v>
      </c>
      <c r="B104" s="199">
        <f t="shared" si="42"/>
        <v>86</v>
      </c>
      <c r="C104" s="176" t="str">
        <f>IFERROR(INDEX(Program_01!$B:$B,MATCH($B104,Program_01!$A:$A,0)),"")</f>
        <v>FULL TIA EAR</v>
      </c>
      <c r="D104" s="176" t="str">
        <f>IFERROR(INDEX(Program_01!$D:$D,MATCH($B104,Program_01!$A:$A,0)),"")</f>
        <v>1TB01006C05</v>
      </c>
      <c r="E104" s="176" t="str">
        <f>IFERROR(INDEX(Program_01!$E:$E,MATCH($B104,Program_01!$A:$A,0)),"")</f>
        <v>1.TB.01.006.99</v>
      </c>
      <c r="F104" s="176" t="str">
        <f>IFERROR(INDEX(Program_01!$F:$F,MATCH($B104,Program_01!$A:$A,0)),"")</f>
        <v>Village Boutique Hotel</v>
      </c>
      <c r="G104" s="176" t="str">
        <f>IFERROR(INDEX(Program_01!$G:$G,MATCH($B104,Program_01!$A:$A,0)),"")</f>
        <v xml:space="preserve">Fit out works for Village Boutique Hotel </v>
      </c>
      <c r="H104" s="176" t="str">
        <f>IFERROR(INDEX(Program_01!$H:$H,MATCH($B104,Program_01!$A:$A,0)),"")</f>
        <v>DEPA Saudi Arabia for Contracting and Interior Decoration Co. Ltd</v>
      </c>
      <c r="I104" s="176" t="str">
        <f t="shared" si="37"/>
        <v>EOT</v>
      </c>
      <c r="J104" s="176">
        <f>IFERROR(INDEX(Program_01!$I:$I,MATCH($B104,Program_01!$A:$A,0)),"")</f>
        <v>1</v>
      </c>
      <c r="K104" s="176">
        <f>IFERROR(INDEX(Program_01!$J:$J,MATCH($B104,Program_01!$A:$A,0)),"")</f>
        <v>0</v>
      </c>
      <c r="L104" s="176">
        <f>IFERROR(INDEX(Program_01!$K:$K,MATCH($B104,Program_01!$A:$A,0)),"")</f>
        <v>0</v>
      </c>
      <c r="M104" s="176">
        <f>IFERROR(INDEX(Program_01!$L:$L,MATCH($B104,Program_01!$A:$A,0)),"")</f>
        <v>0</v>
      </c>
      <c r="N104" s="176">
        <f>IFERROR(INDEX(Program_01!$L:$L,MATCH($B104,Program_01!$A:$A,0)),"")</f>
        <v>0</v>
      </c>
      <c r="O104" s="176">
        <f>IFERROR(INDEX(Program_01!$N:$N,MATCH($B104,Program_01!$A:$A,0)),"")</f>
        <v>0</v>
      </c>
      <c r="P104" s="178"/>
      <c r="Q104" s="179" t="str">
        <f>IFERROR(INDEX(Program_01!$C:$C,MATCH($B104,Program_01!$A:$A,0)),"")</f>
        <v>Contractor’s Claim – Interim Extension of Time For Completion No. 01</v>
      </c>
      <c r="R104" s="176" t="str">
        <f>IFERROR(INDEX(Program_01!$V:$V,MATCH($B104,Program_01!$A:$A,0)),"")</f>
        <v>1TB01006-006C05-DCC-LTR-0105</v>
      </c>
      <c r="S104" s="180">
        <f>IFERROR(INDEX(Program_01!$W:$W,MATCH($B104,Program_01!$A:$A,0)),"")</f>
        <v>45862</v>
      </c>
      <c r="T104" s="178"/>
      <c r="U104" s="176">
        <f>IFERROR(INDEX(Program_01!$Z:$Z,MATCH($B104,Program_01!$A:$A,0)),"")</f>
        <v>0</v>
      </c>
      <c r="V104" s="181" t="str">
        <f>IFERROR(INDEX(Program_01!$AA:$AA,MATCH($B104,Program_01!$A:$A,0)),"")</f>
        <v>N/A</v>
      </c>
      <c r="W104" s="182" t="str">
        <f t="shared" ca="1" si="0"/>
        <v/>
      </c>
      <c r="X104" s="51"/>
      <c r="Y104" s="179">
        <f>IFERROR(INDEX(Program_01!$BD:$BD,MATCH($B104,Program_01!$A:$A,0)),"")</f>
        <v>0</v>
      </c>
      <c r="Z104" s="51"/>
      <c r="AA104" s="183" t="str">
        <f>IFERROR(IF((INDEX(Program_01!$AD:$AD,MATCH($B104,Program_01!$A:$A,0))=""),INDEX(Program_01!$V:$V,MATCH($B104,Program_01!$A:$A,0)),INDEX(Program_01!$AD:$AD,MATCH($B104,Program_01!$A:$A,0))),"")</f>
        <v>DCC01006-GENCORR-000660</v>
      </c>
      <c r="AB104" s="147">
        <f>IFERROR(IF((INDEX(Program_01!$AE:$AE,MATCH($B104,Program_01!$A:$A,0))=""),INDEX(Program_01!$W:$W,MATCH($B104,Program_01!$A:$A,0)),INDEX(Program_01!$AE:$AE,MATCH($B104,Program_01!$A:$A,0))),"")</f>
        <v>45979</v>
      </c>
      <c r="AC104" s="183" t="str">
        <f>IFERROR(IF($I104="EOT",INDEX(Program_01!$AN:$AN,MATCH($B104,Program_01!$A:$A,0)),INDEX(Program_01!$AY:$AY,MATCH($B104,Program_01!$A:$A,0))),"")</f>
        <v>1TB01006-006C05-AMA-RPT-PM-0001
(Workflow initiated under ref  WF-040404) on 19 Jan 26
1TB01006-006C05-AMA-LTR-0098 issued on 05 Feb 26</v>
      </c>
      <c r="AD104" s="181">
        <f>IFERROR(IF($I104="EOT",INDEX(Program_01!$AO:$AO,MATCH($B104,Program_01!$A:$A,0)),INDEX(Program_01!$AZ:$AZ,MATCH($B104,Program_01!$A:$A,0))),"")</f>
        <v>46058</v>
      </c>
      <c r="AE104" s="51"/>
      <c r="AF104" s="183"/>
      <c r="AG104" s="181"/>
      <c r="AH104" s="183" t="str">
        <f>IF(OR($D104="",$AS104="VO Issued",$AS104="Open"),"",IF(OR($AC104="Rejected",$AC104="Superseded",$AC104="Dealt Separately"),$AC104,IF($I104="EOT",INDEX(Program_01!$AR:$AR,MATCH($B104,Program_01!$A:$A,0)),INDEX(Program_01!$BB:$BB,MATCH($B104,Program_01!$A:$A,0)))))</f>
        <v/>
      </c>
      <c r="AI104" s="181" t="str">
        <f>IF(OR($A104="",$B104="",$I104="",$AS104="VO Issued",$AS104="Open"),"",IF(OR($AD104="N/A"),$AD104,IF($I104="EOT",INDEX(Program_01!$AS:$AS,MATCH($B104,Program_01!$A:$A,0)),INDEX(Program_01!$BC:$BC,MATCH($B104,Program_01!$A:$A,0)))))</f>
        <v/>
      </c>
      <c r="AJ104" s="183" t="str">
        <f>IF(OR($D104="",$I104="",$AS104="Determination Issued",$AS104="Rejected",$AS104="Open"),"",IF(OR($AH104="Rejected",$AH104="Dealt Separately",$AH104="Superseded",$AH104="Withdrawn"),"N/A",IF($I104="EOT",INDEX(Program_01!AR:AR,MATCH($B104,Program_01!A:A,0)),INDEX(Program_01!BB:BB,MATCH($B104,Program_01!A:A,0)))))</f>
        <v/>
      </c>
      <c r="AK104" s="181" t="str">
        <f>IF(OR($A104="",$B104="",$I104="",$AS104="Determination Issued",$AS104="Rejected",$AS104="Open"),"",IF($AJ104="N/A","N/A",IF($I104="EOT",INDEX(Program_01!AS:AS,MATCH($B104,Program_01!A:A,0)),INDEX(Program_01!BC:BC,MATCH($B104,Program_01!A:A,0)))))</f>
        <v/>
      </c>
      <c r="AL104" s="51"/>
      <c r="AM104" s="184" t="str">
        <f>IFERROR(INDEX(Program_01!$BT:$BT,MATCH($B104,Program_01!$A:$A,0)),"")</f>
        <v>Revise &amp; resubmit</v>
      </c>
      <c r="AN104" s="184">
        <f>IFERROR(INDEX(Program_01!$BU:$BU,MATCH($B104,Program_01!$A:$A,0)),"")</f>
        <v>0</v>
      </c>
      <c r="AO104" s="184">
        <f>IFERROR(INDEX(Program_01!$BV:$BV,MATCH($B104,Program_01!$A:$A,0)),"")</f>
        <v>0</v>
      </c>
      <c r="AP104" s="51" t="str">
        <f t="shared" si="46"/>
        <v/>
      </c>
      <c r="AQ104" s="184">
        <f>IFERROR(INDEX(Program_01!$BN:$BN,MATCH($B104,Program_01!$A:$A,0)),"")</f>
        <v>0</v>
      </c>
      <c r="AR104" s="184" t="str">
        <f>IFERROR(INDEX(Program_01!$BO:$BO,MATCH($B104,Program_01!$A:$A,0)),"")</f>
        <v>Assessment Report Issued</v>
      </c>
      <c r="AS104" s="184" t="str">
        <f>IFERROR(INDEX(Program_01!$BP:$BP,MATCH($B104,Program_01!$A:$A,0)),"")</f>
        <v>Open</v>
      </c>
      <c r="AT104" s="185" t="str">
        <f>IFERROR(INDEX(Program_01!$BQ:$BQ,MATCH($B104,Program_01!$A:$A,0)),"")</f>
        <v>Contractor</v>
      </c>
      <c r="AU104" s="179" t="str">
        <f>IFERROR(INDEX(Program_01!$BR:$BR,MATCH($B104,Program_01!$A:$A,0)),"")</f>
        <v>08 March 26: Awaiting Contractor's acceptance of the EAR
06 April 26: awaiting acceptance of EOT 1, EOT 02 received on 26 March AMA01006-TRANSMIT-002802 // commercial to follow up and issue a determination by 16 Apr 26,
12 Apr 26: follow up letter put in WF-042920
20 Apr 26: Ditto
04 May 26: Letter issued via 1TB01006-006C05-AMA-LTR-0109 on 22 Apr 26
18 May 2026:  Depa responded on 05 May 26, 1TB01006-006C05-DCC-LTR-0219 challenging EAR. Commercial drafted response, waiting fro BIM and planning input. Target date 08 June 26 to send to WF. 
31 May 26: Ditto
04 Jun 26: Ditto
15 Jun 26: Awaiting planning input on contractor's response to the EAR
22 Jun 26: targeted to revert by 25 Jun 26
29 June 26: Still awaiting input from BIM and Planning (Shaju to update)
30 Jun 26: BIM reveretd with their input on the queries 
11 July 2026: Commercial awaiting planning input, shaju to update
14 Jul 26: Planning team targeted to conclude TIA by 15 Jul 26
20 Jul 26: Planning provided the comments on 16 Jul 26
26 July 26: Response letter to DEPA Challenging EOT 01 now in WF-046199
02 Aug 26: Response letter issued to Contractor (1TB01006-006C05-AMA-LTR-0125) 
10 Aug 26: Ditto, awaiting response from contractor
24 Aug 26: Awaiting feedback from Contractor. 
07 Sep 26: Ditto
21 Sep 26: Ditto</v>
      </c>
      <c r="AV104" s="186" t="str">
        <f t="shared" si="32"/>
        <v/>
      </c>
      <c r="AW104" s="186" t="str">
        <f t="shared" si="47"/>
        <v>OPEN</v>
      </c>
      <c r="AX104" s="186" t="str">
        <f t="shared" si="33"/>
        <v>OPEN</v>
      </c>
      <c r="AY104" s="181">
        <f t="shared" si="38"/>
        <v>45979</v>
      </c>
      <c r="AZ104" s="181">
        <f t="shared" si="43"/>
        <v>46058</v>
      </c>
      <c r="BA104" s="181" t="str">
        <f t="shared" si="4"/>
        <v/>
      </c>
      <c r="BC104" s="181">
        <f>IFERROR(INDEX(Program_01!BF:BF,MATCH($B104,Program_01!$A:$A,0)),"")</f>
        <v>45979</v>
      </c>
      <c r="BD104" s="188">
        <f ca="1">IFERROR(INDEX(Program_01!BG:BG,MATCH($B104,Program_01!$A:$A,0)),"")</f>
        <v>0</v>
      </c>
      <c r="BE104" s="181">
        <f>IFERROR(INDEX(Program_01!BH:BH,MATCH($B104,Program_01!$A:$A,0)),"")</f>
        <v>0</v>
      </c>
      <c r="BF104" s="189">
        <f ca="1">IFERROR(INDEX(Program_01!BI:BI,MATCH($B104,Program_01!$A:$A,0)),"")</f>
        <v>0</v>
      </c>
      <c r="BG104" s="181">
        <f>IFERROR(INDEX(Program_01!BJ:BJ,MATCH($B104,Program_01!$A:$A,0)),"")</f>
        <v>0</v>
      </c>
      <c r="BH104" s="189">
        <f ca="1">IFERROR(INDEX(Program_01!BK:BK,MATCH($B104,Program_01!$A:$A,0)),"")</f>
        <v>0</v>
      </c>
      <c r="BI104" s="181">
        <f>IFERROR(INDEX(Program_01!BL:BL,MATCH($B104,Program_01!$A:$A,0)),"")</f>
        <v>0</v>
      </c>
      <c r="BK104" s="190">
        <f>IFERROR(IF(INDEX(Program_01!$BX:$BX,MATCH($B104,Program_01!$A:$A,0))=DATE(1900,1,0),"",INDEX(Program_01!$BX:$BX,MATCH($B104,Program_01!$A:$A,0))),"")</f>
        <v>46054</v>
      </c>
      <c r="BL104" s="190" t="str">
        <f>IFERROR(IF(INDEX(Program_01!$BY:$BY,MATCH($B104,Program_01!$A:$A,0))=DATE(1900,1,0),"",INDEX(Program_01!$BY:$BY,MATCH($B104,Program_01!$A:$A,0))),"")</f>
        <v/>
      </c>
      <c r="BM104" s="188">
        <f t="shared" ca="1" si="39"/>
        <v>79</v>
      </c>
      <c r="BN104" s="191">
        <f t="shared" ca="1" si="40"/>
        <v>0</v>
      </c>
      <c r="BO104" s="188">
        <f t="shared" ca="1" si="34"/>
        <v>0</v>
      </c>
      <c r="BP104" s="188" t="str">
        <f t="shared" si="6"/>
        <v>1</v>
      </c>
      <c r="BQ104" s="188" t="str">
        <f t="shared" ca="1" si="41"/>
        <v/>
      </c>
      <c r="BR104" s="181" t="str">
        <f t="shared" ca="1" si="44"/>
        <v/>
      </c>
      <c r="BT104" s="190" t="str">
        <f>IFERROR(IF(INDEX(Program_01!$BZ:$BZ,MATCH($B104,Program_01!$A:$A,0))=DATE(1900,1,0),"",INDEX(Program_01!$BZ:$BZ,MATCH($B104,Program_01!$A:$A,0))),"")</f>
        <v/>
      </c>
      <c r="BU104" s="182" t="str">
        <f t="shared" ca="1" si="48"/>
        <v/>
      </c>
      <c r="BV104" s="188" t="str">
        <f t="shared" si="35"/>
        <v/>
      </c>
      <c r="BW104" s="188" t="str">
        <f t="shared" si="8"/>
        <v/>
      </c>
      <c r="BX104" s="188" t="str">
        <f t="shared" ca="1" si="36"/>
        <v/>
      </c>
      <c r="BY104" s="181" t="str">
        <f t="shared" ca="1" si="45"/>
        <v/>
      </c>
      <c r="CA104" s="192" t="str">
        <f t="shared" si="49"/>
        <v>Y</v>
      </c>
      <c r="CB104" s="192" t="str">
        <f t="shared" si="50"/>
        <v>N</v>
      </c>
      <c r="CC104" s="193">
        <f>IFERROR(INDEX(Program_01!$CE:$CE,MATCH($B104,Program_01!$A:$A,0)),"")</f>
        <v>45880</v>
      </c>
      <c r="CD104" s="193">
        <f t="shared" si="31"/>
        <v>45880</v>
      </c>
      <c r="CG104" s="194">
        <f>IFERROR(INDEX(Program_01!$AT:$AT,MATCH($B104,Program_01!$A:$A,0)),"")</f>
        <v>0</v>
      </c>
      <c r="CH104" s="194">
        <f>IFERROR(INDEX(Program_01!$AX:$AX,MATCH($B104,Program_01!$A:$A,0)),"")</f>
        <v>0</v>
      </c>
    </row>
    <row r="105" spans="1:86" s="187" customFormat="1" ht="356">
      <c r="A105" s="174" t="s">
        <v>1</v>
      </c>
      <c r="B105" s="175">
        <f t="shared" si="42"/>
        <v>87</v>
      </c>
      <c r="C105" s="176" t="str">
        <f>IFERROR(INDEX(Program_01!$B:$B,MATCH($B105,Program_01!$A:$A,0)),"")</f>
        <v>FULL TIA EAR</v>
      </c>
      <c r="D105" s="176" t="str">
        <f>IFERROR(INDEX(Program_01!$D:$D,MATCH($B105,Program_01!$A:$A,0)),"")</f>
        <v>1TB01009C06</v>
      </c>
      <c r="E105" s="176" t="str">
        <f>IFERROR(INDEX(Program_01!$E:$E,MATCH($B105,Program_01!$A:$A,0)),"")</f>
        <v>1.TB.01.009.01</v>
      </c>
      <c r="F105" s="176" t="str">
        <f>IFERROR(INDEX(Program_01!$F:$F,MATCH($B105,Program_01!$A:$A,0)),"")</f>
        <v>Marina Hotel 3</v>
      </c>
      <c r="G105" s="176" t="str">
        <f>IFERROR(INDEX(Program_01!$G:$G,MATCH($B105,Program_01!$A:$A,0)),"")</f>
        <v>ICT/ELV Works for Marina Hotel 3 at Triple Bay Amaala</v>
      </c>
      <c r="H105" s="176" t="str">
        <f>IFERROR(INDEX(Program_01!$H:$H,MATCH($B105,Program_01!$A:$A,0)),"")</f>
        <v>Saudi Business Machines LTD</v>
      </c>
      <c r="I105" s="176" t="str">
        <f t="shared" si="37"/>
        <v>EOT</v>
      </c>
      <c r="J105" s="176">
        <f>IFERROR(INDEX(Program_01!$I:$I,MATCH($B105,Program_01!$A:$A,0)),"")</f>
        <v>1</v>
      </c>
      <c r="K105" s="176">
        <f>IFERROR(INDEX(Program_01!$J:$J,MATCH($B105,Program_01!$A:$A,0)),"")</f>
        <v>0</v>
      </c>
      <c r="L105" s="176">
        <f>IFERROR(INDEX(Program_01!$K:$K,MATCH($B105,Program_01!$A:$A,0)),"")</f>
        <v>0</v>
      </c>
      <c r="M105" s="176">
        <f>IFERROR(INDEX(Program_01!$L:$L,MATCH($B105,Program_01!$A:$A,0)),"")</f>
        <v>0</v>
      </c>
      <c r="N105" s="176">
        <f>IFERROR(INDEX(Program_01!$L:$L,MATCH($B105,Program_01!$A:$A,0)),"")</f>
        <v>0</v>
      </c>
      <c r="O105" s="176">
        <f>IFERROR(INDEX(Program_01!$N:$N,MATCH($B105,Program_01!$A:$A,0)),"")</f>
        <v>0</v>
      </c>
      <c r="P105" s="178"/>
      <c r="Q105" s="179" t="str">
        <f>IFERROR(INDEX(Program_01!$C:$C,MATCH($B105,Program_01!$A:$A,0)),"")</f>
        <v xml:space="preserve">Request for Extension of Time </v>
      </c>
      <c r="R105" s="176" t="str">
        <f>IFERROR(INDEX(Program_01!$V:$V,MATCH($B105,Program_01!$A:$A,0)),"")</f>
        <v>1TB01009-009C06-SBM-LTR-0009</v>
      </c>
      <c r="S105" s="180">
        <f>IFERROR(INDEX(Program_01!$W:$W,MATCH($B105,Program_01!$A:$A,0)),"")</f>
        <v>45887</v>
      </c>
      <c r="T105" s="178"/>
      <c r="U105" s="176" t="str">
        <f>IFERROR(INDEX(Program_01!$Z:$Z,MATCH($B105,Program_01!$A:$A,0)),"")</f>
        <v>AMA01009-GENCORR-005743</v>
      </c>
      <c r="V105" s="181">
        <f>IFERROR(INDEX(Program_01!$AA:$AA,MATCH($B105,Program_01!$A:$A,0)),"")</f>
        <v>45999</v>
      </c>
      <c r="W105" s="182">
        <f t="shared" ca="1" si="0"/>
        <v>112</v>
      </c>
      <c r="X105" s="51"/>
      <c r="Y105" s="179">
        <f>IFERROR(INDEX(Program_01!$BD:$BD,MATCH($B105,Program_01!$A:$A,0)),"")</f>
        <v>0</v>
      </c>
      <c r="Z105" s="51"/>
      <c r="AA105" s="183" t="str">
        <f>IFERROR(IF((INDEX(Program_01!$AD:$AD,MATCH($B105,Program_01!$A:$A,0))=""),INDEX(Program_01!$V:$V,MATCH($B105,Program_01!$A:$A,0)),INDEX(Program_01!$AD:$AD,MATCH($B105,Program_01!$A:$A,0))),"")</f>
        <v>1TB01009-009C06-SBM-LTR-0009</v>
      </c>
      <c r="AB105" s="147">
        <f>IFERROR(IF((INDEX(Program_01!$AE:$AE,MATCH($B105,Program_01!$A:$A,0))=""),INDEX(Program_01!$W:$W,MATCH($B105,Program_01!$A:$A,0)),INDEX(Program_01!$AE:$AE,MATCH($B105,Program_01!$A:$A,0))),"")</f>
        <v>45887</v>
      </c>
      <c r="AC105" s="183">
        <f>IFERROR(IF($I105="EOT",INDEX(Program_01!$AN:$AN,MATCH($B105,Program_01!$A:$A,0)),INDEX(Program_01!$AY:$AY,MATCH($B105,Program_01!$A:$A,0))),"")</f>
        <v>0</v>
      </c>
      <c r="AD105" s="181">
        <f>IFERROR(IF($I105="EOT",INDEX(Program_01!$AO:$AO,MATCH($B105,Program_01!$A:$A,0)),INDEX(Program_01!$AZ:$AZ,MATCH($B105,Program_01!$A:$A,0))),"")</f>
        <v>0</v>
      </c>
      <c r="AE105" s="51"/>
      <c r="AF105" s="183"/>
      <c r="AG105" s="181"/>
      <c r="AH105" s="183" t="str">
        <f>IF(OR($D105="",$AS105="VO Issued",$AS105="Open"),"",IF(OR($AC105="Rejected",$AC105="Superseded",$AC105="Dealt Separately"),$AC105,IF($I105="EOT",INDEX(Program_01!$AR:$AR,MATCH($B105,Program_01!$A:$A,0)),INDEX(Program_01!$BB:$BB,MATCH($B105,Program_01!$A:$A,0)))))</f>
        <v/>
      </c>
      <c r="AI105" s="181" t="str">
        <f>IF(OR($A105="",$B105="",$I105="",$AS105="VO Issued",$AS105="Open"),"",IF(OR($AD105="N/A"),$AD105,IF($I105="EOT",INDEX(Program_01!$AS:$AS,MATCH($B105,Program_01!$A:$A,0)),INDEX(Program_01!$BC:$BC,MATCH($B105,Program_01!$A:$A,0)))))</f>
        <v/>
      </c>
      <c r="AJ105" s="183" t="str">
        <f>IF(OR($D105="",$I105="",$AS105="Determination Issued",$AS105="Rejected",$AS105="Open"),"",IF(OR($AH105="Rejected",$AH105="Dealt Separately",$AH105="Superseded",$AH105="Withdrawn"),"N/A",IF($I105="EOT",INDEX(Program_01!AR:AR,MATCH($B105,Program_01!A:A,0)),INDEX(Program_01!BB:BB,MATCH($B105,Program_01!A:A,0)))))</f>
        <v/>
      </c>
      <c r="AK105" s="181" t="str">
        <f>IF(OR($A105="",$B105="",$I105="",$AS105="Determination Issued",$AS105="Rejected",$AS105="Open"),"",IF($AJ105="N/A","N/A",IF($I105="EOT",INDEX(Program_01!AS:AS,MATCH($B105,Program_01!A:A,0)),INDEX(Program_01!BC:BC,MATCH($B105,Program_01!A:A,0)))))</f>
        <v/>
      </c>
      <c r="AL105" s="51"/>
      <c r="AM105" s="184" t="str">
        <f>IFERROR(INDEX(Program_01!$BT:$BT,MATCH($B105,Program_01!$A:$A,0)),"")</f>
        <v>Revise &amp; resubmit</v>
      </c>
      <c r="AN105" s="184">
        <f>IFERROR(INDEX(Program_01!$BU:$BU,MATCH($B105,Program_01!$A:$A,0)),"")</f>
        <v>0</v>
      </c>
      <c r="AO105" s="184">
        <f>IFERROR(INDEX(Program_01!$BV:$BV,MATCH($B105,Program_01!$A:$A,0)),"")</f>
        <v>0</v>
      </c>
      <c r="AP105" s="51" t="str">
        <f t="shared" si="46"/>
        <v/>
      </c>
      <c r="AQ105" s="184">
        <f>IFERROR(INDEX(Program_01!$BN:$BN,MATCH($B105,Program_01!$A:$A,0)),"")</f>
        <v>0</v>
      </c>
      <c r="AR105" s="184" t="str">
        <f>IFERROR(INDEX(Program_01!$BO:$BO,MATCH($B105,Program_01!$A:$A,0)),"")</f>
        <v>Pending</v>
      </c>
      <c r="AS105" s="184" t="str">
        <f>IFERROR(INDEX(Program_01!$BP:$BP,MATCH($B105,Program_01!$A:$A,0)),"")</f>
        <v>Open</v>
      </c>
      <c r="AT105" s="185" t="str">
        <f>IFERROR(INDEX(Program_01!$BQ:$BQ,MATCH($B105,Program_01!$A:$A,0)),"")</f>
        <v>Contractor</v>
      </c>
      <c r="AU105" s="179" t="str">
        <f>IFERROR(INDEX(Program_01!$BR:$BR,MATCH($B105,Program_01!$A:$A,0)),"")</f>
        <v>25 Jan 26: Contractor shall resubmit their EOT after the second stage finalization.
09 Feb 26: Ditto
23 Feb 26: Ditto, comm to provide target date to conclude 2nd stage CA
09 Mar 26: Ditto ,target to conclude 2nd Stage by 15 April 26.
06 Apr 26: Awaiting closure of second stage. Target date 5 May 26
20 Apr 26: Ditto
04 May 26: Target date moved to 20 May 26 for second stage closure. 
18 May 26: Ditto
31 May 26: Based on the finalised quantities, Contractor has submitted revised Programme which is currently under planning review. ONce agreed, EOT shall be based on the revised Programme. 
04 Jun 26: Target date for 2-Stage is 30 June 26
15 Jun 26: Ditto
27 Jun 26:  Target date for 2-Stage moved to 09 July 26
13 Jul 26: Second Stage Programme is reviewed by Planning Team. To be agreed with Contractor and formal letter to be submitted for proceeding with Contract Amendment. 
25 Jul 26: Planning has finalized the second stage impact. Cost Finalization is under final stages. Once reviewed Contract Amendment shall be processed, following which Contractor shall submit the updated EOT based on the Second Stage Programme. 
10 Aug 26: Ditto. Awaiting closure of second stage, Targeted to close 2nd stage is by 20 Aug 26
24 Aug 26: Second stage closure date deferred to 15 Sep 26
07 Sep 26: Ditto
21 Sep 26: Ditto</v>
      </c>
      <c r="AV105" s="186" t="str">
        <f t="shared" si="32"/>
        <v/>
      </c>
      <c r="AW105" s="186" t="str">
        <f t="shared" si="47"/>
        <v>OPEN</v>
      </c>
      <c r="AX105" s="186" t="str">
        <f t="shared" si="33"/>
        <v>OPEN</v>
      </c>
      <c r="AY105" s="181">
        <f t="shared" si="38"/>
        <v>45887</v>
      </c>
      <c r="AZ105" s="181" t="str">
        <f t="shared" si="43"/>
        <v/>
      </c>
      <c r="BA105" s="181" t="str">
        <f t="shared" si="4"/>
        <v/>
      </c>
      <c r="BC105" s="181">
        <f>IFERROR(INDEX(Program_01!BF:BF,MATCH($B105,Program_01!$A:$A,0)),"")</f>
        <v>45887</v>
      </c>
      <c r="BD105" s="188">
        <f ca="1">IFERROR(INDEX(Program_01!BG:BG,MATCH($B105,Program_01!$A:$A,0)),"")</f>
        <v>0</v>
      </c>
      <c r="BE105" s="181">
        <f>IFERROR(INDEX(Program_01!BH:BH,MATCH($B105,Program_01!$A:$A,0)),"")</f>
        <v>0</v>
      </c>
      <c r="BF105" s="189">
        <f ca="1">IFERROR(INDEX(Program_01!BI:BI,MATCH($B105,Program_01!$A:$A,0)),"")</f>
        <v>0</v>
      </c>
      <c r="BG105" s="181">
        <f>IFERROR(INDEX(Program_01!BJ:BJ,MATCH($B105,Program_01!$A:$A,0)),"")</f>
        <v>0</v>
      </c>
      <c r="BH105" s="189">
        <f ca="1">IFERROR(INDEX(Program_01!BK:BK,MATCH($B105,Program_01!$A:$A,0)),"")</f>
        <v>0</v>
      </c>
      <c r="BI105" s="181">
        <f>IFERROR(INDEX(Program_01!BL:BL,MATCH($B105,Program_01!$A:$A,0)),"")</f>
        <v>0</v>
      </c>
      <c r="BK105" s="190" t="str">
        <f>IFERROR(IF(INDEX(Program_01!$BX:$BX,MATCH($B105,Program_01!$A:$A,0))=DATE(1900,1,0),"",INDEX(Program_01!$BX:$BX,MATCH($B105,Program_01!$A:$A,0))),"")</f>
        <v/>
      </c>
      <c r="BL105" s="190" t="str">
        <f>IFERROR(IF(INDEX(Program_01!$BY:$BY,MATCH($B105,Program_01!$A:$A,0))=DATE(1900,1,0),"",INDEX(Program_01!$BY:$BY,MATCH($B105,Program_01!$A:$A,0))),"")</f>
        <v/>
      </c>
      <c r="BM105" s="188" t="str">
        <f t="shared" ca="1" si="39"/>
        <v/>
      </c>
      <c r="BN105" s="191">
        <f t="shared" ca="1" si="40"/>
        <v>0</v>
      </c>
      <c r="BO105" s="188" t="str">
        <f t="shared" si="34"/>
        <v/>
      </c>
      <c r="BP105" s="188" t="str">
        <f t="shared" si="6"/>
        <v/>
      </c>
      <c r="BQ105" s="188" t="str">
        <f t="shared" ca="1" si="41"/>
        <v/>
      </c>
      <c r="BR105" s="181" t="str">
        <f t="shared" ca="1" si="44"/>
        <v/>
      </c>
      <c r="BT105" s="190" t="str">
        <f>IFERROR(IF(INDEX(Program_01!$BZ:$BZ,MATCH($B105,Program_01!$A:$A,0))=DATE(1900,1,0),"",INDEX(Program_01!$BZ:$BZ,MATCH($B105,Program_01!$A:$A,0))),"")</f>
        <v/>
      </c>
      <c r="BU105" s="182" t="str">
        <f t="shared" ca="1" si="48"/>
        <v/>
      </c>
      <c r="BV105" s="188" t="str">
        <f t="shared" si="35"/>
        <v/>
      </c>
      <c r="BW105" s="188" t="str">
        <f t="shared" si="8"/>
        <v/>
      </c>
      <c r="BX105" s="188" t="str">
        <f t="shared" ca="1" si="36"/>
        <v/>
      </c>
      <c r="BY105" s="181" t="str">
        <f t="shared" ca="1" si="45"/>
        <v/>
      </c>
      <c r="CA105" s="192" t="str">
        <f t="shared" si="49"/>
        <v>N</v>
      </c>
      <c r="CB105" s="192" t="str">
        <f t="shared" si="50"/>
        <v>N</v>
      </c>
      <c r="CC105" s="193">
        <f>IFERROR(INDEX(Program_01!$CE:$CE,MATCH($B105,Program_01!$A:$A,0)),"")</f>
        <v>45895</v>
      </c>
      <c r="CD105" s="193">
        <f t="shared" si="31"/>
        <v>45895</v>
      </c>
      <c r="CG105" s="194">
        <f>IFERROR(INDEX(Program_01!$AT:$AT,MATCH($B105,Program_01!$A:$A,0)),"")</f>
        <v>0</v>
      </c>
      <c r="CH105" s="194">
        <f>IFERROR(INDEX(Program_01!$AX:$AX,MATCH($B105,Program_01!$A:$A,0)),"")</f>
        <v>0</v>
      </c>
    </row>
    <row r="106" spans="1:86" s="187" customFormat="1" ht="396" customHeight="1">
      <c r="A106" s="174" t="s">
        <v>1</v>
      </c>
      <c r="B106" s="200">
        <f t="shared" si="42"/>
        <v>88</v>
      </c>
      <c r="C106" s="176" t="str">
        <f>IFERROR(INDEX(Program_01!$B:$B,MATCH($B106,Program_01!$A:$A,0)),"")</f>
        <v>FULL TIA EAR</v>
      </c>
      <c r="D106" s="176" t="str">
        <f>IFERROR(INDEX(Program_01!$D:$D,MATCH($B106,Program_01!$A:$A,0)),"")</f>
        <v>1TB01009C16</v>
      </c>
      <c r="E106" s="176" t="str">
        <f>IFERROR(INDEX(Program_01!$E:$E,MATCH($B106,Program_01!$A:$A,0)),"")</f>
        <v>1.TB.01.009.01</v>
      </c>
      <c r="F106" s="176" t="str">
        <f>IFERROR(INDEX(Program_01!$F:$F,MATCH($B106,Program_01!$A:$A,0)),"")</f>
        <v>Marina Hotel 3</v>
      </c>
      <c r="G106" s="176" t="str">
        <f>IFERROR(INDEX(Program_01!$G:$G,MATCH($B106,Program_01!$A:$A,0)),"")</f>
        <v>Softscape Works for Marina Hotel 3</v>
      </c>
      <c r="H106" s="176" t="str">
        <f>IFERROR(INDEX(Program_01!$H:$H,MATCH($B106,Program_01!$A:$A,0)),"")</f>
        <v>Saudi SALCO Contracting Co</v>
      </c>
      <c r="I106" s="176" t="str">
        <f t="shared" si="37"/>
        <v>EOT</v>
      </c>
      <c r="J106" s="176">
        <f>IFERROR(INDEX(Program_01!$I:$I,MATCH($B106,Program_01!$A:$A,0)),"")</f>
        <v>1</v>
      </c>
      <c r="K106" s="176">
        <f>IFERROR(INDEX(Program_01!$J:$J,MATCH($B106,Program_01!$A:$A,0)),"")</f>
        <v>0</v>
      </c>
      <c r="L106" s="176">
        <f>IFERROR(INDEX(Program_01!$K:$K,MATCH($B106,Program_01!$A:$A,0)),"")</f>
        <v>0</v>
      </c>
      <c r="M106" s="176">
        <f>IFERROR(INDEX(Program_01!$L:$L,MATCH($B106,Program_01!$A:$A,0)),"")</f>
        <v>0</v>
      </c>
      <c r="N106" s="176">
        <f>IFERROR(INDEX(Program_01!$L:$L,MATCH($B106,Program_01!$A:$A,0)),"")</f>
        <v>0</v>
      </c>
      <c r="O106" s="176">
        <f>IFERROR(INDEX(Program_01!$N:$N,MATCH($B106,Program_01!$A:$A,0)),"")</f>
        <v>0</v>
      </c>
      <c r="P106" s="178"/>
      <c r="Q106" s="179" t="str">
        <f>IFERROR(INDEX(Program_01!$C:$C,MATCH($B106,Program_01!$A:$A,0)),"")</f>
        <v>SALCO - Submission of Interim Extension of Time</v>
      </c>
      <c r="R106" s="176" t="str">
        <f>IFERROR(INDEX(Program_01!$V:$V,MATCH($B106,Program_01!$A:$A,0)),"")</f>
        <v>SSC01009-TRANSMIT-000285
1TB01009-009C16-SSC-LTR-0052
1TB01009-009C16-SSC-LTR-0053</v>
      </c>
      <c r="S106" s="180">
        <f>IFERROR(INDEX(Program_01!$W:$W,MATCH($B106,Program_01!$A:$A,0)),"")</f>
        <v>45886</v>
      </c>
      <c r="T106" s="178"/>
      <c r="U106" s="176" t="str">
        <f>IFERROR(INDEX(Program_01!$Z:$Z,MATCH($B106,Program_01!$A:$A,0)),"")</f>
        <v xml:space="preserve">1TB01009-009C16-AMA-LTR-0043 </v>
      </c>
      <c r="V106" s="181">
        <f>IFERROR(INDEX(Program_01!$AA:$AA,MATCH($B106,Program_01!$A:$A,0)),"")</f>
        <v>45936</v>
      </c>
      <c r="W106" s="182">
        <f t="shared" ca="1" si="0"/>
        <v>50</v>
      </c>
      <c r="X106" s="51"/>
      <c r="Y106" s="179">
        <f>IFERROR(INDEX(Program_01!$BD:$BD,MATCH($B106,Program_01!$A:$A,0)),"")</f>
        <v>0</v>
      </c>
      <c r="Z106" s="51"/>
      <c r="AA106" s="183" t="str">
        <f>IFERROR(IF((INDEX(Program_01!$AD:$AD,MATCH($B106,Program_01!$A:$A,0))=""),INDEX(Program_01!$V:$V,MATCH($B106,Program_01!$A:$A,0)),INDEX(Program_01!$AD:$AD,MATCH($B106,Program_01!$A:$A,0))),"")</f>
        <v>1TB01009-009C16-SSC-LTR-0058</v>
      </c>
      <c r="AB106" s="147">
        <f>IFERROR(IF((INDEX(Program_01!$AE:$AE,MATCH($B106,Program_01!$A:$A,0))=""),INDEX(Program_01!$W:$W,MATCH($B106,Program_01!$A:$A,0)),INDEX(Program_01!$AE:$AE,MATCH($B106,Program_01!$A:$A,0))),"")</f>
        <v>45959</v>
      </c>
      <c r="AC106" s="183">
        <f>IFERROR(IF($I106="EOT",INDEX(Program_01!$AN:$AN,MATCH($B106,Program_01!$A:$A,0)),INDEX(Program_01!$AY:$AY,MATCH($B106,Program_01!$A:$A,0))),"")</f>
        <v>0</v>
      </c>
      <c r="AD106" s="181">
        <f>IFERROR(IF($I106="EOT",INDEX(Program_01!$AO:$AO,MATCH($B106,Program_01!$A:$A,0)),INDEX(Program_01!$AZ:$AZ,MATCH($B106,Program_01!$A:$A,0))),"")</f>
        <v>0</v>
      </c>
      <c r="AE106" s="51"/>
      <c r="AF106" s="183"/>
      <c r="AG106" s="181"/>
      <c r="AH106" s="183" t="str">
        <f>IF(OR($D106="",$AS106="VO Issued",$AS106="Open"),"",IF(OR($AC106="Rejected",$AC106="Superseded",$AC106="Dealt Separately"),$AC106,IF($I106="EOT",INDEX(Program_01!$AR:$AR,MATCH($B106,Program_01!$A:$A,0)),INDEX(Program_01!$BB:$BB,MATCH($B106,Program_01!$A:$A,0)))))</f>
        <v/>
      </c>
      <c r="AI106" s="181" t="str">
        <f>IF(OR($A106="",$B106="",$I106="",$AS106="VO Issued",$AS106="Open"),"",IF(OR($AD106="N/A"),$AD106,IF($I106="EOT",INDEX(Program_01!$AS:$AS,MATCH($B106,Program_01!$A:$A,0)),INDEX(Program_01!$BC:$BC,MATCH($B106,Program_01!$A:$A,0)))))</f>
        <v/>
      </c>
      <c r="AJ106" s="183" t="str">
        <f>IF(OR($D106="",$I106="",$AS106="Determination Issued",$AS106="Rejected",$AS106="Open"),"",IF(OR($AH106="Rejected",$AH106="Dealt Separately",$AH106="Superseded",$AH106="Withdrawn"),"N/A",IF($I106="EOT",INDEX(Program_01!AR:AR,MATCH($B106,Program_01!A:A,0)),INDEX(Program_01!BB:BB,MATCH($B106,Program_01!A:A,0)))))</f>
        <v/>
      </c>
      <c r="AK106" s="181" t="str">
        <f>IF(OR($A106="",$B106="",$I106="",$AS106="Determination Issued",$AS106="Rejected",$AS106="Open"),"",IF($AJ106="N/A","N/A",IF($I106="EOT",INDEX(Program_01!AS:AS,MATCH($B106,Program_01!A:A,0)),INDEX(Program_01!BC:BC,MATCH($B106,Program_01!A:A,0)))))</f>
        <v/>
      </c>
      <c r="AL106" s="51"/>
      <c r="AM106" s="184" t="str">
        <f>IFERROR(INDEX(Program_01!$BT:$BT,MATCH($B106,Program_01!$A:$A,0)),"")</f>
        <v>Revise &amp; resubmit</v>
      </c>
      <c r="AN106" s="184">
        <f>IFERROR(INDEX(Program_01!$BU:$BU,MATCH($B106,Program_01!$A:$A,0)),"")</f>
        <v>0</v>
      </c>
      <c r="AO106" s="184">
        <f>IFERROR(INDEX(Program_01!$BV:$BV,MATCH($B106,Program_01!$A:$A,0)),"")</f>
        <v>0</v>
      </c>
      <c r="AP106" s="51" t="str">
        <f t="shared" si="46"/>
        <v/>
      </c>
      <c r="AQ106" s="184">
        <f>IFERROR(INDEX(Program_01!$BN:$BN,MATCH($B106,Program_01!$A:$A,0)),"")</f>
        <v>0</v>
      </c>
      <c r="AR106" s="184" t="str">
        <f>IFERROR(INDEX(Program_01!$BO:$BO,MATCH($B106,Program_01!$A:$A,0)),"")</f>
        <v>Pending</v>
      </c>
      <c r="AS106" s="184" t="str">
        <f>IFERROR(INDEX(Program_01!$BP:$BP,MATCH($B106,Program_01!$A:$A,0)),"")</f>
        <v>Open</v>
      </c>
      <c r="AT106" s="185" t="str">
        <f>IFERROR(INDEX(Program_01!$BQ:$BQ,MATCH($B106,Program_01!$A:$A,0)),"")</f>
        <v>Contractor</v>
      </c>
      <c r="AU106" s="179" t="str">
        <f>IFERROR(INDEX(Program_01!$BR:$BR,MATCH($B106,Program_01!$A:$A,0)),"")</f>
        <v>12 Jan 26: further updates were requested to the contractor via email and is awaiting response and further particulars
13 Jan 26: Contractor to revise, update and resubmit the EOT claim based on the revised Programme incorporating the second stage. 
Formal request shall be sent by RSG
27 Jan 26: Formal request to update &amp; resubmit the EOT shall be sent once the Second Stage Contract Amendment is signed off. Draft EAR sent to Planning on 22 Dec (is pending Contract Amendment of Stage 2, after which we will request the Contractor to submit the Revised Programme. After the Revised Programme is approved, they will be requested to resubmit the EOT claim - Planning's comments)
09 Feb 26: CA for 2 stage is under process. Once completed, Contractor shall resubmit the revised EOT submission.
23 Feb 26: Ditto, comm to provide target date to conclude 2nd stage CA
07 Mar 26: Ditto, target to conclude 2nd stage CA 21 March 26.
06 Apr 26: Second Stage RFA under approval. Contractor shall resubmit EOT once the Programme is approved.
20 Apr 26: Second Stage is finalised. Contractor is updating the Programme.
04 May 26: Ditto
18 May 26: Ditto, comm to issue a follow up letter 
31 May 26: Ditto
04 Jun 26: Target date to issue is the 9 June 26
15 Jun 26: Ditto
29 June 26: Letter under WF-091490 (1TB01009-009C16-AMA-LTR-0054)
13 Jul 26: follow up letter via 1TB01009-009C16-AMA-LTR-0054 issued on 30 Jun 26
25 Jul 26: Awaiting Contractor's feedback.
10 Aug 26: Ditto
24 Aug 26: Ditto
07 Sep 26: Ditto
21 Sep 26: Ditto</v>
      </c>
      <c r="AV106" s="186" t="str">
        <f t="shared" si="32"/>
        <v/>
      </c>
      <c r="AW106" s="186" t="str">
        <f t="shared" si="47"/>
        <v>OPEN</v>
      </c>
      <c r="AX106" s="186" t="str">
        <f t="shared" si="33"/>
        <v>OPEN</v>
      </c>
      <c r="AY106" s="181">
        <f t="shared" si="38"/>
        <v>45959</v>
      </c>
      <c r="AZ106" s="181" t="str">
        <f t="shared" si="43"/>
        <v/>
      </c>
      <c r="BA106" s="181" t="str">
        <f t="shared" si="4"/>
        <v/>
      </c>
      <c r="BC106" s="181">
        <f>IFERROR(INDEX(Program_01!BF:BF,MATCH($B106,Program_01!$A:$A,0)),"")</f>
        <v>45959</v>
      </c>
      <c r="BD106" s="188">
        <f ca="1">IFERROR(INDEX(Program_01!BG:BG,MATCH($B106,Program_01!$A:$A,0)),"")</f>
        <v>0</v>
      </c>
      <c r="BE106" s="181">
        <f>IFERROR(INDEX(Program_01!BH:BH,MATCH($B106,Program_01!$A:$A,0)),"")</f>
        <v>0</v>
      </c>
      <c r="BF106" s="189">
        <f ca="1">IFERROR(INDEX(Program_01!BI:BI,MATCH($B106,Program_01!$A:$A,0)),"")</f>
        <v>0</v>
      </c>
      <c r="BG106" s="181">
        <f>IFERROR(INDEX(Program_01!BJ:BJ,MATCH($B106,Program_01!$A:$A,0)),"")</f>
        <v>0</v>
      </c>
      <c r="BH106" s="189">
        <f ca="1">IFERROR(INDEX(Program_01!BK:BK,MATCH($B106,Program_01!$A:$A,0)),"")</f>
        <v>0</v>
      </c>
      <c r="BI106" s="181">
        <f>IFERROR(INDEX(Program_01!BL:BL,MATCH($B106,Program_01!$A:$A,0)),"")</f>
        <v>0</v>
      </c>
      <c r="BK106" s="190" t="str">
        <f>IFERROR(IF(INDEX(Program_01!$BX:$BX,MATCH($B106,Program_01!$A:$A,0))=DATE(1900,1,0),"",INDEX(Program_01!$BX:$BX,MATCH($B106,Program_01!$A:$A,0))),"")</f>
        <v/>
      </c>
      <c r="BL106" s="190" t="str">
        <f>IFERROR(IF(INDEX(Program_01!$BY:$BY,MATCH($B106,Program_01!$A:$A,0))=DATE(1900,1,0),"",INDEX(Program_01!$BY:$BY,MATCH($B106,Program_01!$A:$A,0))),"")</f>
        <v/>
      </c>
      <c r="BM106" s="188" t="str">
        <f t="shared" ca="1" si="39"/>
        <v/>
      </c>
      <c r="BN106" s="191">
        <f t="shared" ca="1" si="40"/>
        <v>0</v>
      </c>
      <c r="BO106" s="188" t="str">
        <f t="shared" si="34"/>
        <v/>
      </c>
      <c r="BP106" s="188" t="str">
        <f t="shared" si="6"/>
        <v/>
      </c>
      <c r="BQ106" s="188" t="str">
        <f t="shared" ca="1" si="41"/>
        <v/>
      </c>
      <c r="BR106" s="181" t="str">
        <f t="shared" ca="1" si="44"/>
        <v/>
      </c>
      <c r="BT106" s="190" t="str">
        <f>IFERROR(IF(INDEX(Program_01!$BZ:$BZ,MATCH($B106,Program_01!$A:$A,0))=DATE(1900,1,0),"",INDEX(Program_01!$BZ:$BZ,MATCH($B106,Program_01!$A:$A,0))),"")</f>
        <v/>
      </c>
      <c r="BU106" s="182" t="str">
        <f t="shared" ca="1" si="48"/>
        <v/>
      </c>
      <c r="BV106" s="188" t="str">
        <f t="shared" si="35"/>
        <v/>
      </c>
      <c r="BW106" s="188" t="str">
        <f t="shared" si="8"/>
        <v/>
      </c>
      <c r="BX106" s="188" t="str">
        <f t="shared" ca="1" si="36"/>
        <v/>
      </c>
      <c r="BY106" s="181" t="str">
        <f t="shared" ca="1" si="45"/>
        <v/>
      </c>
      <c r="CA106" s="192" t="str">
        <f t="shared" si="49"/>
        <v>N</v>
      </c>
      <c r="CB106" s="192" t="str">
        <f t="shared" si="50"/>
        <v>N</v>
      </c>
      <c r="CC106" s="193">
        <f>IFERROR(INDEX(Program_01!$CE:$CE,MATCH($B106,Program_01!$A:$A,0)),"")</f>
        <v>45897</v>
      </c>
      <c r="CD106" s="193">
        <f t="shared" si="31"/>
        <v>45897</v>
      </c>
      <c r="CG106" s="194">
        <f>IFERROR(INDEX(Program_01!$AT:$AT,MATCH($B106,Program_01!$A:$A,0)),"")</f>
        <v>0</v>
      </c>
      <c r="CH106" s="194">
        <f>IFERROR(INDEX(Program_01!$AX:$AX,MATCH($B106,Program_01!$A:$A,0)),"")</f>
        <v>0</v>
      </c>
    </row>
    <row r="107" spans="1:86" s="187" customFormat="1" ht="409" customHeight="1">
      <c r="A107" s="174" t="s">
        <v>1</v>
      </c>
      <c r="B107" s="199">
        <f t="shared" si="42"/>
        <v>89</v>
      </c>
      <c r="C107" s="176" t="str">
        <f>IFERROR(INDEX(Program_01!$B:$B,MATCH($B107,Program_01!$A:$A,0)),"")</f>
        <v>FULL TIA EAR</v>
      </c>
      <c r="D107" s="176" t="str">
        <f>IFERROR(INDEX(Program_01!$D:$D,MATCH($B107,Program_01!$A:$A,0)),"")</f>
        <v>1TB01009C15</v>
      </c>
      <c r="E107" s="176" t="str">
        <f>IFERROR(INDEX(Program_01!$E:$E,MATCH($B107,Program_01!$A:$A,0)),"")</f>
        <v>1.TB.01.009.01</v>
      </c>
      <c r="F107" s="176" t="str">
        <f>IFERROR(INDEX(Program_01!$F:$F,MATCH($B107,Program_01!$A:$A,0)),"")</f>
        <v>Marina Hotel 3</v>
      </c>
      <c r="G107" s="176" t="str">
        <f>IFERROR(INDEX(Program_01!$G:$G,MATCH($B107,Program_01!$A:$A,0)),"")</f>
        <v>Hardscape Works for Marina Hotel 3</v>
      </c>
      <c r="H107" s="176" t="str">
        <f>IFERROR(INDEX(Program_01!$H:$H,MATCH($B107,Program_01!$A:$A,0)),"")</f>
        <v>Saudi SALCO Contracting Co</v>
      </c>
      <c r="I107" s="176" t="str">
        <f t="shared" si="37"/>
        <v>EOT</v>
      </c>
      <c r="J107" s="176">
        <f>IFERROR(INDEX(Program_01!$I:$I,MATCH($B107,Program_01!$A:$A,0)),"")</f>
        <v>1</v>
      </c>
      <c r="K107" s="176">
        <f>IFERROR(INDEX(Program_01!$J:$J,MATCH($B107,Program_01!$A:$A,0)),"")</f>
        <v>0</v>
      </c>
      <c r="L107" s="176">
        <f>IFERROR(INDEX(Program_01!$K:$K,MATCH($B107,Program_01!$A:$A,0)),"")</f>
        <v>0</v>
      </c>
      <c r="M107" s="176">
        <f>IFERROR(INDEX(Program_01!$L:$L,MATCH($B107,Program_01!$A:$A,0)),"")</f>
        <v>0</v>
      </c>
      <c r="N107" s="176">
        <f>IFERROR(INDEX(Program_01!$L:$L,MATCH($B107,Program_01!$A:$A,0)),"")</f>
        <v>0</v>
      </c>
      <c r="O107" s="176">
        <f>IFERROR(INDEX(Program_01!$N:$N,MATCH($B107,Program_01!$A:$A,0)),"")</f>
        <v>0</v>
      </c>
      <c r="P107" s="178"/>
      <c r="Q107" s="179" t="str">
        <f>IFERROR(INDEX(Program_01!$C:$C,MATCH($B107,Program_01!$A:$A,0)),"")</f>
        <v>SALCO - Submission of Interim Extension of Time (EOT – 1)</v>
      </c>
      <c r="R107" s="176" t="str">
        <f>IFERROR(INDEX(Program_01!$V:$V,MATCH($B107,Program_01!$A:$A,0)),"")</f>
        <v>SSC01009-TRANSMIT-000286
1TB01009-009C15-SSC-LTR-0069
1TB01009-009C15-SSC-LTR-0070</v>
      </c>
      <c r="S107" s="180">
        <f>IFERROR(INDEX(Program_01!$W:$W,MATCH($B107,Program_01!$A:$A,0)),"")</f>
        <v>45886</v>
      </c>
      <c r="T107" s="178"/>
      <c r="U107" s="176" t="str">
        <f>IFERROR(INDEX(Program_01!$Z:$Z,MATCH($B107,Program_01!$A:$A,0)),"")</f>
        <v xml:space="preserve">1TB01009-009C15-AMA-LTR-0050 </v>
      </c>
      <c r="V107" s="181">
        <f>IFERROR(INDEX(Program_01!$AA:$AA,MATCH($B107,Program_01!$A:$A,0)),"")</f>
        <v>45936</v>
      </c>
      <c r="W107" s="182">
        <f t="shared" ca="1" si="0"/>
        <v>50</v>
      </c>
      <c r="X107" s="51"/>
      <c r="Y107" s="179">
        <f>IFERROR(INDEX(Program_01!$BD:$BD,MATCH($B107,Program_01!$A:$A,0)),"")</f>
        <v>0</v>
      </c>
      <c r="Z107" s="51"/>
      <c r="AA107" s="183" t="str">
        <f>IFERROR(IF((INDEX(Program_01!$AD:$AD,MATCH($B107,Program_01!$A:$A,0))=""),INDEX(Program_01!$V:$V,MATCH($B107,Program_01!$A:$A,0)),INDEX(Program_01!$AD:$AD,MATCH($B107,Program_01!$A:$A,0))),"")</f>
        <v>1TB01009-009C15-SSC-LTR-0091  on 29 Oct 25
1TB01009-009C15-SSC-LTR-0136 on 25 Apr 26
1TB01009-009C15-SSC-LTR-0141</v>
      </c>
      <c r="AB107" s="147">
        <f>IFERROR(IF((INDEX(Program_01!$AE:$AE,MATCH($B107,Program_01!$A:$A,0))=""),INDEX(Program_01!$W:$W,MATCH($B107,Program_01!$A:$A,0)),INDEX(Program_01!$AE:$AE,MATCH($B107,Program_01!$A:$A,0))),"")</f>
        <v>46163</v>
      </c>
      <c r="AC107" s="183">
        <f>IFERROR(IF($I107="EOT",INDEX(Program_01!$AN:$AN,MATCH($B107,Program_01!$A:$A,0)),INDEX(Program_01!$AY:$AY,MATCH($B107,Program_01!$A:$A,0))),"")</f>
        <v>0</v>
      </c>
      <c r="AD107" s="181">
        <f>IFERROR(IF($I107="EOT",INDEX(Program_01!$AO:$AO,MATCH($B107,Program_01!$A:$A,0)),INDEX(Program_01!$AZ:$AZ,MATCH($B107,Program_01!$A:$A,0))),"")</f>
        <v>0</v>
      </c>
      <c r="AE107" s="51"/>
      <c r="AF107" s="183"/>
      <c r="AG107" s="181"/>
      <c r="AH107" s="183" t="str">
        <f>IF(OR($D107="",$AS107="VO Issued",$AS107="Open"),"",IF(OR($AC107="Rejected",$AC107="Superseded",$AC107="Dealt Separately"),$AC107,IF($I107="EOT",INDEX(Program_01!$AR:$AR,MATCH($B107,Program_01!$A:$A,0)),INDEX(Program_01!$BB:$BB,MATCH($B107,Program_01!$A:$A,0)))))</f>
        <v/>
      </c>
      <c r="AI107" s="181" t="str">
        <f>IF(OR($A107="",$B107="",$I107="",$AS107="VO Issued",$AS107="Open"),"",IF(OR($AD107="N/A"),$AD107,IF($I107="EOT",INDEX(Program_01!$AS:$AS,MATCH($B107,Program_01!$A:$A,0)),INDEX(Program_01!$BC:$BC,MATCH($B107,Program_01!$A:$A,0)))))</f>
        <v/>
      </c>
      <c r="AJ107" s="183" t="str">
        <f>IF(OR($D107="",$I107="",$AS107="Determination Issued",$AS107="Rejected",$AS107="Open"),"",IF(OR($AH107="Rejected",$AH107="Dealt Separately",$AH107="Superseded",$AH107="Withdrawn"),"N/A",IF($I107="EOT",INDEX(Program_01!AR:AR,MATCH($B107,Program_01!A:A,0)),INDEX(Program_01!BB:BB,MATCH($B107,Program_01!A:A,0)))))</f>
        <v/>
      </c>
      <c r="AK107" s="181" t="str">
        <f>IF(OR($A107="",$B107="",$I107="",$AS107="Determination Issued",$AS107="Rejected",$AS107="Open"),"",IF($AJ107="N/A","N/A",IF($I107="EOT",INDEX(Program_01!AS:AS,MATCH($B107,Program_01!A:A,0)),INDEX(Program_01!BC:BC,MATCH($B107,Program_01!A:A,0)))))</f>
        <v/>
      </c>
      <c r="AL107" s="51"/>
      <c r="AM107" s="184">
        <f>IFERROR(INDEX(Program_01!$BT:$BT,MATCH($B107,Program_01!$A:$A,0)),"")</f>
        <v>0</v>
      </c>
      <c r="AN107" s="184">
        <f>IFERROR(INDEX(Program_01!$BU:$BU,MATCH($B107,Program_01!$A:$A,0)),"")</f>
        <v>0</v>
      </c>
      <c r="AO107" s="184">
        <f>IFERROR(INDEX(Program_01!$BV:$BV,MATCH($B107,Program_01!$A:$A,0)),"")</f>
        <v>0</v>
      </c>
      <c r="AP107" s="51" t="str">
        <f t="shared" si="46"/>
        <v/>
      </c>
      <c r="AQ107" s="184">
        <f>IFERROR(INDEX(Program_01!$BN:$BN,MATCH($B107,Program_01!$A:$A,0)),"")</f>
        <v>0</v>
      </c>
      <c r="AR107" s="184" t="str">
        <f>IFERROR(INDEX(Program_01!$BO:$BO,MATCH($B107,Program_01!$A:$A,0)),"")</f>
        <v>Pending</v>
      </c>
      <c r="AS107" s="184" t="str">
        <f>IFERROR(INDEX(Program_01!$BP:$BP,MATCH($B107,Program_01!$A:$A,0)),"")</f>
        <v>Open</v>
      </c>
      <c r="AT107" s="185" t="str">
        <f>IFERROR(INDEX(Program_01!$BQ:$BQ,MATCH($B107,Program_01!$A:$A,0)),"")</f>
        <v>Commercial Team</v>
      </c>
      <c r="AU107" s="179" t="str">
        <f>IFERROR(INDEX(Program_01!$BR:$BR,MATCH($B107,Program_01!$A:$A,0)),"")</f>
        <v>25 Jan 26: Formal request to update &amp; resubmit the EOT shall be sent once the Second Stage Contract Amendment is signed off. RFA Currently in WF-075556.
29 Jan 26: Draft EAR sent to claims for review (this is being done in the background while await the contractors revised Programm &amp; the EOT claim)
01 Feb 26: commercial was advised to write to Salco to resubmit the claim to incorporate the missing information and update based upon the new 2-Stage programme
09 Feb 26: Formal request to resubmit EOT with updated Programme is being initiated. Draft letter targeted to be sent for Claims review by 13 Feb 26
23 Feb 26: Request to resubmit EOT in WF-079311 
24 Feb 26: CA issued ref. AMA01009-TRANSMIT-002711 dated 5 February 2026, the Revised Time for Completion is 545 Calendar Days.”
09 Mar 26:  The Contractor was requested to Revise &amp; Resubmit EOT  via 1TB01009-009C15-AMA-LTR-0063 dated 26 Febraury 2026.
06 Apr 26: Awaiting revised submission from the Contractor. commercial to issue follow up
19 April 26: Follow up in the WF-084644
04 May 26: Contractor confirmed submission of revised EOT up to 20 May 26 via  1TB01009-009C15-SSC-LTR-0136 on 25 Apr 26 (just a confirmation letter and no additional particulars were provided)
18 May 26: Contractor's latest submission is under review. Target date is 30 May 26.  
31 May 26: Contractor has resubmitted the EOT based on the Second Stage approved Programme(1TB01009-009C15-SSC-LTR-0141 on 21 May 26). Target date for review and response if any - 25 Jun 26
15 Jun 26: Ditto
27 Jun 26:Target date for review and response moved to 09 July 26
13 Jul 26: EAR shall be prepared and issued to Claims team by TBC
25 Jul 26: EAR shall be prepared by 20 Aug 26
10 Aug 26: Target date for EAR remains same (20 Aug 26)
22 Aug 26: EAR date deferred to 20 Sep 26
07 Sep 26: Ditto
21 Sep 26: Ditto
04 Oct 26: EAR date deferred to 30 Oct 26</v>
      </c>
      <c r="AV107" s="186" t="str">
        <f t="shared" si="32"/>
        <v/>
      </c>
      <c r="AW107" s="186" t="str">
        <f t="shared" si="47"/>
        <v>OPEN</v>
      </c>
      <c r="AX107" s="186" t="str">
        <f t="shared" si="33"/>
        <v>OPEN</v>
      </c>
      <c r="AY107" s="181">
        <f t="shared" si="38"/>
        <v>46163</v>
      </c>
      <c r="AZ107" s="181" t="str">
        <f t="shared" si="43"/>
        <v/>
      </c>
      <c r="BA107" s="181" t="str">
        <f t="shared" si="4"/>
        <v/>
      </c>
      <c r="BC107" s="181">
        <f>IFERROR(INDEX(Program_01!BF:BF,MATCH($B107,Program_01!$A:$A,0)),"")</f>
        <v>46163</v>
      </c>
      <c r="BD107" s="188">
        <f ca="1">IFERROR(INDEX(Program_01!BG:BG,MATCH($B107,Program_01!$A:$A,0)),"")</f>
        <v>137</v>
      </c>
      <c r="BE107" s="181">
        <f>IFERROR(INDEX(Program_01!BH:BH,MATCH($B107,Program_01!$A:$A,0)),"")</f>
        <v>0</v>
      </c>
      <c r="BF107" s="189">
        <f ca="1">IFERROR(INDEX(Program_01!BI:BI,MATCH($B107,Program_01!$A:$A,0)),"")</f>
        <v>0</v>
      </c>
      <c r="BG107" s="181">
        <f>IFERROR(INDEX(Program_01!BJ:BJ,MATCH($B107,Program_01!$A:$A,0)),"")</f>
        <v>0</v>
      </c>
      <c r="BH107" s="189">
        <f ca="1">IFERROR(INDEX(Program_01!BK:BK,MATCH($B107,Program_01!$A:$A,0)),"")</f>
        <v>0</v>
      </c>
      <c r="BI107" s="181">
        <f>IFERROR(INDEX(Program_01!BL:BL,MATCH($B107,Program_01!$A:$A,0)),"")</f>
        <v>0</v>
      </c>
      <c r="BK107" s="190" t="str">
        <f>IFERROR(IF(INDEX(Program_01!$BX:$BX,MATCH($B107,Program_01!$A:$A,0))=DATE(1900,1,0),"",INDEX(Program_01!$BX:$BX,MATCH($B107,Program_01!$A:$A,0))),"")</f>
        <v/>
      </c>
      <c r="BL107" s="190" t="str">
        <f>IFERROR(IF(INDEX(Program_01!$BY:$BY,MATCH($B107,Program_01!$A:$A,0))=DATE(1900,1,0),"",INDEX(Program_01!$BY:$BY,MATCH($B107,Program_01!$A:$A,0))),"")</f>
        <v/>
      </c>
      <c r="BM107" s="188" t="str">
        <f t="shared" ca="1" si="39"/>
        <v/>
      </c>
      <c r="BN107" s="191">
        <f t="shared" ca="1" si="40"/>
        <v>137</v>
      </c>
      <c r="BO107" s="188" t="str">
        <f t="shared" si="34"/>
        <v/>
      </c>
      <c r="BP107" s="188" t="str">
        <f t="shared" si="6"/>
        <v/>
      </c>
      <c r="BQ107" s="188" t="str">
        <f t="shared" ca="1" si="41"/>
        <v/>
      </c>
      <c r="BR107" s="181" t="str">
        <f t="shared" ca="1" si="44"/>
        <v/>
      </c>
      <c r="BT107" s="190" t="str">
        <f>IFERROR(IF(INDEX(Program_01!$BZ:$BZ,MATCH($B107,Program_01!$A:$A,0))=DATE(1900,1,0),"",INDEX(Program_01!$BZ:$BZ,MATCH($B107,Program_01!$A:$A,0))),"")</f>
        <v/>
      </c>
      <c r="BU107" s="182" t="str">
        <f t="shared" ca="1" si="48"/>
        <v/>
      </c>
      <c r="BV107" s="188" t="str">
        <f t="shared" si="35"/>
        <v/>
      </c>
      <c r="BW107" s="188" t="str">
        <f t="shared" si="8"/>
        <v/>
      </c>
      <c r="BX107" s="188" t="str">
        <f t="shared" ca="1" si="36"/>
        <v/>
      </c>
      <c r="BY107" s="181" t="str">
        <f t="shared" ca="1" si="45"/>
        <v/>
      </c>
      <c r="CA107" s="192" t="str">
        <f t="shared" si="49"/>
        <v>N</v>
      </c>
      <c r="CB107" s="192" t="str">
        <f t="shared" si="50"/>
        <v>N</v>
      </c>
      <c r="CC107" s="193">
        <f>IFERROR(INDEX(Program_01!$CE:$CE,MATCH($B107,Program_01!$A:$A,0)),"")</f>
        <v>45897</v>
      </c>
      <c r="CD107" s="193">
        <f t="shared" si="31"/>
        <v>45897</v>
      </c>
      <c r="CG107" s="194">
        <f>IFERROR(INDEX(Program_01!$AT:$AT,MATCH($B107,Program_01!$A:$A,0)),"")</f>
        <v>0</v>
      </c>
      <c r="CH107" s="194">
        <f>IFERROR(INDEX(Program_01!$AX:$AX,MATCH($B107,Program_01!$A:$A,0)),"")</f>
        <v>0</v>
      </c>
    </row>
    <row r="108" spans="1:86" s="187" customFormat="1" ht="396.75" customHeight="1">
      <c r="A108" s="174" t="s">
        <v>1</v>
      </c>
      <c r="B108" s="199">
        <f t="shared" si="42"/>
        <v>90</v>
      </c>
      <c r="C108" s="176" t="str">
        <f>IFERROR(INDEX(Program_01!$B:$B,MATCH($B108,Program_01!$A:$A,0)),"")</f>
        <v>FULL TIA EAR</v>
      </c>
      <c r="D108" s="176" t="str">
        <f>IFERROR(INDEX(Program_01!$D:$D,MATCH($B108,Program_01!$A:$A,0)),"")</f>
        <v>1TB01003C09</v>
      </c>
      <c r="E108" s="176" t="str">
        <f>IFERROR(INDEX(Program_01!$E:$E,MATCH($B108,Program_01!$A:$A,0)),"")</f>
        <v>1.TB.01.003.01</v>
      </c>
      <c r="F108" s="176" t="str">
        <f>IFERROR(INDEX(Program_01!$F:$F,MATCH($B108,Program_01!$A:$A,0)),"")</f>
        <v xml:space="preserve">AMAALA Yacht Club </v>
      </c>
      <c r="G108" s="176" t="str">
        <f>IFERROR(INDEX(Program_01!$G:$G,MATCH($B108,Program_01!$A:$A,0)),"")</f>
        <v>Fit-out works for Amaala Yacht Club</v>
      </c>
      <c r="H108" s="176" t="str">
        <f>IFERROR(INDEX(Program_01!$H:$H,MATCH($B108,Program_01!$A:$A,0)),"")</f>
        <v>DEPA Saudi Arabia for Contracting and Interior Decoration Co. Ltd</v>
      </c>
      <c r="I108" s="176" t="str">
        <f t="shared" si="37"/>
        <v>EOT</v>
      </c>
      <c r="J108" s="176">
        <f>IFERROR(INDEX(Program_01!$I:$I,MATCH($B108,Program_01!$A:$A,0)),"")</f>
        <v>1</v>
      </c>
      <c r="K108" s="176">
        <f>IFERROR(INDEX(Program_01!$J:$J,MATCH($B108,Program_01!$A:$A,0)),"")</f>
        <v>0</v>
      </c>
      <c r="L108" s="176">
        <f>IFERROR(INDEX(Program_01!$K:$K,MATCH($B108,Program_01!$A:$A,0)),"")</f>
        <v>0</v>
      </c>
      <c r="M108" s="176">
        <f>IFERROR(INDEX(Program_01!$L:$L,MATCH($B108,Program_01!$A:$A,0)),"")</f>
        <v>0</v>
      </c>
      <c r="N108" s="176">
        <f>IFERROR(INDEX(Program_01!$L:$L,MATCH($B108,Program_01!$A:$A,0)),"")</f>
        <v>0</v>
      </c>
      <c r="O108" s="176">
        <f>IFERROR(INDEX(Program_01!$N:$N,MATCH($B108,Program_01!$A:$A,0)),"")</f>
        <v>0</v>
      </c>
      <c r="P108" s="178"/>
      <c r="Q108" s="179" t="str">
        <f>IFERROR(INDEX(Program_01!$C:$C,MATCH($B108,Program_01!$A:$A,0)),"")</f>
        <v>Extension of Time Claim - EOT 01 Rev 01 Re-Assessment of Item 43 above</v>
      </c>
      <c r="R108" s="176" t="str">
        <f>IFERROR(INDEX(Program_01!$V:$V,MATCH($B108,Program_01!$A:$A,0)),"")</f>
        <v>1TB01003-003C09-DCC-LTR-0255</v>
      </c>
      <c r="S108" s="180">
        <f>IFERROR(INDEX(Program_01!$W:$W,MATCH($B108,Program_01!$A:$A,0)),"")</f>
        <v>45829</v>
      </c>
      <c r="T108" s="178"/>
      <c r="U108" s="176">
        <f>IFERROR(INDEX(Program_01!$Z:$Z,MATCH($B108,Program_01!$A:$A,0)),"")</f>
        <v>0</v>
      </c>
      <c r="V108" s="181" t="str">
        <f>IFERROR(INDEX(Program_01!$AA:$AA,MATCH($B108,Program_01!$A:$A,0)),"")</f>
        <v>N/A</v>
      </c>
      <c r="W108" s="182" t="str">
        <f t="shared" ca="1" si="0"/>
        <v/>
      </c>
      <c r="X108" s="51"/>
      <c r="Y108" s="179">
        <f>IFERROR(INDEX(Program_01!$BD:$BD,MATCH($B108,Program_01!$A:$A,0)),"")</f>
        <v>0</v>
      </c>
      <c r="Z108" s="51"/>
      <c r="AA108" s="183" t="str">
        <f>IFERROR(IF((INDEX(Program_01!$AD:$AD,MATCH($B108,Program_01!$A:$A,0))=""),INDEX(Program_01!$V:$V,MATCH($B108,Program_01!$A:$A,0)),INDEX(Program_01!$AD:$AD,MATCH($B108,Program_01!$A:$A,0))),"")</f>
        <v>1TB01003-003C09-DCC-LTR-0255</v>
      </c>
      <c r="AB108" s="147">
        <f>IFERROR(IF((INDEX(Program_01!$AE:$AE,MATCH($B108,Program_01!$A:$A,0))=""),INDEX(Program_01!$W:$W,MATCH($B108,Program_01!$A:$A,0)),INDEX(Program_01!$AE:$AE,MATCH($B108,Program_01!$A:$A,0))),"")</f>
        <v>45829</v>
      </c>
      <c r="AC108" s="183" t="str">
        <f>IFERROR(IF($I108="EOT",INDEX(Program_01!$AN:$AN,MATCH($B108,Program_01!$A:$A,0)),INDEX(Program_01!$AY:$AY,MATCH($B108,Program_01!$A:$A,0))),"")</f>
        <v xml:space="preserve">	
1TB01003-003C09-AMA-LTR-0169</v>
      </c>
      <c r="AD108" s="181">
        <f>IFERROR(IF($I108="EOT",INDEX(Program_01!$AO:$AO,MATCH($B108,Program_01!$A:$A,0)),INDEX(Program_01!$AZ:$AZ,MATCH($B108,Program_01!$A:$A,0))),"")</f>
        <v>45956</v>
      </c>
      <c r="AE108" s="51"/>
      <c r="AF108" s="183"/>
      <c r="AG108" s="181"/>
      <c r="AH108" s="183" t="str">
        <f>IF(OR($D108="",$AS108="VO Issued",$AS108="Open"),"",IF(OR($AC108="Rejected",$AC108="Superseded",$AC108="Dealt Separately"),$AC108,IF($I108="EOT",INDEX(Program_01!$AR:$AR,MATCH($B108,Program_01!$A:$A,0)),INDEX(Program_01!$BB:$BB,MATCH($B108,Program_01!$A:$A,0)))))</f>
        <v/>
      </c>
      <c r="AI108" s="181" t="str">
        <f>IF(OR($A108="",$B108="",$I108="",$AS108="VO Issued",$AS108="Open"),"",IF(OR($AD108="N/A"),$AD108,IF($I108="EOT",INDEX(Program_01!$AS:$AS,MATCH($B108,Program_01!$A:$A,0)),INDEX(Program_01!$BC:$BC,MATCH($B108,Program_01!$A:$A,0)))))</f>
        <v/>
      </c>
      <c r="AJ108" s="183" t="str">
        <f>IF(OR($D108="",$I108="",$AS108="Determination Issued",$AS108="Rejected",$AS108="Open"),"",IF(OR($AH108="Rejected",$AH108="Dealt Separately",$AH108="Superseded",$AH108="Withdrawn"),"N/A",IF($I108="EOT",INDEX(Program_01!AR:AR,MATCH($B108,Program_01!A:A,0)),INDEX(Program_01!BB:BB,MATCH($B108,Program_01!A:A,0)))))</f>
        <v/>
      </c>
      <c r="AK108" s="181" t="str">
        <f>IF(OR($A108="",$B108="",$I108="",$AS108="Determination Issued",$AS108="Rejected",$AS108="Open"),"",IF($AJ108="N/A","N/A",IF($I108="EOT",INDEX(Program_01!AS:AS,MATCH($B108,Program_01!A:A,0)),INDEX(Program_01!BC:BC,MATCH($B108,Program_01!A:A,0)))))</f>
        <v/>
      </c>
      <c r="AL108" s="51"/>
      <c r="AM108" s="184">
        <f>IFERROR(INDEX(Program_01!$BT:$BT,MATCH($B108,Program_01!$A:$A,0)),"")</f>
        <v>0</v>
      </c>
      <c r="AN108" s="184">
        <f>IFERROR(INDEX(Program_01!$BU:$BU,MATCH($B108,Program_01!$A:$A,0)),"")</f>
        <v>0</v>
      </c>
      <c r="AO108" s="184">
        <f>IFERROR(INDEX(Program_01!$BV:$BV,MATCH($B108,Program_01!$A:$A,0)),"")</f>
        <v>0</v>
      </c>
      <c r="AP108" s="51" t="str">
        <f t="shared" si="46"/>
        <v/>
      </c>
      <c r="AQ108" s="184">
        <f>IFERROR(INDEX(Program_01!$BN:$BN,MATCH($B108,Program_01!$A:$A,0)),"")</f>
        <v>0</v>
      </c>
      <c r="AR108" s="184" t="str">
        <f>IFERROR(INDEX(Program_01!$BO:$BO,MATCH($B108,Program_01!$A:$A,0)),"")</f>
        <v>Assessment Report Issued</v>
      </c>
      <c r="AS108" s="184" t="str">
        <f>IFERROR(INDEX(Program_01!$BP:$BP,MATCH($B108,Program_01!$A:$A,0)),"")</f>
        <v>Open</v>
      </c>
      <c r="AT108" s="185" t="str">
        <f>IFERROR(INDEX(Program_01!$BQ:$BQ,MATCH($B108,Program_01!$A:$A,0)),"")</f>
        <v>Contractor</v>
      </c>
      <c r="AU108" s="179" t="str">
        <f>IFERROR(INDEX(Program_01!$BR:$BR,MATCH($B108,Program_01!$A:$A,0)),"")</f>
        <v>23 Feb 26: Response to DEPA's letter DCC01003-GENCORR-001103 regarding comments to EAR R1 issued under 1TB01003-003C09-AMA-LTR-0222 on 15 Fe 26.
09 Mar 26: Awaiting response/confirmation of EAR R1 from DEPA.
06 Apr 26: Ditto
20 April 26: The response from DEPA received on 4 Apr 2026 reference 1TB01003-003C09-DCC-LTR-0395, planning and commercial are working on it, The meeting with BIM on Thursday 23 April, to finilise the response
27 Apr 26: Targeted to provide comments by 30 Apr 26
04 May 26: Required meeting with Commercial, Planning and Delivery Team to discuss the response to DEPA's letter. Target by 10 May 26.
11 May 26: 
18 May 26: Meeting with Commercial, Planning and Delivery Team to discuss the response to DEPA's letter. Target by 18 May 26.
31 May 26: Response still with Commercial and Planning Team. Target by 10 June 26.
04 Jun 26: Ditto
15 Jun 26: Awaiting response from Planning team 
22 Jun 26: targeted to revert by 25 Jun 26
28 June 26: Awaiting response from Planning team
06 Jul 26: planning team targeted to revert by 07 Jul 26
13 Jul 26: Ditto, commercial to chase planning for the update (Last email sent to planning on 25 May 2026
20 Jul 26: Planning suggested a meeting with contractor to finalise the employer's position
27 Jul 26: Ditto, awaiting date confirmation form Planning
28 Jul 26: planning input provided and response issued to Depa via AMA01003-GENCORR-001587
10 Aug 26: Awaiting response from DEPA
24 Aug 26: Ditto
07 Sep 26: Ditto
21 Sep 26: Ditto</v>
      </c>
      <c r="AV108" s="186" t="str">
        <f t="shared" si="32"/>
        <v/>
      </c>
      <c r="AW108" s="186" t="str">
        <f t="shared" si="47"/>
        <v>OPEN</v>
      </c>
      <c r="AX108" s="186" t="str">
        <f t="shared" si="33"/>
        <v>OPEN</v>
      </c>
      <c r="AY108" s="181">
        <f t="shared" si="38"/>
        <v>45829</v>
      </c>
      <c r="AZ108" s="181">
        <f t="shared" si="43"/>
        <v>45956</v>
      </c>
      <c r="BA108" s="181" t="str">
        <f t="shared" si="4"/>
        <v/>
      </c>
      <c r="BC108" s="181">
        <f>IFERROR(INDEX(Program_01!BF:BF,MATCH($B108,Program_01!$A:$A,0)),"")</f>
        <v>45829</v>
      </c>
      <c r="BD108" s="188">
        <f ca="1">IFERROR(INDEX(Program_01!BG:BG,MATCH($B108,Program_01!$A:$A,0)),"")</f>
        <v>471</v>
      </c>
      <c r="BE108" s="181">
        <f>IFERROR(INDEX(Program_01!BH:BH,MATCH($B108,Program_01!$A:$A,0)),"")</f>
        <v>0</v>
      </c>
      <c r="BF108" s="189">
        <f ca="1">IFERROR(INDEX(Program_01!BI:BI,MATCH($B108,Program_01!$A:$A,0)),"")</f>
        <v>0</v>
      </c>
      <c r="BG108" s="181">
        <f>IFERROR(INDEX(Program_01!BJ:BJ,MATCH($B108,Program_01!$A:$A,0)),"")</f>
        <v>0</v>
      </c>
      <c r="BH108" s="189">
        <f ca="1">IFERROR(INDEX(Program_01!BK:BK,MATCH($B108,Program_01!$A:$A,0)),"")</f>
        <v>0</v>
      </c>
      <c r="BI108" s="181">
        <f>IFERROR(INDEX(Program_01!BL:BL,MATCH($B108,Program_01!$A:$A,0)),"")</f>
        <v>0</v>
      </c>
      <c r="BK108" s="190">
        <f>IFERROR(IF(INDEX(Program_01!$BX:$BX,MATCH($B108,Program_01!$A:$A,0))=DATE(1900,1,0),"",INDEX(Program_01!$BX:$BX,MATCH($B108,Program_01!$A:$A,0))),"")</f>
        <v>45956</v>
      </c>
      <c r="BL108" s="190" t="str">
        <f>IFERROR(IF(INDEX(Program_01!$BY:$BY,MATCH($B108,Program_01!$A:$A,0))=DATE(1900,1,0),"",INDEX(Program_01!$BY:$BY,MATCH($B108,Program_01!$A:$A,0))),"")</f>
        <v/>
      </c>
      <c r="BM108" s="188">
        <f t="shared" ca="1" si="39"/>
        <v>127</v>
      </c>
      <c r="BN108" s="191">
        <f t="shared" ca="1" si="40"/>
        <v>127</v>
      </c>
      <c r="BO108" s="188">
        <f t="shared" ca="1" si="34"/>
        <v>127</v>
      </c>
      <c r="BP108" s="188" t="str">
        <f t="shared" si="6"/>
        <v>1</v>
      </c>
      <c r="BQ108" s="188" t="str">
        <f t="shared" ca="1" si="41"/>
        <v/>
      </c>
      <c r="BR108" s="181" t="str">
        <f t="shared" ca="1" si="44"/>
        <v/>
      </c>
      <c r="BT108" s="190" t="str">
        <f>IFERROR(IF(INDEX(Program_01!$BZ:$BZ,MATCH($B108,Program_01!$A:$A,0))=DATE(1900,1,0),"",INDEX(Program_01!$BZ:$BZ,MATCH($B108,Program_01!$A:$A,0))),"")</f>
        <v/>
      </c>
      <c r="BU108" s="182" t="str">
        <f t="shared" ca="1" si="48"/>
        <v/>
      </c>
      <c r="BV108" s="188" t="str">
        <f t="shared" si="35"/>
        <v/>
      </c>
      <c r="BW108" s="188" t="str">
        <f t="shared" si="8"/>
        <v/>
      </c>
      <c r="BX108" s="188" t="str">
        <f t="shared" ca="1" si="36"/>
        <v/>
      </c>
      <c r="BY108" s="181" t="str">
        <f t="shared" ca="1" si="45"/>
        <v/>
      </c>
      <c r="CA108" s="192" t="str">
        <f t="shared" si="49"/>
        <v>Y</v>
      </c>
      <c r="CB108" s="192" t="str">
        <f t="shared" si="50"/>
        <v>N</v>
      </c>
      <c r="CC108" s="193">
        <f>IFERROR(INDEX(Program_01!$CE:$CE,MATCH($B108,Program_01!$A:$A,0)),"")</f>
        <v>45913</v>
      </c>
      <c r="CD108" s="193">
        <f t="shared" si="31"/>
        <v>45913</v>
      </c>
      <c r="CG108" s="194">
        <f>IFERROR(INDEX(Program_01!$AT:$AT,MATCH($B108,Program_01!$A:$A,0)),"")</f>
        <v>0</v>
      </c>
      <c r="CH108" s="194">
        <f>IFERROR(INDEX(Program_01!$AX:$AX,MATCH($B108,Program_01!$A:$A,0)),"")</f>
        <v>0</v>
      </c>
    </row>
    <row r="109" spans="1:86" s="187" customFormat="1" ht="68">
      <c r="A109" s="174" t="s">
        <v>1</v>
      </c>
      <c r="B109" s="175">
        <f t="shared" si="42"/>
        <v>91</v>
      </c>
      <c r="C109" s="176" t="str">
        <f>IFERROR(INDEX(Program_01!$B:$B,MATCH($B109,Program_01!$A:$A,0)),"")</f>
        <v>FULL TIA EAR</v>
      </c>
      <c r="D109" s="176" t="str">
        <f>IFERROR(INDEX(Program_01!$D:$D,MATCH($B109,Program_01!$A:$A,0)),"")</f>
        <v>1TB01002C07</v>
      </c>
      <c r="E109" s="176" t="str">
        <f>IFERROR(INDEX(Program_01!$E:$E,MATCH($B109,Program_01!$A:$A,0)),"")</f>
        <v>1.TB.01.002.99</v>
      </c>
      <c r="F109" s="176" t="str">
        <f>IFERROR(INDEX(Program_01!$F:$F,MATCH($B109,Program_01!$A:$A,0)),"")</f>
        <v>Marina Lifestyle Hotel &amp; Village</v>
      </c>
      <c r="G109" s="176" t="str">
        <f>IFERROR(INDEX(Program_01!$G:$G,MATCH($B109,Program_01!$A:$A,0)),"")</f>
        <v>Kitchen &amp; Laundry Works for Marina Lifestyle Hotel</v>
      </c>
      <c r="H109" s="176" t="str">
        <f>IFERROR(INDEX(Program_01!$H:$H,MATCH($B109,Program_01!$A:$A,0)),"")</f>
        <v>Abdulaziz Al Raqtan and Partners Company for Trading and Industry Company</v>
      </c>
      <c r="I109" s="176" t="str">
        <f t="shared" si="37"/>
        <v>EOT</v>
      </c>
      <c r="J109" s="176">
        <f>IFERROR(INDEX(Program_01!$I:$I,MATCH($B109,Program_01!$A:$A,0)),"")</f>
        <v>1</v>
      </c>
      <c r="K109" s="176">
        <f>IFERROR(INDEX(Program_01!$J:$J,MATCH($B109,Program_01!$A:$A,0)),"")</f>
        <v>0</v>
      </c>
      <c r="L109" s="176">
        <f>IFERROR(INDEX(Program_01!$K:$K,MATCH($B109,Program_01!$A:$A,0)),"")</f>
        <v>0</v>
      </c>
      <c r="M109" s="176">
        <f>IFERROR(INDEX(Program_01!$L:$L,MATCH($B109,Program_01!$A:$A,0)),"")</f>
        <v>0</v>
      </c>
      <c r="N109" s="176">
        <f>IFERROR(INDEX(Program_01!$L:$L,MATCH($B109,Program_01!$A:$A,0)),"")</f>
        <v>0</v>
      </c>
      <c r="O109" s="176">
        <f>IFERROR(INDEX(Program_01!$N:$N,MATCH($B109,Program_01!$A:$A,0)),"")</f>
        <v>0</v>
      </c>
      <c r="P109" s="178"/>
      <c r="Q109" s="179" t="str">
        <f>IFERROR(INDEX(Program_01!$C:$C,MATCH($B109,Program_01!$A:$A,0)),"")</f>
        <v>Extension of Time Claim No 1 (DEOT)</v>
      </c>
      <c r="R109" s="176" t="str">
        <f>IFERROR(INDEX(Program_01!$V:$V,MATCH($B109,Program_01!$A:$A,0)),"")</f>
        <v>Start is the date of the email from Planning where they decided to issue a DEOT</v>
      </c>
      <c r="S109" s="180">
        <f>IFERROR(INDEX(Program_01!$W:$W,MATCH($B109,Program_01!$A:$A,0)),"")</f>
        <v>45866</v>
      </c>
      <c r="T109" s="178"/>
      <c r="U109" s="176">
        <f>IFERROR(INDEX(Program_01!$Z:$Z,MATCH($B109,Program_01!$A:$A,0)),"")</f>
        <v>0</v>
      </c>
      <c r="V109" s="181" t="str">
        <f>IFERROR(INDEX(Program_01!$AA:$AA,MATCH($B109,Program_01!$A:$A,0)),"")</f>
        <v>N/A</v>
      </c>
      <c r="W109" s="182" t="str">
        <f t="shared" ca="1" si="0"/>
        <v/>
      </c>
      <c r="X109" s="51"/>
      <c r="Y109" s="179">
        <f>IFERROR(INDEX(Program_01!$BD:$BD,MATCH($B109,Program_01!$A:$A,0)),"")</f>
        <v>0</v>
      </c>
      <c r="Z109" s="51"/>
      <c r="AA109" s="183" t="str">
        <f>IFERROR(IF((INDEX(Program_01!$AD:$AD,MATCH($B109,Program_01!$A:$A,0))=""),INDEX(Program_01!$V:$V,MATCH($B109,Program_01!$A:$A,0)),INDEX(Program_01!$AD:$AD,MATCH($B109,Program_01!$A:$A,0))),"")</f>
        <v>Start is the date of the email from Planning where they decided to issue a DEOT</v>
      </c>
      <c r="AB109" s="147">
        <f>IFERROR(IF((INDEX(Program_01!$AE:$AE,MATCH($B109,Program_01!$A:$A,0))=""),INDEX(Program_01!$W:$W,MATCH($B109,Program_01!$A:$A,0)),INDEX(Program_01!$AE:$AE,MATCH($B109,Program_01!$A:$A,0))),"")</f>
        <v>45866</v>
      </c>
      <c r="AC109" s="183" t="str">
        <f>IFERROR(IF($I109="EOT",INDEX(Program_01!$AN:$AN,MATCH($B109,Program_01!$A:$A,0)),INDEX(Program_01!$AY:$AY,MATCH($B109,Program_01!$A:$A,0))),"")</f>
        <v>1TB01002-002C07-AMA-EMI-PM-0001 issued on 22 May 25</v>
      </c>
      <c r="AD109" s="181">
        <f>IFERROR(IF($I109="EOT",INDEX(Program_01!$AO:$AO,MATCH($B109,Program_01!$A:$A,0)),INDEX(Program_01!$AZ:$AZ,MATCH($B109,Program_01!$A:$A,0))),"")</f>
        <v>45896</v>
      </c>
      <c r="AE109" s="51"/>
      <c r="AF109" s="183"/>
      <c r="AG109" s="181"/>
      <c r="AH109" s="183">
        <f>IF(OR($D109="",$AS109="VO Issued",$AS109="Open"),"",IF(OR($AC109="Rejected",$AC109="Superseded",$AC109="Dealt Separately"),$AC109,IF($I109="EOT",INDEX(Program_01!$AR:$AR,MATCH($B109,Program_01!$A:$A,0)),INDEX(Program_01!$BB:$BB,MATCH($B109,Program_01!$A:$A,0)))))</f>
        <v>0</v>
      </c>
      <c r="AI109" s="181">
        <f>IF(OR($A109="",$B109="",$I109="",$AS109="VO Issued",$AS109="Open"),"",IF(OR($AD109="N/A"),$AD109,IF($I109="EOT",INDEX(Program_01!$AS:$AS,MATCH($B109,Program_01!$A:$A,0)),INDEX(Program_01!$BC:$BC,MATCH($B109,Program_01!$A:$A,0)))))</f>
        <v>0</v>
      </c>
      <c r="AJ109" s="183">
        <f>IF(OR($D109="",$I109="",$AS109="Determination Issued",$AS109="Rejected",$AS109="Open"),"",IF(OR($AH109="Rejected",$AH109="Dealt Separately",$AH109="Superseded",$AH109="Withdrawn"),"N/A",IF($I109="EOT",INDEX(Program_01!AR:AR,MATCH($B109,Program_01!A:A,0)),INDEX(Program_01!BB:BB,MATCH($B109,Program_01!A:A,0)))))</f>
        <v>0</v>
      </c>
      <c r="AK109" s="181">
        <f>IF(OR($A109="",$B109="",$I109="",$AS109="Determination Issued",$AS109="Rejected",$AS109="Open"),"",IF($AJ109="N/A","N/A",IF($I109="EOT",INDEX(Program_01!AS:AS,MATCH($B109,Program_01!A:A,0)),INDEX(Program_01!BC:BC,MATCH($B109,Program_01!A:A,0)))))</f>
        <v>0</v>
      </c>
      <c r="AL109" s="51"/>
      <c r="AM109" s="184">
        <f>IFERROR(INDEX(Program_01!$BT:$BT,MATCH($B109,Program_01!$A:$A,0)),"")</f>
        <v>0</v>
      </c>
      <c r="AN109" s="184">
        <f>IFERROR(INDEX(Program_01!$BU:$BU,MATCH($B109,Program_01!$A:$A,0)),"")</f>
        <v>0</v>
      </c>
      <c r="AO109" s="184">
        <f>IFERROR(INDEX(Program_01!$BV:$BV,MATCH($B109,Program_01!$A:$A,0)),"")</f>
        <v>0</v>
      </c>
      <c r="AP109" s="51" t="str">
        <f t="shared" si="46"/>
        <v/>
      </c>
      <c r="AQ109" s="184" t="str">
        <f>IFERROR(INDEX(Program_01!$BN:$BN,MATCH($B109,Program_01!$A:$A,0)),"")</f>
        <v>Discretionary EOT / EI Issued</v>
      </c>
      <c r="AR109" s="184" t="str">
        <f>IFERROR(INDEX(Program_01!$BO:$BO,MATCH($B109,Program_01!$A:$A,0)),"")</f>
        <v>Not Applicable</v>
      </c>
      <c r="AS109" s="184" t="str">
        <f>IFERROR(INDEX(Program_01!$BP:$BP,MATCH($B109,Program_01!$A:$A,0)),"")</f>
        <v>EI Issued</v>
      </c>
      <c r="AT109" s="185" t="str">
        <f>IFERROR(INDEX(Program_01!$BQ:$BQ,MATCH($B109,Program_01!$A:$A,0)),"")</f>
        <v>Closed</v>
      </c>
      <c r="AU109" s="179" t="str">
        <f>IFERROR(INDEX(Program_01!$BR:$BR,MATCH($B109,Program_01!$A:$A,0)),"")</f>
        <v>DEOT Assessment is based on the impact of Engineering delays and Additional scope of works. This EOT is subject to Discretionary EOT route
28 Sep 25: issuance of this DEOT was not reported to claims team on the same date, hence this is entered late in to this tracker</v>
      </c>
      <c r="AV109" s="186" t="str">
        <f t="shared" si="32"/>
        <v/>
      </c>
      <c r="AW109" s="186" t="str">
        <f t="shared" si="47"/>
        <v>CLOSED</v>
      </c>
      <c r="AX109" s="186" t="str">
        <f t="shared" si="33"/>
        <v>CLOSED</v>
      </c>
      <c r="AY109" s="181">
        <f t="shared" si="38"/>
        <v>45866</v>
      </c>
      <c r="AZ109" s="181">
        <f t="shared" si="43"/>
        <v>45896</v>
      </c>
      <c r="BA109" s="181">
        <f t="shared" si="4"/>
        <v>0</v>
      </c>
      <c r="BC109" s="181">
        <f>IFERROR(INDEX(Program_01!BF:BF,MATCH($B109,Program_01!$A:$A,0)),"")</f>
        <v>45866</v>
      </c>
      <c r="BD109" s="188" t="str">
        <f ca="1">IFERROR(INDEX(Program_01!BG:BG,MATCH($B109,Program_01!$A:$A,0)),"")</f>
        <v>N/A</v>
      </c>
      <c r="BE109" s="181">
        <f>IFERROR(INDEX(Program_01!BH:BH,MATCH($B109,Program_01!$A:$A,0)),"")</f>
        <v>0</v>
      </c>
      <c r="BF109" s="189">
        <f ca="1">IFERROR(INDEX(Program_01!BI:BI,MATCH($B109,Program_01!$A:$A,0)),"")</f>
        <v>0</v>
      </c>
      <c r="BG109" s="181">
        <f>IFERROR(INDEX(Program_01!BJ:BJ,MATCH($B109,Program_01!$A:$A,0)),"")</f>
        <v>0</v>
      </c>
      <c r="BH109" s="189">
        <f ca="1">IFERROR(INDEX(Program_01!BK:BK,MATCH($B109,Program_01!$A:$A,0)),"")</f>
        <v>0</v>
      </c>
      <c r="BI109" s="181">
        <f>IFERROR(INDEX(Program_01!BL:BL,MATCH($B109,Program_01!$A:$A,0)),"")</f>
        <v>0</v>
      </c>
      <c r="BK109" s="190" t="str">
        <f>IFERROR(IF(INDEX(Program_01!$BX:$BX,MATCH($B109,Program_01!$A:$A,0))=DATE(1900,1,0),"",INDEX(Program_01!$BX:$BX,MATCH($B109,Program_01!$A:$A,0))),"")</f>
        <v/>
      </c>
      <c r="BL109" s="190">
        <f>IFERROR(IF(INDEX(Program_01!$BY:$BY,MATCH($B109,Program_01!$A:$A,0))=DATE(1900,1,0),"",INDEX(Program_01!$BY:$BY,MATCH($B109,Program_01!$A:$A,0))),"")</f>
        <v>45896</v>
      </c>
      <c r="BM109" s="188">
        <f t="shared" ca="1" si="39"/>
        <v>30</v>
      </c>
      <c r="BN109" s="191">
        <f t="shared" ca="1" si="40"/>
        <v>0</v>
      </c>
      <c r="BO109" s="188" t="str">
        <f t="shared" si="34"/>
        <v/>
      </c>
      <c r="BP109" s="188" t="str">
        <f t="shared" si="6"/>
        <v>1</v>
      </c>
      <c r="BQ109" s="188" t="str">
        <f t="shared" ca="1" si="41"/>
        <v/>
      </c>
      <c r="BR109" s="181" t="str">
        <f t="shared" ca="1" si="44"/>
        <v/>
      </c>
      <c r="BT109" s="190" t="str">
        <f>IFERROR(IF(INDEX(Program_01!$BZ:$BZ,MATCH($B109,Program_01!$A:$A,0))=DATE(1900,1,0),"",INDEX(Program_01!$BZ:$BZ,MATCH($B109,Program_01!$A:$A,0))),"")</f>
        <v/>
      </c>
      <c r="BU109" s="182" t="str">
        <f t="shared" ca="1" si="48"/>
        <v/>
      </c>
      <c r="BV109" s="188" t="str">
        <f t="shared" si="35"/>
        <v/>
      </c>
      <c r="BW109" s="188" t="str">
        <f t="shared" si="8"/>
        <v>1</v>
      </c>
      <c r="BX109" s="188" t="str">
        <f t="shared" ca="1" si="36"/>
        <v/>
      </c>
      <c r="BY109" s="181" t="str">
        <f t="shared" ca="1" si="45"/>
        <v/>
      </c>
      <c r="CA109" s="192" t="str">
        <f t="shared" si="49"/>
        <v>N</v>
      </c>
      <c r="CB109" s="192" t="str">
        <f t="shared" si="50"/>
        <v>N</v>
      </c>
      <c r="CC109" s="193">
        <f>IFERROR(INDEX(Program_01!$CE:$CE,MATCH($B109,Program_01!$A:$A,0)),"")</f>
        <v>45895</v>
      </c>
      <c r="CD109" s="193">
        <f t="shared" si="31"/>
        <v>45895</v>
      </c>
      <c r="CG109" s="194">
        <f>IFERROR(INDEX(Program_01!$AT:$AT,MATCH($B109,Program_01!$A:$A,0)),"")</f>
        <v>0</v>
      </c>
      <c r="CH109" s="194">
        <f>IFERROR(INDEX(Program_01!$AX:$AX,MATCH($B109,Program_01!$A:$A,0)),"")</f>
        <v>0</v>
      </c>
    </row>
    <row r="110" spans="1:86" s="187" customFormat="1" ht="408.75" customHeight="1">
      <c r="A110" s="174" t="s">
        <v>1</v>
      </c>
      <c r="B110" s="175">
        <f t="shared" si="42"/>
        <v>92</v>
      </c>
      <c r="C110" s="176" t="str">
        <f>IFERROR(INDEX(Program_01!$B:$B,MATCH($B110,Program_01!$A:$A,0)),"")</f>
        <v>FULL TIA EAR</v>
      </c>
      <c r="D110" s="176" t="str">
        <f>IFERROR(INDEX(Program_01!$D:$D,MATCH($B110,Program_01!$A:$A,0)),"")</f>
        <v>1TB01009C25</v>
      </c>
      <c r="E110" s="176" t="str">
        <f>IFERROR(INDEX(Program_01!$E:$E,MATCH($B110,Program_01!$A:$A,0)),"")</f>
        <v>1.TB.01.009.01</v>
      </c>
      <c r="F110" s="176" t="str">
        <f>IFERROR(INDEX(Program_01!$F:$F,MATCH($B110,Program_01!$A:$A,0)),"")</f>
        <v>Marina Hotel 3</v>
      </c>
      <c r="G110" s="176" t="str">
        <f>IFERROR(INDEX(Program_01!$G:$G,MATCH($B110,Program_01!$A:$A,0)),"")</f>
        <v>Fit-Out Works Package for Marina Hotel 3</v>
      </c>
      <c r="H110" s="176" t="str">
        <f>IFERROR(INDEX(Program_01!$H:$H,MATCH($B110,Program_01!$A:$A,0)),"")</f>
        <v>SADEER Alarabia Company for Contracting W.L.L.</v>
      </c>
      <c r="I110" s="176" t="str">
        <f t="shared" si="37"/>
        <v>EOT</v>
      </c>
      <c r="J110" s="176">
        <f>IFERROR(INDEX(Program_01!$I:$I,MATCH($B110,Program_01!$A:$A,0)),"")</f>
        <v>1</v>
      </c>
      <c r="K110" s="176">
        <f>IFERROR(INDEX(Program_01!$J:$J,MATCH($B110,Program_01!$A:$A,0)),"")</f>
        <v>0</v>
      </c>
      <c r="L110" s="176">
        <f>IFERROR(INDEX(Program_01!$K:$K,MATCH($B110,Program_01!$A:$A,0)),"")</f>
        <v>0</v>
      </c>
      <c r="M110" s="176">
        <f>IFERROR(INDEX(Program_01!$L:$L,MATCH($B110,Program_01!$A:$A,0)),"")</f>
        <v>0</v>
      </c>
      <c r="N110" s="176">
        <f>IFERROR(INDEX(Program_01!$L:$L,MATCH($B110,Program_01!$A:$A,0)),"")</f>
        <v>0</v>
      </c>
      <c r="O110" s="176">
        <f>IFERROR(INDEX(Program_01!$N:$N,MATCH($B110,Program_01!$A:$A,0)),"")</f>
        <v>0</v>
      </c>
      <c r="P110" s="178"/>
      <c r="Q110" s="179" t="str">
        <f>IFERROR(INDEX(Program_01!$C:$C,MATCH($B110,Program_01!$A:$A,0)),"")</f>
        <v>Interim Extension of Time Request No. 01</v>
      </c>
      <c r="R110" s="176" t="str">
        <f>IFERROR(INDEX(Program_01!$V:$V,MATCH($B110,Program_01!$A:$A,0)),"")</f>
        <v>1TB01009-009C25-SDE-LTR-0032</v>
      </c>
      <c r="S110" s="180">
        <f>IFERROR(INDEX(Program_01!$W:$W,MATCH($B110,Program_01!$A:$A,0)),"")</f>
        <v>45917</v>
      </c>
      <c r="T110" s="178"/>
      <c r="U110" s="176" t="str">
        <f>IFERROR(INDEX(Program_01!$Z:$Z,MATCH($B110,Program_01!$A:$A,0)),"")</f>
        <v>AMA01009-GENCORR-005683</v>
      </c>
      <c r="V110" s="181">
        <f>IFERROR(INDEX(Program_01!$AA:$AA,MATCH($B110,Program_01!$A:$A,0)),"")</f>
        <v>45990</v>
      </c>
      <c r="W110" s="182">
        <f t="shared" ca="1" si="0"/>
        <v>73</v>
      </c>
      <c r="X110" s="51"/>
      <c r="Y110" s="179">
        <f>IFERROR(INDEX(Program_01!$BD:$BD,MATCH($B110,Program_01!$A:$A,0)),"")</f>
        <v>0</v>
      </c>
      <c r="Z110" s="51"/>
      <c r="AA110" s="183" t="str">
        <f>IFERROR(IF((INDEX(Program_01!$AD:$AD,MATCH($B110,Program_01!$A:$A,0))=""),INDEX(Program_01!$V:$V,MATCH($B110,Program_01!$A:$A,0)),INDEX(Program_01!$AD:$AD,MATCH($B110,Program_01!$A:$A,0))),"")</f>
        <v>1TB01009-009C25-SDE-LTR-0038 dated 27-11-2025
1TB01009-009C25-SDE-LTR-0049</v>
      </c>
      <c r="AB110" s="147">
        <f>IFERROR(IF((INDEX(Program_01!$AE:$AE,MATCH($B110,Program_01!$A:$A,0))=""),INDEX(Program_01!$W:$W,MATCH($B110,Program_01!$A:$A,0)),INDEX(Program_01!$AE:$AE,MATCH($B110,Program_01!$A:$A,0))),"")</f>
        <v>46058</v>
      </c>
      <c r="AC110" s="183">
        <f>IFERROR(IF($I110="EOT",INDEX(Program_01!$AN:$AN,MATCH($B110,Program_01!$A:$A,0)),INDEX(Program_01!$AY:$AY,MATCH($B110,Program_01!$A:$A,0))),"")</f>
        <v>0</v>
      </c>
      <c r="AD110" s="181">
        <f>IFERROR(IF($I110="EOT",INDEX(Program_01!$AO:$AO,MATCH($B110,Program_01!$A:$A,0)),INDEX(Program_01!$AZ:$AZ,MATCH($B110,Program_01!$A:$A,0))),"")</f>
        <v>0</v>
      </c>
      <c r="AE110" s="51"/>
      <c r="AF110" s="183"/>
      <c r="AG110" s="181"/>
      <c r="AH110" s="183" t="str">
        <f>IF(OR($D110="",$AS110="VO Issued",$AS110="Open"),"",IF(OR($AC110="Rejected",$AC110="Superseded",$AC110="Dealt Separately"),$AC110,IF($I110="EOT",INDEX(Program_01!$AR:$AR,MATCH($B110,Program_01!$A:$A,0)),INDEX(Program_01!$BB:$BB,MATCH($B110,Program_01!$A:$A,0)))))</f>
        <v/>
      </c>
      <c r="AI110" s="181" t="str">
        <f>IF(OR($A110="",$B110="",$I110="",$AS110="VO Issued",$AS110="Open"),"",IF(OR($AD110="N/A"),$AD110,IF($I110="EOT",INDEX(Program_01!$AS:$AS,MATCH($B110,Program_01!$A:$A,0)),INDEX(Program_01!$BC:$BC,MATCH($B110,Program_01!$A:$A,0)))))</f>
        <v/>
      </c>
      <c r="AJ110" s="183" t="str">
        <f>IF(OR($D110="",$I110="",$AS110="Determination Issued",$AS110="Rejected",$AS110="Open"),"",IF(OR($AH110="Rejected",$AH110="Dealt Separately",$AH110="Superseded",$AH110="Withdrawn"),"N/A",IF($I110="EOT",INDEX(Program_01!AR:AR,MATCH($B110,Program_01!A:A,0)),INDEX(Program_01!BB:BB,MATCH($B110,Program_01!A:A,0)))))</f>
        <v/>
      </c>
      <c r="AK110" s="181" t="str">
        <f>IF(OR($A110="",$B110="",$I110="",$AS110="Determination Issued",$AS110="Rejected",$AS110="Open"),"",IF($AJ110="N/A","N/A",IF($I110="EOT",INDEX(Program_01!AS:AS,MATCH($B110,Program_01!A:A,0)),INDEX(Program_01!BC:BC,MATCH($B110,Program_01!A:A,0)))))</f>
        <v/>
      </c>
      <c r="AL110" s="51"/>
      <c r="AM110" s="184" t="str">
        <f>IFERROR(INDEX(Program_01!$BT:$BT,MATCH($B110,Program_01!$A:$A,0)),"")</f>
        <v>Revise &amp; resubmit</v>
      </c>
      <c r="AN110" s="184">
        <f>IFERROR(INDEX(Program_01!$BU:$BU,MATCH($B110,Program_01!$A:$A,0)),"")</f>
        <v>0</v>
      </c>
      <c r="AO110" s="184">
        <f>IFERROR(INDEX(Program_01!$BV:$BV,MATCH($B110,Program_01!$A:$A,0)),"")</f>
        <v>0</v>
      </c>
      <c r="AP110" s="51" t="str">
        <f t="shared" si="46"/>
        <v/>
      </c>
      <c r="AQ110" s="184">
        <f>IFERROR(INDEX(Program_01!$BN:$BN,MATCH($B110,Program_01!$A:$A,0)),"")</f>
        <v>0</v>
      </c>
      <c r="AR110" s="184" t="str">
        <f>IFERROR(INDEX(Program_01!$BO:$BO,MATCH($B110,Program_01!$A:$A,0)),"")</f>
        <v>Pending</v>
      </c>
      <c r="AS110" s="184" t="str">
        <f>IFERROR(INDEX(Program_01!$BP:$BP,MATCH($B110,Program_01!$A:$A,0)),"")</f>
        <v>Open</v>
      </c>
      <c r="AT110" s="185" t="str">
        <f>IFERROR(INDEX(Program_01!$BQ:$BQ,MATCH($B110,Program_01!$A:$A,0)),"")</f>
        <v>Contractor</v>
      </c>
      <c r="AU110" s="179" t="str">
        <f>IFERROR(INDEX(Program_01!$BR:$BR,MATCH($B110,Program_01!$A:$A,0)),"")</f>
        <v>08 Feb 26: Contractor resubmitted the claim via 1TB01009-009C25-SDE-LTR-0049. However, Planning comments were not addressed. Initial response shall be issued by 20 Feb 26.  Comm to provide contractor ref
NE to discuss with BK
24 Feb 26: The Contractor's response ref.  1TB01009-009C25-SDE-LTR-0049 states that the claim submitted via 1TB01009-009C25-SDE-LTR-0038 dated 27-11-2025 contained requested documents. Planning comments not addressed, should respond by 20 Feb. VK: Response status missing
09 Mar 26: Target date for response 14 March 2026
06 Apr 26: Contractor's latest submission is under review. Target date is 10 May 26. 
20 Apr 26: Ditto
04 May 26: Ditto
18 May 26:  Target date moved to 30 May 26.
31 May 26: Target date deferred to 20 Jun 26.
04 Jun 26: Ditto
15 Jun 26:  Ditto
29 Jun 26:  commercial to submit EAR for claims review by 15 July 26
13 Jul 26: Contractor agreed to resubmit the claim shortly, commercial to follow up with a letter to confirm the same, Same confirmed via email AMA01009-GENCORR-006434
25 Jul 26: Contractor has confirmed to update and resubmit their claim with the latest cut-off date through GC SDE01009-GENCORR-000031 dated 25 Jul 26
10 Aug 26: Awaiting Contractor submission
24 Aug 26: Ditto
07 Sep 26: Ditto
21 Sep 26: Ditto</v>
      </c>
      <c r="AV110" s="186" t="str">
        <f t="shared" si="32"/>
        <v/>
      </c>
      <c r="AW110" s="186" t="str">
        <f t="shared" si="47"/>
        <v>OPEN</v>
      </c>
      <c r="AX110" s="186" t="str">
        <f t="shared" si="33"/>
        <v>OPEN</v>
      </c>
      <c r="AY110" s="181">
        <f t="shared" si="38"/>
        <v>46058</v>
      </c>
      <c r="AZ110" s="181" t="str">
        <f t="shared" si="43"/>
        <v/>
      </c>
      <c r="BA110" s="181" t="str">
        <f t="shared" si="4"/>
        <v/>
      </c>
      <c r="BC110" s="181">
        <f>IFERROR(INDEX(Program_01!BF:BF,MATCH($B110,Program_01!$A:$A,0)),"")</f>
        <v>46058</v>
      </c>
      <c r="BD110" s="188">
        <f ca="1">IFERROR(INDEX(Program_01!BG:BG,MATCH($B110,Program_01!$A:$A,0)),"")</f>
        <v>0</v>
      </c>
      <c r="BE110" s="181">
        <f>IFERROR(INDEX(Program_01!BH:BH,MATCH($B110,Program_01!$A:$A,0)),"")</f>
        <v>0</v>
      </c>
      <c r="BF110" s="189">
        <f ca="1">IFERROR(INDEX(Program_01!BI:BI,MATCH($B110,Program_01!$A:$A,0)),"")</f>
        <v>0</v>
      </c>
      <c r="BG110" s="181">
        <f>IFERROR(INDEX(Program_01!BJ:BJ,MATCH($B110,Program_01!$A:$A,0)),"")</f>
        <v>0</v>
      </c>
      <c r="BH110" s="189">
        <f ca="1">IFERROR(INDEX(Program_01!BK:BK,MATCH($B110,Program_01!$A:$A,0)),"")</f>
        <v>0</v>
      </c>
      <c r="BI110" s="181">
        <f>IFERROR(INDEX(Program_01!BL:BL,MATCH($B110,Program_01!$A:$A,0)),"")</f>
        <v>0</v>
      </c>
      <c r="BK110" s="190" t="str">
        <f>IFERROR(IF(INDEX(Program_01!$BX:$BX,MATCH($B110,Program_01!$A:$A,0))=DATE(1900,1,0),"",INDEX(Program_01!$BX:$BX,MATCH($B110,Program_01!$A:$A,0))),"")</f>
        <v/>
      </c>
      <c r="BL110" s="190" t="str">
        <f>IFERROR(IF(INDEX(Program_01!$BY:$BY,MATCH($B110,Program_01!$A:$A,0))=DATE(1900,1,0),"",INDEX(Program_01!$BY:$BY,MATCH($B110,Program_01!$A:$A,0))),"")</f>
        <v/>
      </c>
      <c r="BM110" s="188" t="str">
        <f t="shared" ca="1" si="39"/>
        <v/>
      </c>
      <c r="BN110" s="191">
        <f t="shared" ca="1" si="40"/>
        <v>0</v>
      </c>
      <c r="BO110" s="188" t="str">
        <f t="shared" si="34"/>
        <v/>
      </c>
      <c r="BP110" s="188" t="str">
        <f t="shared" si="6"/>
        <v/>
      </c>
      <c r="BQ110" s="188" t="str">
        <f t="shared" ca="1" si="41"/>
        <v/>
      </c>
      <c r="BR110" s="181" t="str">
        <f t="shared" ca="1" si="44"/>
        <v/>
      </c>
      <c r="BT110" s="190" t="str">
        <f>IFERROR(IF(INDEX(Program_01!$BZ:$BZ,MATCH($B110,Program_01!$A:$A,0))=DATE(1900,1,0),"",INDEX(Program_01!$BZ:$BZ,MATCH($B110,Program_01!$A:$A,0))),"")</f>
        <v/>
      </c>
      <c r="BU110" s="182" t="str">
        <f t="shared" ca="1" si="48"/>
        <v/>
      </c>
      <c r="BV110" s="188" t="str">
        <f t="shared" si="35"/>
        <v/>
      </c>
      <c r="BW110" s="188" t="str">
        <f t="shared" si="8"/>
        <v/>
      </c>
      <c r="BX110" s="188" t="str">
        <f t="shared" ca="1" si="36"/>
        <v/>
      </c>
      <c r="BY110" s="181" t="str">
        <f t="shared" ca="1" si="45"/>
        <v/>
      </c>
      <c r="CA110" s="192" t="str">
        <f t="shared" si="49"/>
        <v>N</v>
      </c>
      <c r="CB110" s="192" t="str">
        <f t="shared" si="50"/>
        <v>N</v>
      </c>
      <c r="CC110" s="193">
        <f>IFERROR(INDEX(Program_01!$CE:$CE,MATCH($B110,Program_01!$A:$A,0)),"")</f>
        <v>45936</v>
      </c>
      <c r="CD110" s="193">
        <f t="shared" si="31"/>
        <v>45936</v>
      </c>
      <c r="CG110" s="194">
        <f>IFERROR(INDEX(Program_01!$AT:$AT,MATCH($B110,Program_01!$A:$A,0)),"")</f>
        <v>0</v>
      </c>
      <c r="CH110" s="194">
        <f>IFERROR(INDEX(Program_01!$AX:$AX,MATCH($B110,Program_01!$A:$A,0)),"")</f>
        <v>0</v>
      </c>
    </row>
    <row r="111" spans="1:86" s="187" customFormat="1" ht="287.25" customHeight="1">
      <c r="A111" s="174" t="s">
        <v>1</v>
      </c>
      <c r="B111" s="175">
        <f t="shared" si="42"/>
        <v>93</v>
      </c>
      <c r="C111" s="176" t="str">
        <f>IFERROR(INDEX(Program_01!$B:$B,MATCH($B111,Program_01!$A:$A,0)),"")</f>
        <v>FULL TIA EAR</v>
      </c>
      <c r="D111" s="176" t="str">
        <f>IFERROR(INDEX(Program_01!$D:$D,MATCH($B111,Program_01!$A:$A,0)),"")</f>
        <v>1TB01002C01</v>
      </c>
      <c r="E111" s="176" t="str">
        <f>IFERROR(INDEX(Program_01!$E:$E,MATCH($B111,Program_01!$A:$A,0)),"")</f>
        <v>1.TB.01.002.01</v>
      </c>
      <c r="F111" s="176" t="str">
        <f>IFERROR(INDEX(Program_01!$F:$F,MATCH($B111,Program_01!$A:$A,0)),"")</f>
        <v>Marina Lifestyle Hotel &amp; Village</v>
      </c>
      <c r="G111" s="176" t="str">
        <f>IFERROR(INDEX(Program_01!$G:$G,MATCH($B111,Program_01!$A:$A,0)),"")</f>
        <v>Triple Bay Wide Ground Improvement</v>
      </c>
      <c r="H111" s="176" t="str">
        <f>IFERROR(INDEX(Program_01!$H:$H,MATCH($B111,Program_01!$A:$A,0)),"")</f>
        <v>Soil Improvement Contracting</v>
      </c>
      <c r="I111" s="176" t="str">
        <f t="shared" si="37"/>
        <v>EOT</v>
      </c>
      <c r="J111" s="176">
        <f>IFERROR(INDEX(Program_01!$I:$I,MATCH($B111,Program_01!$A:$A,0)),"")</f>
        <v>1</v>
      </c>
      <c r="K111" s="176">
        <f>IFERROR(INDEX(Program_01!$J:$J,MATCH($B111,Program_01!$A:$A,0)),"")</f>
        <v>0</v>
      </c>
      <c r="L111" s="176">
        <f>IFERROR(INDEX(Program_01!$K:$K,MATCH($B111,Program_01!$A:$A,0)),"")</f>
        <v>0</v>
      </c>
      <c r="M111" s="176">
        <f>IFERROR(INDEX(Program_01!$L:$L,MATCH($B111,Program_01!$A:$A,0)),"")</f>
        <v>0</v>
      </c>
      <c r="N111" s="176">
        <f>IFERROR(INDEX(Program_01!$L:$L,MATCH($B111,Program_01!$A:$A,0)),"")</f>
        <v>0</v>
      </c>
      <c r="O111" s="176">
        <f>IFERROR(INDEX(Program_01!$N:$N,MATCH($B111,Program_01!$A:$A,0)),"")</f>
        <v>0</v>
      </c>
      <c r="P111" s="178"/>
      <c r="Q111" s="179" t="str">
        <f>IFERROR(INDEX(Program_01!$C:$C,MATCH($B111,Program_01!$A:$A,0)),"")</f>
        <v>TB-04.3 Marina Hotel Closeout &amp; Final EOT</v>
      </c>
      <c r="R111" s="176" t="str">
        <f>IFERROR(INDEX(Program_01!$V:$V,MATCH($B111,Program_01!$A:$A,0)),"")</f>
        <v xml:space="preserve">1TB04004-004C03-SIC-LTR-0120 </v>
      </c>
      <c r="S111" s="180">
        <f>IFERROR(INDEX(Program_01!$W:$W,MATCH($B111,Program_01!$A:$A,0)),"")</f>
        <v>45922</v>
      </c>
      <c r="T111" s="178"/>
      <c r="U111" s="176" t="str">
        <f>IFERROR(INDEX(Program_01!$Z:$Z,MATCH($B111,Program_01!$A:$A,0)),"")</f>
        <v>AMA04004-GENCORR-000772</v>
      </c>
      <c r="V111" s="181">
        <f>IFERROR(INDEX(Program_01!$AA:$AA,MATCH($B111,Program_01!$A:$A,0)),"")</f>
        <v>45922</v>
      </c>
      <c r="W111" s="182">
        <f t="shared" ca="1" si="0"/>
        <v>0</v>
      </c>
      <c r="X111" s="51"/>
      <c r="Y111" s="179">
        <f>IFERROR(INDEX(Program_01!$BD:$BD,MATCH($B111,Program_01!$A:$A,0)),"")</f>
        <v>0</v>
      </c>
      <c r="Z111" s="51"/>
      <c r="AA111" s="183" t="str">
        <f>IFERROR(IF((INDEX(Program_01!$AD:$AD,MATCH($B111,Program_01!$A:$A,0))=""),INDEX(Program_01!$V:$V,MATCH($B111,Program_01!$A:$A,0)),INDEX(Program_01!$AD:$AD,MATCH($B111,Program_01!$A:$A,0))),"")</f>
        <v xml:space="preserve">1TB04004-004C03-SIC-LTR-0120 </v>
      </c>
      <c r="AB111" s="147">
        <f>IFERROR(IF((INDEX(Program_01!$AE:$AE,MATCH($B111,Program_01!$A:$A,0))=""),INDEX(Program_01!$W:$W,MATCH($B111,Program_01!$A:$A,0)),INDEX(Program_01!$AE:$AE,MATCH($B111,Program_01!$A:$A,0))),"")</f>
        <v>45922</v>
      </c>
      <c r="AC111" s="183" t="str">
        <f>IFERROR(IF($I111="EOT",INDEX(Program_01!$AN:$AN,MATCH($B111,Program_01!$A:$A,0)),INDEX(Program_01!$AY:$AY,MATCH($B111,Program_01!$A:$A,0))),"")</f>
        <v>N/A</v>
      </c>
      <c r="AD111" s="181" t="str">
        <f>IFERROR(IF($I111="EOT",INDEX(Program_01!$AO:$AO,MATCH($B111,Program_01!$A:$A,0)),INDEX(Program_01!$AZ:$AZ,MATCH($B111,Program_01!$A:$A,0))),"")</f>
        <v>N/A</v>
      </c>
      <c r="AE111" s="51"/>
      <c r="AF111" s="183"/>
      <c r="AG111" s="181"/>
      <c r="AH111" s="183">
        <f>IF(OR($D111="",$AS111="VO Issued",$AS111="Open"),"",IF(OR($AC111="Rejected",$AC111="Superseded",$AC111="Dealt Separately"),$AC111,IF($I111="EOT",INDEX(Program_01!$AR:$AR,MATCH($B111,Program_01!$A:$A,0)),INDEX(Program_01!$BB:$BB,MATCH($B111,Program_01!$A:$A,0)))))</f>
        <v>0</v>
      </c>
      <c r="AI111" s="181" t="str">
        <f>IF(OR($A111="",$B111="",$I111="",$AS111="VO Issued",$AS111="Open"),"",IF(OR($AD111="N/A"),$AD111,IF($I111="EOT",INDEX(Program_01!$AS:$AS,MATCH($B111,Program_01!$A:$A,0)),INDEX(Program_01!$BC:$BC,MATCH($B111,Program_01!$A:$A,0)))))</f>
        <v>N/A</v>
      </c>
      <c r="AJ111" s="183">
        <f>IF(OR($D111="",$I111="",$AS111="Determination Issued",$AS111="Rejected",$AS111="Open"),"",IF(OR($AH111="Rejected",$AH111="Dealt Separately",$AH111="Superseded",$AH111="Withdrawn"),"N/A",IF($I111="EOT",INDEX(Program_01!AR:AR,MATCH($B111,Program_01!A:A,0)),INDEX(Program_01!BB:BB,MATCH($B111,Program_01!A:A,0)))))</f>
        <v>0</v>
      </c>
      <c r="AK111" s="181">
        <f>IF(OR($A111="",$B111="",$I111="",$AS111="Determination Issued",$AS111="Rejected",$AS111="Open"),"",IF($AJ111="N/A","N/A",IF($I111="EOT",INDEX(Program_01!AS:AS,MATCH($B111,Program_01!A:A,0)),INDEX(Program_01!BC:BC,MATCH($B111,Program_01!A:A,0)))))</f>
        <v>0</v>
      </c>
      <c r="AL111" s="51"/>
      <c r="AM111" s="184">
        <f>IFERROR(INDEX(Program_01!$BT:$BT,MATCH($B111,Program_01!$A:$A,0)),"")</f>
        <v>0</v>
      </c>
      <c r="AN111" s="184">
        <f>IFERROR(INDEX(Program_01!$BU:$BU,MATCH($B111,Program_01!$A:$A,0)),"")</f>
        <v>0</v>
      </c>
      <c r="AO111" s="184">
        <f>IFERROR(INDEX(Program_01!$BV:$BV,MATCH($B111,Program_01!$A:$A,0)),"")</f>
        <v>0</v>
      </c>
      <c r="AP111" s="51" t="str">
        <f t="shared" si="46"/>
        <v/>
      </c>
      <c r="AQ111" s="184">
        <f>IFERROR(INDEX(Program_01!$BN:$BN,MATCH($B111,Program_01!$A:$A,0)),"")</f>
        <v>0</v>
      </c>
      <c r="AR111" s="184" t="str">
        <f>IFERROR(INDEX(Program_01!$BO:$BO,MATCH($B111,Program_01!$A:$A,0)),"")</f>
        <v>Not Applicable</v>
      </c>
      <c r="AS111" s="184" t="str">
        <f>IFERROR(INDEX(Program_01!$BP:$BP,MATCH($B111,Program_01!$A:$A,0)),"")</f>
        <v>Dealt Separately</v>
      </c>
      <c r="AT111" s="185" t="str">
        <f>IFERROR(INDEX(Program_01!$BQ:$BQ,MATCH($B111,Program_01!$A:$A,0)),"")</f>
        <v>Closed</v>
      </c>
      <c r="AU111" s="179" t="str">
        <f>IFERROR(INDEX(Program_01!$BR:$BR,MATCH($B111,Program_01!$A:$A,0)),"")</f>
        <v xml:space="preserve">5 Oct 25: The Contractor submitted final claim to cover the time between EOT 06 (item 03 in Claims Tracker ) and ToC: 1TB04004-004C03-SIC-LTR-0120  on 08 September 2025.  Planning comments issued through General Correspondance on Aconex AMA04004-GENCORR-000772 on 22 September 2025.  The Contractor requested XER files for EAR EOT 06  on 30 Sept 25. The files were provided by Employer through email on a same day.  Commercial to formailised EOT responset through letter, target date 14 October 2025. 
18 Oct 25:  EAR issued to the P1 claim team on 14 Oct 25 for review. BK's initial review conducted, need a bit of rework, target date 26 October 25. 
01 Nov 25:  draft EAR  issued on 29-Oct-25 to Claims for review.
03 Nov 25: under review with claims team by 13 Nov 25
17 Nov 25: new direction, RFA to close SIC FA accross TB will wrap up all EOTs. This claim to be closed once FA is agreed?
01 Dec 25: Ditto
10 Jan '26 : No further direction received. Claims team liaise with the TB Wide Claims associated with SIC
25 Jan 26: Ditto
27 Jan 26: draft RFA for LD waiver issued to commercial leads for processing
07 Feb 26: An RFA for LD waiver is under circulation. Initiated by RSG Rosewood Commercial Team  (SIC Administrator)
09 Feb 26: Ditto
23 Feb 26: Ditto, AZAM/Poloko to update 
24 Feb 26: RFA finalised for permanent waiver of delay damages to the Contractoracross all programms </v>
      </c>
      <c r="AV111" s="186" t="str">
        <f t="shared" si="32"/>
        <v/>
      </c>
      <c r="AW111" s="186" t="str">
        <f t="shared" si="47"/>
        <v>CLOSED</v>
      </c>
      <c r="AX111" s="186" t="str">
        <f t="shared" si="33"/>
        <v>CLOSED</v>
      </c>
      <c r="AY111" s="181">
        <f t="shared" si="38"/>
        <v>45922</v>
      </c>
      <c r="AZ111" s="181" t="str">
        <f t="shared" si="43"/>
        <v>N/A</v>
      </c>
      <c r="BA111" s="181" t="str">
        <f t="shared" si="4"/>
        <v>N/A</v>
      </c>
      <c r="BC111" s="181">
        <f>IFERROR(INDEX(Program_01!BF:BF,MATCH($B111,Program_01!$A:$A,0)),"")</f>
        <v>45922</v>
      </c>
      <c r="BD111" s="188" t="str">
        <f ca="1">IFERROR(INDEX(Program_01!BG:BG,MATCH($B111,Program_01!$A:$A,0)),"")</f>
        <v>N/A</v>
      </c>
      <c r="BE111" s="181">
        <f>IFERROR(INDEX(Program_01!BH:BH,MATCH($B111,Program_01!$A:$A,0)),"")</f>
        <v>0</v>
      </c>
      <c r="BF111" s="189">
        <f ca="1">IFERROR(INDEX(Program_01!BI:BI,MATCH($B111,Program_01!$A:$A,0)),"")</f>
        <v>0</v>
      </c>
      <c r="BG111" s="181">
        <f>IFERROR(INDEX(Program_01!BJ:BJ,MATCH($B111,Program_01!$A:$A,0)),"")</f>
        <v>0</v>
      </c>
      <c r="BH111" s="189">
        <f ca="1">IFERROR(INDEX(Program_01!BK:BK,MATCH($B111,Program_01!$A:$A,0)),"")</f>
        <v>0</v>
      </c>
      <c r="BI111" s="181">
        <f>IFERROR(INDEX(Program_01!BL:BL,MATCH($B111,Program_01!$A:$A,0)),"")</f>
        <v>0</v>
      </c>
      <c r="BK111" s="190">
        <f>IFERROR(IF(INDEX(Program_01!$BX:$BX,MATCH($B111,Program_01!$A:$A,0))=DATE(1900,1,0),"",INDEX(Program_01!$BX:$BX,MATCH($B111,Program_01!$A:$A,0))),"")</f>
        <v>46054</v>
      </c>
      <c r="BL111" s="190" t="str">
        <f>IFERROR(IF(INDEX(Program_01!$BY:$BY,MATCH($B111,Program_01!$A:$A,0))=DATE(1900,1,0),"",INDEX(Program_01!$BY:$BY,MATCH($B111,Program_01!$A:$A,0))),"")</f>
        <v/>
      </c>
      <c r="BM111" s="188" t="str">
        <f t="shared" ca="1" si="39"/>
        <v/>
      </c>
      <c r="BN111" s="191">
        <f t="shared" ca="1" si="40"/>
        <v>0</v>
      </c>
      <c r="BO111" s="188" t="str">
        <f t="shared" si="34"/>
        <v/>
      </c>
      <c r="BP111" s="188" t="str">
        <f t="shared" si="6"/>
        <v>1</v>
      </c>
      <c r="BQ111" s="188" t="str">
        <f t="shared" ca="1" si="41"/>
        <v/>
      </c>
      <c r="BR111" s="181" t="str">
        <f t="shared" ca="1" si="44"/>
        <v/>
      </c>
      <c r="BT111" s="190" t="str">
        <f>IFERROR(IF(INDEX(Program_01!$BZ:$BZ,MATCH($B111,Program_01!$A:$A,0))=DATE(1900,1,0),"",INDEX(Program_01!$BZ:$BZ,MATCH($B111,Program_01!$A:$A,0))),"")</f>
        <v/>
      </c>
      <c r="BU111" s="182" t="str">
        <f t="shared" ca="1" si="48"/>
        <v/>
      </c>
      <c r="BV111" s="188" t="str">
        <f t="shared" si="35"/>
        <v/>
      </c>
      <c r="BW111" s="188" t="str">
        <f t="shared" si="8"/>
        <v>1</v>
      </c>
      <c r="BX111" s="188" t="str">
        <f t="shared" ca="1" si="36"/>
        <v/>
      </c>
      <c r="BY111" s="181" t="str">
        <f t="shared" ca="1" si="45"/>
        <v/>
      </c>
      <c r="CA111" s="192" t="str">
        <f t="shared" si="49"/>
        <v>N</v>
      </c>
      <c r="CB111" s="192" t="str">
        <f t="shared" si="50"/>
        <v>N</v>
      </c>
      <c r="CC111" s="193">
        <f>IFERROR(INDEX(Program_01!$CE:$CE,MATCH($B111,Program_01!$A:$A,0)),"")</f>
        <v>45936</v>
      </c>
      <c r="CD111" s="193">
        <f t="shared" si="31"/>
        <v>45936</v>
      </c>
      <c r="CG111" s="194">
        <f>IFERROR(INDEX(Program_01!$AT:$AT,MATCH($B111,Program_01!$A:$A,0)),"")</f>
        <v>0</v>
      </c>
      <c r="CH111" s="194">
        <f>IFERROR(INDEX(Program_01!$AX:$AX,MATCH($B111,Program_01!$A:$A,0)),"")</f>
        <v>0</v>
      </c>
    </row>
    <row r="112" spans="1:86" s="187" customFormat="1" ht="409.5" customHeight="1">
      <c r="A112" s="174" t="s">
        <v>1</v>
      </c>
      <c r="B112" s="199">
        <f t="shared" si="42"/>
        <v>94</v>
      </c>
      <c r="C112" s="176" t="str">
        <f>IFERROR(INDEX(Program_01!$B:$B,MATCH($B112,Program_01!$A:$A,0)),"")</f>
        <v>FULL TIA EAR</v>
      </c>
      <c r="D112" s="176" t="str">
        <f>IFERROR(INDEX(Program_01!$D:$D,MATCH($B112,Program_01!$A:$A,0)),"")</f>
        <v>1TB01009C09</v>
      </c>
      <c r="E112" s="176" t="str">
        <f>IFERROR(INDEX(Program_01!$E:$E,MATCH($B112,Program_01!$A:$A,0)),"")</f>
        <v>1.TB.01.009.01</v>
      </c>
      <c r="F112" s="176" t="str">
        <f>IFERROR(INDEX(Program_01!$F:$F,MATCH($B112,Program_01!$A:$A,0)),"")</f>
        <v>Marina Hotel 3</v>
      </c>
      <c r="G112" s="176" t="str">
        <f>IFERROR(INDEX(Program_01!$G:$G,MATCH($B112,Program_01!$A:$A,0)),"")</f>
        <v>AMAALA Triple Bay – Marina Hotel 3 – Guest Rooms &amp; Corridor Fit-Out Works Package.</v>
      </c>
      <c r="H112" s="176" t="str">
        <f>IFERROR(INDEX(Program_01!$H:$H,MATCH($B112,Program_01!$A:$A,0)),"")</f>
        <v>IMAR Overseas Saudi Arabia Company</v>
      </c>
      <c r="I112" s="176" t="str">
        <f t="shared" si="37"/>
        <v>EOT</v>
      </c>
      <c r="J112" s="176">
        <f>IFERROR(INDEX(Program_01!$I:$I,MATCH($B112,Program_01!$A:$A,0)),"")</f>
        <v>1</v>
      </c>
      <c r="K112" s="176">
        <f>IFERROR(INDEX(Program_01!$J:$J,MATCH($B112,Program_01!$A:$A,0)),"")</f>
        <v>0</v>
      </c>
      <c r="L112" s="176">
        <f>IFERROR(INDEX(Program_01!$K:$K,MATCH($B112,Program_01!$A:$A,0)),"")</f>
        <v>0</v>
      </c>
      <c r="M112" s="176">
        <f>IFERROR(INDEX(Program_01!$L:$L,MATCH($B112,Program_01!$A:$A,0)),"")</f>
        <v>0</v>
      </c>
      <c r="N112" s="176">
        <f>IFERROR(INDEX(Program_01!$L:$L,MATCH($B112,Program_01!$A:$A,0)),"")</f>
        <v>0</v>
      </c>
      <c r="O112" s="176">
        <f>IFERROR(INDEX(Program_01!$N:$N,MATCH($B112,Program_01!$A:$A,0)),"")</f>
        <v>0</v>
      </c>
      <c r="P112" s="178"/>
      <c r="Q112" s="179" t="str">
        <f>IFERROR(INDEX(Program_01!$C:$C,MATCH($B112,Program_01!$A:$A,0)),"")</f>
        <v>IMAR - Extension of Time - EOT 1 - Interim Assessment</v>
      </c>
      <c r="R112" s="176" t="str">
        <f>IFERROR(INDEX(Program_01!$V:$V,MATCH($B112,Program_01!$A:$A,0)),"")</f>
        <v>1TB01009-009C09-IMR-LTR-0069</v>
      </c>
      <c r="S112" s="180">
        <f>IFERROR(INDEX(Program_01!$W:$W,MATCH($B112,Program_01!$A:$A,0)),"")</f>
        <v>45910</v>
      </c>
      <c r="T112" s="178"/>
      <c r="U112" s="176" t="str">
        <f>IFERROR(INDEX(Program_01!$Z:$Z,MATCH($B112,Program_01!$A:$A,0)),"")</f>
        <v>AMA01009-GENCORR-005504</v>
      </c>
      <c r="V112" s="181">
        <f>IFERROR(INDEX(Program_01!$AA:$AA,MATCH($B112,Program_01!$A:$A,0)),"")</f>
        <v>45937</v>
      </c>
      <c r="W112" s="182">
        <f t="shared" ca="1" si="0"/>
        <v>27</v>
      </c>
      <c r="X112" s="51"/>
      <c r="Y112" s="179">
        <f>IFERROR(INDEX(Program_01!$BD:$BD,MATCH($B112,Program_01!$A:$A,0)),"")</f>
        <v>0</v>
      </c>
      <c r="Z112" s="51"/>
      <c r="AA112" s="183" t="str">
        <f>IFERROR(IF((INDEX(Program_01!$AD:$AD,MATCH($B112,Program_01!$A:$A,0))=""),INDEX(Program_01!$V:$V,MATCH($B112,Program_01!$A:$A,0)),INDEX(Program_01!$AD:$AD,MATCH($B112,Program_01!$A:$A,0))),"")</f>
        <v>1TB01009-009C09-IMR-LTR-0085 on 17 Nov 25
1TB01009-009C09-IMR-LTR-0114</v>
      </c>
      <c r="AB112" s="147">
        <f>IFERROR(IF((INDEX(Program_01!$AE:$AE,MATCH($B112,Program_01!$A:$A,0))=""),INDEX(Program_01!$W:$W,MATCH($B112,Program_01!$A:$A,0)),INDEX(Program_01!$AE:$AE,MATCH($B112,Program_01!$A:$A,0))),"")</f>
        <v>46109</v>
      </c>
      <c r="AC112" s="183" t="str">
        <f>IFERROR(IF($I112="EOT",INDEX(Program_01!$AN:$AN,MATCH($B112,Program_01!$A:$A,0)),INDEX(Program_01!$AY:$AY,MATCH($B112,Program_01!$A:$A,0))),"")</f>
        <v>WF-092960
1TB01009-009C09-AMA-RPT-PM-0001
AMA01009-WTRAN-265839 dated 06 Jul 26
EAR issued (Ref. 1TB01009-009C09-AMA-LTR-0102 dated 20 July 2026)</v>
      </c>
      <c r="AD112" s="181">
        <f>IFERROR(IF($I112="EOT",INDEX(Program_01!$AO:$AO,MATCH($B112,Program_01!$A:$A,0)),INDEX(Program_01!$AZ:$AZ,MATCH($B112,Program_01!$A:$A,0))),"")</f>
        <v>46216</v>
      </c>
      <c r="AE112" s="51"/>
      <c r="AF112" s="183"/>
      <c r="AG112" s="181"/>
      <c r="AH112" s="183" t="str">
        <f>IF(OR($D112="",$AS112="VO Issued",$AS112="Open"),"",IF(OR($AC112="Rejected",$AC112="Superseded",$AC112="Dealt Separately"),$AC112,IF($I112="EOT",INDEX(Program_01!$AR:$AR,MATCH($B112,Program_01!$A:$A,0)),INDEX(Program_01!$BB:$BB,MATCH($B112,Program_01!$A:$A,0)))))</f>
        <v/>
      </c>
      <c r="AI112" s="181" t="str">
        <f>IF(OR($A112="",$B112="",$I112="",$AS112="VO Issued",$AS112="Open"),"",IF(OR($AD112="N/A"),$AD112,IF($I112="EOT",INDEX(Program_01!$AS:$AS,MATCH($B112,Program_01!$A:$A,0)),INDEX(Program_01!$BC:$BC,MATCH($B112,Program_01!$A:$A,0)))))</f>
        <v/>
      </c>
      <c r="AJ112" s="183" t="str">
        <f>IF(OR($D112="",$I112="",$AS112="Determination Issued",$AS112="Rejected",$AS112="Open"),"",IF(OR($AH112="Rejected",$AH112="Dealt Separately",$AH112="Superseded",$AH112="Withdrawn"),"N/A",IF($I112="EOT",INDEX(Program_01!AR:AR,MATCH($B112,Program_01!A:A,0)),INDEX(Program_01!BB:BB,MATCH($B112,Program_01!A:A,0)))))</f>
        <v/>
      </c>
      <c r="AK112" s="181" t="str">
        <f>IF(OR($A112="",$B112="",$I112="",$AS112="Determination Issued",$AS112="Rejected",$AS112="Open"),"",IF($AJ112="N/A","N/A",IF($I112="EOT",INDEX(Program_01!AS:AS,MATCH($B112,Program_01!A:A,0)),INDEX(Program_01!BC:BC,MATCH($B112,Program_01!A:A,0)))))</f>
        <v/>
      </c>
      <c r="AL112" s="51"/>
      <c r="AM112" s="184">
        <f>IFERROR(INDEX(Program_01!$BT:$BT,MATCH($B112,Program_01!$A:$A,0)),"")</f>
        <v>0</v>
      </c>
      <c r="AN112" s="184">
        <f>IFERROR(INDEX(Program_01!$BU:$BU,MATCH($B112,Program_01!$A:$A,0)),"")</f>
        <v>0</v>
      </c>
      <c r="AO112" s="184">
        <f>IFERROR(INDEX(Program_01!$BV:$BV,MATCH($B112,Program_01!$A:$A,0)),"")</f>
        <v>0</v>
      </c>
      <c r="AP112" s="51" t="str">
        <f t="shared" si="46"/>
        <v/>
      </c>
      <c r="AQ112" s="184">
        <f>IFERROR(INDEX(Program_01!$BN:$BN,MATCH($B112,Program_01!$A:$A,0)),"")</f>
        <v>0</v>
      </c>
      <c r="AR112" s="184" t="str">
        <f>IFERROR(INDEX(Program_01!$BO:$BO,MATCH($B112,Program_01!$A:$A,0)),"")</f>
        <v>Assessment Report Issued</v>
      </c>
      <c r="AS112" s="184" t="str">
        <f>IFERROR(INDEX(Program_01!$BP:$BP,MATCH($B112,Program_01!$A:$A,0)),"")</f>
        <v>Open</v>
      </c>
      <c r="AT112" s="185" t="str">
        <f>IFERROR(INDEX(Program_01!$BQ:$BQ,MATCH($B112,Program_01!$A:$A,0)),"")</f>
        <v>Contractor</v>
      </c>
      <c r="AU112" s="179" t="str">
        <f>IFERROR(INDEX(Program_01!$BR:$BR,MATCH($B112,Program_01!$A:$A,0)),"")</f>
        <v>01 May 26: Draft EAR sent to planning team for TIA
03 May 26:  Planning issued comments, will be responded asap, with delivery. 
05 May 26: Updated draft sent back to claims addressing planning's comments
08 May 26: Draft EAR reviewed and forwarded to Planning to proceed with TIA
11 May 26: Planning team targeted to revert by 21 May 26
18 May 26: Ditto
31 May 26: Planning has issued further comments on the EOT and issued Revise and Resubmit status on (date??). Letter to be issued to Contractor. 
04 Jun 26: Letter in WF089388
15 Jun 26: Commercial to update
27 Jun 26: The EAR for EOT 1 was forwarded to the claim team for final review and to obtain the legal's offline approval.
06 Jul 26: EAR approved and sent back to commercial. WF initiated via WF-092960
07 Jul 26: Workflow reinitiated via ref WF-93007
13 Jul 26: Cover letter put in WF (WF-093650)
26 July 26: EAR issued (Ref. 1TB01009-009C09-AMA-LTR-0102 dated 20 July 2026)
10 Aug 26: Awaiting Contractor's response
22 Aug 26: Ditto. For the prolongation cost, respond to Contractor requesting concurrency analysis.
07 Sep 26: Ditto
21 Sep 26: Ditto</v>
      </c>
      <c r="AV112" s="186" t="str">
        <f t="shared" si="32"/>
        <v/>
      </c>
      <c r="AW112" s="186" t="str">
        <f t="shared" si="47"/>
        <v>OPEN</v>
      </c>
      <c r="AX112" s="186" t="str">
        <f t="shared" si="33"/>
        <v>OPEN</v>
      </c>
      <c r="AY112" s="181">
        <f t="shared" si="38"/>
        <v>46109</v>
      </c>
      <c r="AZ112" s="181">
        <f t="shared" si="43"/>
        <v>46216</v>
      </c>
      <c r="BA112" s="181" t="str">
        <f t="shared" si="4"/>
        <v/>
      </c>
      <c r="BC112" s="181">
        <f>IFERROR(INDEX(Program_01!BF:BF,MATCH($B112,Program_01!$A:$A,0)),"")</f>
        <v>46109</v>
      </c>
      <c r="BD112" s="188">
        <f ca="1">IFERROR(INDEX(Program_01!BG:BG,MATCH($B112,Program_01!$A:$A,0)),"")</f>
        <v>34</v>
      </c>
      <c r="BE112" s="181">
        <f>IFERROR(INDEX(Program_01!BH:BH,MATCH($B112,Program_01!$A:$A,0)),"")</f>
        <v>46143</v>
      </c>
      <c r="BF112" s="189">
        <f ca="1">IFERROR(INDEX(Program_01!BI:BI,MATCH($B112,Program_01!$A:$A,0)),"")</f>
        <v>157</v>
      </c>
      <c r="BG112" s="181">
        <f>IFERROR(INDEX(Program_01!BJ:BJ,MATCH($B112,Program_01!$A:$A,0)),"")</f>
        <v>0</v>
      </c>
      <c r="BH112" s="189">
        <f ca="1">IFERROR(INDEX(Program_01!BK:BK,MATCH($B112,Program_01!$A:$A,0)),"")</f>
        <v>0</v>
      </c>
      <c r="BI112" s="181">
        <f>IFERROR(INDEX(Program_01!BL:BL,MATCH($B112,Program_01!$A:$A,0)),"")</f>
        <v>0</v>
      </c>
      <c r="BK112" s="190">
        <f>IFERROR(IF(INDEX(Program_01!$BX:$BX,MATCH($B112,Program_01!$A:$A,0))=DATE(1900,1,0),"",INDEX(Program_01!$BX:$BX,MATCH($B112,Program_01!$A:$A,0))),"")</f>
        <v>46204</v>
      </c>
      <c r="BL112" s="190" t="str">
        <f>IFERROR(IF(INDEX(Program_01!$BY:$BY,MATCH($B112,Program_01!$A:$A,0))=DATE(1900,1,0),"",INDEX(Program_01!$BY:$BY,MATCH($B112,Program_01!$A:$A,0))),"")</f>
        <v/>
      </c>
      <c r="BM112" s="188">
        <f t="shared" ca="1" si="39"/>
        <v>107</v>
      </c>
      <c r="BN112" s="191">
        <f t="shared" ca="1" si="40"/>
        <v>107</v>
      </c>
      <c r="BO112" s="188">
        <f t="shared" ca="1" si="34"/>
        <v>107</v>
      </c>
      <c r="BP112" s="188" t="str">
        <f t="shared" si="6"/>
        <v>1</v>
      </c>
      <c r="BQ112" s="188" t="str">
        <f t="shared" ca="1" si="41"/>
        <v/>
      </c>
      <c r="BR112" s="181" t="str">
        <f t="shared" ca="1" si="44"/>
        <v/>
      </c>
      <c r="BT112" s="190" t="str">
        <f>IFERROR(IF(INDEX(Program_01!$BZ:$BZ,MATCH($B112,Program_01!$A:$A,0))=DATE(1900,1,0),"",INDEX(Program_01!$BZ:$BZ,MATCH($B112,Program_01!$A:$A,0))),"")</f>
        <v/>
      </c>
      <c r="BU112" s="182" t="str">
        <f t="shared" ca="1" si="48"/>
        <v/>
      </c>
      <c r="BV112" s="188" t="str">
        <f t="shared" si="35"/>
        <v/>
      </c>
      <c r="BW112" s="188" t="str">
        <f t="shared" si="8"/>
        <v/>
      </c>
      <c r="BX112" s="188" t="str">
        <f t="shared" ca="1" si="36"/>
        <v/>
      </c>
      <c r="BY112" s="181" t="str">
        <f t="shared" ca="1" si="45"/>
        <v/>
      </c>
      <c r="CA112" s="192" t="str">
        <f t="shared" si="49"/>
        <v>Y</v>
      </c>
      <c r="CB112" s="192" t="str">
        <f t="shared" si="50"/>
        <v>N</v>
      </c>
      <c r="CC112" s="193">
        <f>IFERROR(INDEX(Program_01!$CE:$CE,MATCH($B112,Program_01!$A:$A,0)),"")</f>
        <v>45936</v>
      </c>
      <c r="CD112" s="193">
        <f t="shared" si="31"/>
        <v>45936</v>
      </c>
      <c r="CG112" s="194">
        <f>IFERROR(INDEX(Program_01!$AT:$AT,MATCH($B112,Program_01!$A:$A,0)),"")</f>
        <v>0</v>
      </c>
      <c r="CH112" s="194">
        <f>IFERROR(INDEX(Program_01!$AX:$AX,MATCH($B112,Program_01!$A:$A,0)),"")</f>
        <v>0</v>
      </c>
    </row>
    <row r="113" spans="1:86" s="187" customFormat="1" ht="385.5" customHeight="1">
      <c r="A113" s="174" t="s">
        <v>1</v>
      </c>
      <c r="B113" s="175">
        <f t="shared" si="42"/>
        <v>95</v>
      </c>
      <c r="C113" s="176" t="str">
        <f>IFERROR(INDEX(Program_01!$B:$B,MATCH($B113,Program_01!$A:$A,0)),"")</f>
        <v>HLEAR</v>
      </c>
      <c r="D113" s="176" t="str">
        <f>IFERROR(INDEX(Program_01!$D:$D,MATCH($B113,Program_01!$A:$A,0)),"")</f>
        <v>1TB01005C19</v>
      </c>
      <c r="E113" s="176" t="str">
        <f>IFERROR(INDEX(Program_01!$E:$E,MATCH($B113,Program_01!$A:$A,0)),"")</f>
        <v>1.TB.01.005.01</v>
      </c>
      <c r="F113" s="176" t="str">
        <f>IFERROR(INDEX(Program_01!$F:$F,MATCH($B113,Program_01!$A:$A,0)),"")</f>
        <v>Red Sea Marine Life Institute</v>
      </c>
      <c r="G113" s="176" t="str">
        <f>IFERROR(INDEX(Program_01!$G:$G,MATCH($B113,Program_01!$A:$A,0)),"")</f>
        <v>Façade and Cladding Works</v>
      </c>
      <c r="H113" s="176" t="str">
        <f>IFERROR(INDEX(Program_01!$H:$H,MATCH($B113,Program_01!$A:$A,0)),"")</f>
        <v>Fibrex LLC</v>
      </c>
      <c r="I113" s="176" t="str">
        <f t="shared" si="37"/>
        <v>EOT</v>
      </c>
      <c r="J113" s="176">
        <f>IFERROR(INDEX(Program_01!$I:$I,MATCH($B113,Program_01!$A:$A,0)),"")</f>
        <v>1</v>
      </c>
      <c r="K113" s="176">
        <f>IFERROR(INDEX(Program_01!$J:$J,MATCH($B113,Program_01!$A:$A,0)),"")</f>
        <v>0</v>
      </c>
      <c r="L113" s="176">
        <f>IFERROR(INDEX(Program_01!$K:$K,MATCH($B113,Program_01!$A:$A,0)),"")</f>
        <v>0</v>
      </c>
      <c r="M113" s="176">
        <f>IFERROR(INDEX(Program_01!$L:$L,MATCH($B113,Program_01!$A:$A,0)),"")</f>
        <v>0</v>
      </c>
      <c r="N113" s="176">
        <f>IFERROR(INDEX(Program_01!$L:$L,MATCH($B113,Program_01!$A:$A,0)),"")</f>
        <v>0</v>
      </c>
      <c r="O113" s="176">
        <f>IFERROR(INDEX(Program_01!$N:$N,MATCH($B113,Program_01!$A:$A,0)),"")</f>
        <v>0</v>
      </c>
      <c r="P113" s="178"/>
      <c r="Q113" s="179" t="str">
        <f>IFERROR(INDEX(Program_01!$C:$C,MATCH($B113,Program_01!$A:$A,0)),"")</f>
        <v>Fibrex - Submission of Extension of Time (EOT)</v>
      </c>
      <c r="R113" s="176" t="str">
        <f>IFERROR(INDEX(Program_01!$V:$V,MATCH($B113,Program_01!$A:$A,0)),"")</f>
        <v>1TB01005-005C19-FEX-LTR-0083</v>
      </c>
      <c r="S113" s="180">
        <f>IFERROR(INDEX(Program_01!$W:$W,MATCH($B113,Program_01!$A:$A,0)),"")</f>
        <v>45910</v>
      </c>
      <c r="T113" s="178"/>
      <c r="U113" s="176" t="str">
        <f>IFERROR(INDEX(Program_01!$Z:$Z,MATCH($B113,Program_01!$A:$A,0)),"")</f>
        <v>1TB01005-005C19-AMA-LTR-0165</v>
      </c>
      <c r="V113" s="181">
        <f>IFERROR(INDEX(Program_01!$AA:$AA,MATCH($B113,Program_01!$A:$A,0)),"")</f>
        <v>45934</v>
      </c>
      <c r="W113" s="182">
        <f t="shared" ca="1" si="0"/>
        <v>24</v>
      </c>
      <c r="X113" s="51"/>
      <c r="Y113" s="179">
        <f>IFERROR(INDEX(Program_01!$BD:$BD,MATCH($B113,Program_01!$A:$A,0)),"")</f>
        <v>0</v>
      </c>
      <c r="Z113" s="51"/>
      <c r="AA113" s="183" t="str">
        <f>IFERROR(IF((INDEX(Program_01!$AD:$AD,MATCH($B113,Program_01!$A:$A,0))=""),INDEX(Program_01!$V:$V,MATCH($B113,Program_01!$A:$A,0)),INDEX(Program_01!$AD:$AD,MATCH($B113,Program_01!$A:$A,0))),"")</f>
        <v>09 Jan 26: Ditto, contractor targeted to submit the revised claim by 07 Feb 2026 via email
upon the introduction of the HLEAR route, contractor's email date where it agreed to submit further particularhas been considered the last correspondence received from the contractor as teh start date + 20 BD</v>
      </c>
      <c r="AB113" s="147">
        <f>IFERROR(IF((INDEX(Program_01!$AE:$AE,MATCH($B113,Program_01!$A:$A,0))=""),INDEX(Program_01!$W:$W,MATCH($B113,Program_01!$A:$A,0)),INDEX(Program_01!$AE:$AE,MATCH($B113,Program_01!$A:$A,0))),"")</f>
        <v>46059</v>
      </c>
      <c r="AC113" s="183" t="str">
        <f>IFERROR(IF($I113="EOT",INDEX(Program_01!$AN:$AN,MATCH($B113,Program_01!$A:$A,0)),INDEX(Program_01!$AY:$AY,MATCH($B113,Program_01!$A:$A,0))),"")</f>
        <v>1TB01005-005C19-AMA-RPT-PM-0002
AMA01005-WTRAN-082930: (WF-043718) 
KPI Date +7 days
EAR Issued to Contractor via 1TB01005-005C19-AMA-LTR-0185 on 21 July 2026</v>
      </c>
      <c r="AD113" s="181">
        <f>IFERROR(IF($I113="EOT",INDEX(Program_01!$AO:$AO,MATCH($B113,Program_01!$A:$A,0)),INDEX(Program_01!$AZ:$AZ,MATCH($B113,Program_01!$A:$A,0))),"")</f>
        <v>46189</v>
      </c>
      <c r="AE113" s="51"/>
      <c r="AF113" s="183"/>
      <c r="AG113" s="181"/>
      <c r="AH113" s="183" t="str">
        <f>IF(OR($D113="",$AS113="VO Issued",$AS113="Open"),"",IF(OR($AC113="Rejected",$AC113="Superseded",$AC113="Dealt Separately"),$AC113,IF($I113="EOT",INDEX(Program_01!$AR:$AR,MATCH($B113,Program_01!$A:$A,0)),INDEX(Program_01!$BB:$BB,MATCH($B113,Program_01!$A:$A,0)))))</f>
        <v/>
      </c>
      <c r="AI113" s="181" t="str">
        <f>IF(OR($A113="",$B113="",$I113="",$AS113="VO Issued",$AS113="Open"),"",IF(OR($AD113="N/A"),$AD113,IF($I113="EOT",INDEX(Program_01!$AS:$AS,MATCH($B113,Program_01!$A:$A,0)),INDEX(Program_01!$BC:$BC,MATCH($B113,Program_01!$A:$A,0)))))</f>
        <v/>
      </c>
      <c r="AJ113" s="183" t="str">
        <f>IF(OR($D113="",$I113="",$AS113="Determination Issued",$AS113="Rejected",$AS113="Open"),"",IF(OR($AH113="Rejected",$AH113="Dealt Separately",$AH113="Superseded",$AH113="Withdrawn"),"N/A",IF($I113="EOT",INDEX(Program_01!AR:AR,MATCH($B113,Program_01!A:A,0)),INDEX(Program_01!BB:BB,MATCH($B113,Program_01!A:A,0)))))</f>
        <v/>
      </c>
      <c r="AK113" s="181" t="str">
        <f>IF(OR($A113="",$B113="",$I113="",$AS113="Determination Issued",$AS113="Rejected",$AS113="Open"),"",IF($AJ113="N/A","N/A",IF($I113="EOT",INDEX(Program_01!AS:AS,MATCH($B113,Program_01!A:A,0)),INDEX(Program_01!BC:BC,MATCH($B113,Program_01!A:A,0)))))</f>
        <v/>
      </c>
      <c r="AL113" s="51"/>
      <c r="AM113" s="184">
        <f>IFERROR(INDEX(Program_01!$BT:$BT,MATCH($B113,Program_01!$A:$A,0)),"")</f>
        <v>0</v>
      </c>
      <c r="AN113" s="184">
        <f>IFERROR(INDEX(Program_01!$BU:$BU,MATCH($B113,Program_01!$A:$A,0)),"")</f>
        <v>0</v>
      </c>
      <c r="AO113" s="184">
        <f>IFERROR(INDEX(Program_01!$BV:$BV,MATCH($B113,Program_01!$A:$A,0)),"")</f>
        <v>0</v>
      </c>
      <c r="AP113" s="51" t="str">
        <f t="shared" si="46"/>
        <v/>
      </c>
      <c r="AQ113" s="184">
        <f>IFERROR(INDEX(Program_01!$BN:$BN,MATCH($B113,Program_01!$A:$A,0)),"")</f>
        <v>0</v>
      </c>
      <c r="AR113" s="184" t="str">
        <f>IFERROR(INDEX(Program_01!$BO:$BO,MATCH($B113,Program_01!$A:$A,0)),"")</f>
        <v>Assessment Report Issued</v>
      </c>
      <c r="AS113" s="184" t="str">
        <f>IFERROR(INDEX(Program_01!$BP:$BP,MATCH($B113,Program_01!$A:$A,0)),"")</f>
        <v>Open</v>
      </c>
      <c r="AT113" s="185" t="str">
        <f>IFERROR(INDEX(Program_01!$BQ:$BQ,MATCH($B113,Program_01!$A:$A,0)),"")</f>
        <v>Commercial Team</v>
      </c>
      <c r="AU113" s="179" t="str">
        <f>IFERROR(INDEX(Program_01!$BR:$BR,MATCH($B113,Program_01!$A:$A,0)),"")</f>
        <v>09 Mar 26: HLEAR being prepared by commercial following RFA (WF-040808 initiated on 24 Feb 26) approved on 04 Mar 26. Commercial are targeting to issue report to Claims by 19 Mar 26.
02 Apr 26: Draft HLEAR sent to claims for review
06 Apr 26: Targeted to revert by 09 Apr 26
15 Apr 26: HLEAR draft sent back to commercial with comments to resubmit 
17 Apr 26: Updated draft HLEAR sent to claim team for further review
19 Apr 26: Draft HLEAR sent to planning for review
20 Apr 26: Ditto, Shaju to update 
27 Apr 26: HLEAR targeted to be reverted by 10 May 26
04 May 26: Ditto
11 May 26: Target date revised to 14 May 2026
18 May 26: Ditto, Shaju to update
04 Jun 26: With Claims for final review before WF.  Target 08 Jun 26.  NE to discuss with Paul M.
09 Jun 26: currently in workflow (WF-043718) 
15 Jun 26: HLEAR approved by claim and 
28 June 26: HLEAR Approved and to be issued to the Contractor. Document has no signature of the CEO. Chasng to sign. Meeting with Fibres is required prior to issue as Site team want to avoid an external consultant completing this Claim for Fibrex.
10 July 26:  Claim going through WF approvals for issuance to Fibrex 1TB01005-005C19-AMA-LTR-0185. 
21 Jul 26: Issued to Contractor via 1TB01005-005C19-AMA-LTR-0185 on 21 July 2026
27 Jul 26: Awaiting response from contractor
10 Aug 26: Ditto
21 Aug 26: Fibrex responded on 12 Aug 26 (1TB01005-005C19-FEX-LTR-0106) rejecting the assessment in particular regard to the non assessment of Employer related delays and recent instructions. Sent to Site planning team for their response on 21 Aug 26.
07 Sep 26: Ditto
14 Sep 26: planning team targeted to revert by 21 Sep 26
20 Sep 26: Planning team responded with clarification &amp; comments
23 Sep 26: Commercial team responded seeking advise on a route whereby we could award additional time, on a strictly zero-cost basis and reflecting the accepted concurrency position without the need for a resubmission by the contractor
30 Sep 26: queries raised to commercial by planning
04 Oct 26: Commercial to respond to planning by 06 Oct.</v>
      </c>
      <c r="AV113" s="186" t="str">
        <f t="shared" si="32"/>
        <v/>
      </c>
      <c r="AW113" s="186" t="str">
        <f t="shared" si="47"/>
        <v>OPEN</v>
      </c>
      <c r="AX113" s="186" t="str">
        <f t="shared" si="33"/>
        <v>OPEN</v>
      </c>
      <c r="AY113" s="181">
        <f t="shared" si="38"/>
        <v>46085</v>
      </c>
      <c r="AZ113" s="181">
        <f t="shared" si="43"/>
        <v>46189</v>
      </c>
      <c r="BA113" s="181" t="str">
        <f t="shared" si="4"/>
        <v/>
      </c>
      <c r="BC113" s="181">
        <f>IFERROR(INDEX(Program_01!BF:BF,MATCH($B113,Program_01!$A:$A,0)),"")</f>
        <v>46085</v>
      </c>
      <c r="BD113" s="188">
        <f ca="1">IFERROR(INDEX(Program_01!BG:BG,MATCH($B113,Program_01!$A:$A,0)),"")</f>
        <v>46</v>
      </c>
      <c r="BE113" s="181">
        <f>IFERROR(INDEX(Program_01!BH:BH,MATCH($B113,Program_01!$A:$A,0)),"")</f>
        <v>46131</v>
      </c>
      <c r="BF113" s="189">
        <f ca="1">IFERROR(INDEX(Program_01!BI:BI,MATCH($B113,Program_01!$A:$A,0)),"")</f>
        <v>46</v>
      </c>
      <c r="BG113" s="181">
        <f>IFERROR(INDEX(Program_01!BJ:BJ,MATCH($B113,Program_01!$A:$A,0)),"")</f>
        <v>46177</v>
      </c>
      <c r="BH113" s="189">
        <f ca="1">IFERROR(INDEX(Program_01!BK:BK,MATCH($B113,Program_01!$A:$A,0)),"")</f>
        <v>5</v>
      </c>
      <c r="BI113" s="181">
        <f>IFERROR(INDEX(Program_01!BL:BL,MATCH($B113,Program_01!$A:$A,0)),"")</f>
        <v>46182</v>
      </c>
      <c r="BK113" s="190">
        <f>IFERROR(IF(INDEX(Program_01!$BX:$BX,MATCH($B113,Program_01!$A:$A,0))=DATE(1900,1,0),"",INDEX(Program_01!$BX:$BX,MATCH($B113,Program_01!$A:$A,0))),"")</f>
        <v>46174</v>
      </c>
      <c r="BL113" s="190" t="str">
        <f>IFERROR(IF(INDEX(Program_01!$BY:$BY,MATCH($B113,Program_01!$A:$A,0))=DATE(1900,1,0),"",INDEX(Program_01!$BY:$BY,MATCH($B113,Program_01!$A:$A,0))),"")</f>
        <v/>
      </c>
      <c r="BM113" s="188">
        <f t="shared" ca="1" si="39"/>
        <v>104</v>
      </c>
      <c r="BN113" s="191">
        <f t="shared" ca="1" si="40"/>
        <v>104</v>
      </c>
      <c r="BO113" s="188">
        <f t="shared" ca="1" si="34"/>
        <v>104</v>
      </c>
      <c r="BP113" s="188" t="str">
        <f t="shared" si="6"/>
        <v>1</v>
      </c>
      <c r="BQ113" s="188" t="str">
        <f t="shared" ca="1" si="41"/>
        <v/>
      </c>
      <c r="BR113" s="181" t="str">
        <f t="shared" ca="1" si="44"/>
        <v/>
      </c>
      <c r="BT113" s="190" t="str">
        <f>IFERROR(IF(INDEX(Program_01!$BZ:$BZ,MATCH($B113,Program_01!$A:$A,0))=DATE(1900,1,0),"",INDEX(Program_01!$BZ:$BZ,MATCH($B113,Program_01!$A:$A,0))),"")</f>
        <v/>
      </c>
      <c r="BU113" s="182" t="str">
        <f t="shared" ca="1" si="48"/>
        <v/>
      </c>
      <c r="BV113" s="188" t="str">
        <f t="shared" si="35"/>
        <v/>
      </c>
      <c r="BW113" s="188" t="str">
        <f t="shared" si="8"/>
        <v/>
      </c>
      <c r="BX113" s="188" t="str">
        <f t="shared" ca="1" si="36"/>
        <v/>
      </c>
      <c r="BY113" s="181" t="str">
        <f t="shared" ca="1" si="45"/>
        <v/>
      </c>
      <c r="CA113" s="192" t="str">
        <f t="shared" si="49"/>
        <v>Y</v>
      </c>
      <c r="CB113" s="192" t="str">
        <f t="shared" si="50"/>
        <v>N</v>
      </c>
      <c r="CC113" s="193">
        <f>IFERROR(INDEX(Program_01!$CE:$CE,MATCH($B113,Program_01!$A:$A,0)),"")</f>
        <v>45949</v>
      </c>
      <c r="CD113" s="193">
        <f t="shared" si="31"/>
        <v>45949</v>
      </c>
      <c r="CG113" s="194">
        <f>IFERROR(INDEX(Program_01!$AT:$AT,MATCH($B113,Program_01!$A:$A,0)),"")</f>
        <v>0</v>
      </c>
      <c r="CH113" s="194">
        <f>IFERROR(INDEX(Program_01!$AX:$AX,MATCH($B113,Program_01!$A:$A,0)),"")</f>
        <v>0</v>
      </c>
    </row>
    <row r="114" spans="1:86" s="187" customFormat="1" ht="366.75" customHeight="1">
      <c r="A114" s="174" t="s">
        <v>1</v>
      </c>
      <c r="B114" s="199">
        <f t="shared" si="42"/>
        <v>96</v>
      </c>
      <c r="C114" s="176" t="str">
        <f>IFERROR(INDEX(Program_01!$B:$B,MATCH($B114,Program_01!$A:$A,0)),"")</f>
        <v>FULL TIA EAR</v>
      </c>
      <c r="D114" s="176" t="str">
        <f>IFERROR(INDEX(Program_01!$D:$D,MATCH($B114,Program_01!$A:$A,0)),"")</f>
        <v>1TB01003C09</v>
      </c>
      <c r="E114" s="176" t="str">
        <f>IFERROR(INDEX(Program_01!$E:$E,MATCH($B114,Program_01!$A:$A,0)),"")</f>
        <v>1.TB.01.003.01</v>
      </c>
      <c r="F114" s="176" t="str">
        <f>IFERROR(INDEX(Program_01!$F:$F,MATCH($B114,Program_01!$A:$A,0)),"")</f>
        <v xml:space="preserve">AMAALA Yacht Club </v>
      </c>
      <c r="G114" s="176" t="str">
        <f>IFERROR(INDEX(Program_01!$G:$G,MATCH($B114,Program_01!$A:$A,0)),"")</f>
        <v>Fit-out works for Amaala Yacht Club</v>
      </c>
      <c r="H114" s="176" t="str">
        <f>IFERROR(INDEX(Program_01!$H:$H,MATCH($B114,Program_01!$A:$A,0)),"")</f>
        <v>DEPA Saudi Arabia for Contracting and Interior Decoration Co. Ltd</v>
      </c>
      <c r="I114" s="176" t="str">
        <f t="shared" si="37"/>
        <v>EOT</v>
      </c>
      <c r="J114" s="176">
        <f>IFERROR(INDEX(Program_01!$I:$I,MATCH($B114,Program_01!$A:$A,0)),"")</f>
        <v>1</v>
      </c>
      <c r="K114" s="176">
        <f>IFERROR(INDEX(Program_01!$J:$J,MATCH($B114,Program_01!$A:$A,0)),"")</f>
        <v>0</v>
      </c>
      <c r="L114" s="176">
        <f>IFERROR(INDEX(Program_01!$K:$K,MATCH($B114,Program_01!$A:$A,0)),"")</f>
        <v>0</v>
      </c>
      <c r="M114" s="176">
        <f>IFERROR(INDEX(Program_01!$L:$L,MATCH($B114,Program_01!$A:$A,0)),"")</f>
        <v>0</v>
      </c>
      <c r="N114" s="176">
        <f>IFERROR(INDEX(Program_01!$L:$L,MATCH($B114,Program_01!$A:$A,0)),"")</f>
        <v>0</v>
      </c>
      <c r="O114" s="176">
        <f>IFERROR(INDEX(Program_01!$N:$N,MATCH($B114,Program_01!$A:$A,0)),"")</f>
        <v>0</v>
      </c>
      <c r="P114" s="178"/>
      <c r="Q114" s="179" t="str">
        <f>IFERROR(INDEX(Program_01!$C:$C,MATCH($B114,Program_01!$A:$A,0)),"")</f>
        <v>TB AYC - Letter to RSG-Amaala-Contractor’s Claim – Interim Extension of Time For Completion No. 02 - Using Time Impact Analysis - EOT -02</v>
      </c>
      <c r="R114" s="176" t="str">
        <f>IFERROR(INDEX(Program_01!$V:$V,MATCH($B114,Program_01!$A:$A,0)),"")</f>
        <v>1TB01003-003C09-DCC-LTR-0299</v>
      </c>
      <c r="S114" s="180">
        <f>IFERROR(INDEX(Program_01!$W:$W,MATCH($B114,Program_01!$A:$A,0)),"")</f>
        <v>45939</v>
      </c>
      <c r="T114" s="178"/>
      <c r="U114" s="176">
        <f>IFERROR(INDEX(Program_01!$Z:$Z,MATCH($B114,Program_01!$A:$A,0)),"")</f>
        <v>0</v>
      </c>
      <c r="V114" s="181" t="str">
        <f>IFERROR(INDEX(Program_01!$AA:$AA,MATCH($B114,Program_01!$A:$A,0)),"")</f>
        <v>N/A</v>
      </c>
      <c r="W114" s="182" t="str">
        <f t="shared" ca="1" si="0"/>
        <v/>
      </c>
      <c r="X114" s="51"/>
      <c r="Y114" s="179">
        <f>IFERROR(INDEX(Program_01!$BD:$BD,MATCH($B114,Program_01!$A:$A,0)),"")</f>
        <v>0</v>
      </c>
      <c r="Z114" s="51"/>
      <c r="AA114" s="183" t="str">
        <f>IFERROR(IF((INDEX(Program_01!$AD:$AD,MATCH($B114,Program_01!$A:$A,0))=""),INDEX(Program_01!$V:$V,MATCH($B114,Program_01!$A:$A,0)),INDEX(Program_01!$AD:$AD,MATCH($B114,Program_01!$A:$A,0))),"")</f>
        <v>1TB01003-003C09-DCC-LTR-0299</v>
      </c>
      <c r="AB114" s="147">
        <f>IFERROR(IF((INDEX(Program_01!$AE:$AE,MATCH($B114,Program_01!$A:$A,0))=""),INDEX(Program_01!$W:$W,MATCH($B114,Program_01!$A:$A,0)),INDEX(Program_01!$AE:$AE,MATCH($B114,Program_01!$A:$A,0))),"")</f>
        <v>45939</v>
      </c>
      <c r="AC114" s="183" t="str">
        <f>IFERROR(IF($I114="EOT",INDEX(Program_01!$AN:$AN,MATCH($B114,Program_01!$A:$A,0)),INDEX(Program_01!$AY:$AY,MATCH($B114,Program_01!$A:$A,0))),"")</f>
        <v>1TB01003-003C09-AMA-RPT-PM-0003
WF-020320 initiated on 25 Feb 26
EAR issued to DEPA on 24 Mar 26 under 1TB01003-003C09-AMA-LTR-0230</v>
      </c>
      <c r="AD114" s="181">
        <f>IFERROR(IF($I114="EOT",INDEX(Program_01!$AO:$AO,MATCH($B114,Program_01!$A:$A,0)),INDEX(Program_01!$AZ:$AZ,MATCH($B114,Program_01!$A:$A,0))),"")</f>
        <v>46085</v>
      </c>
      <c r="AE114" s="51"/>
      <c r="AF114" s="183"/>
      <c r="AG114" s="181"/>
      <c r="AH114" s="183">
        <f>IF(OR($D114="",$AS114="VO Issued",$AS114="Open"),"",IF(OR($AC114="Rejected",$AC114="Superseded",$AC114="Dealt Separately"),$AC114,IF($I114="EOT",INDEX(Program_01!$AR:$AR,MATCH($B114,Program_01!$A:$A,0)),INDEX(Program_01!$BB:$BB,MATCH($B114,Program_01!$A:$A,0)))))</f>
        <v>0</v>
      </c>
      <c r="AI114" s="181">
        <f>IF(OR($A114="",$B114="",$I114="",$AS114="VO Issued",$AS114="Open"),"",IF(OR($AD114="N/A"),$AD114,IF($I114="EOT",INDEX(Program_01!$AS:$AS,MATCH($B114,Program_01!$A:$A,0)),INDEX(Program_01!$BC:$BC,MATCH($B114,Program_01!$A:$A,0)))))</f>
        <v>0</v>
      </c>
      <c r="AJ114" s="183">
        <f>IF(OR($D114="",$I114="",$AS114="Determination Issued",$AS114="Rejected",$AS114="Open"),"",IF(OR($AH114="Rejected",$AH114="Dealt Separately",$AH114="Superseded",$AH114="Withdrawn"),"N/A",IF($I114="EOT",INDEX(Program_01!AR:AR,MATCH($B114,Program_01!A:A,0)),INDEX(Program_01!BB:BB,MATCH($B114,Program_01!A:A,0)))))</f>
        <v>0</v>
      </c>
      <c r="AK114" s="181">
        <f>IF(OR($A114="",$B114="",$I114="",$AS114="Determination Issued",$AS114="Rejected",$AS114="Open"),"",IF($AJ114="N/A","N/A",IF($I114="EOT",INDEX(Program_01!AS:AS,MATCH($B114,Program_01!A:A,0)),INDEX(Program_01!BC:BC,MATCH($B114,Program_01!A:A,0)))))</f>
        <v>0</v>
      </c>
      <c r="AL114" s="51"/>
      <c r="AM114" s="184">
        <f>IFERROR(INDEX(Program_01!$BT:$BT,MATCH($B114,Program_01!$A:$A,0)),"")</f>
        <v>0</v>
      </c>
      <c r="AN114" s="184">
        <f>IFERROR(INDEX(Program_01!$BU:$BU,MATCH($B114,Program_01!$A:$A,0)),"")</f>
        <v>0</v>
      </c>
      <c r="AO114" s="184">
        <f>IFERROR(INDEX(Program_01!$BV:$BV,MATCH($B114,Program_01!$A:$A,0)),"")</f>
        <v>0</v>
      </c>
      <c r="AP114" s="51" t="str">
        <f t="shared" si="46"/>
        <v/>
      </c>
      <c r="AQ114" s="184">
        <f>IFERROR(INDEX(Program_01!$BN:$BN,MATCH($B114,Program_01!$A:$A,0)),"")</f>
        <v>0</v>
      </c>
      <c r="AR114" s="184" t="str">
        <f>IFERROR(INDEX(Program_01!$BO:$BO,MATCH($B114,Program_01!$A:$A,0)),"")</f>
        <v>Assessment Report Issued</v>
      </c>
      <c r="AS114" s="184" t="str">
        <f>IFERROR(INDEX(Program_01!$BP:$BP,MATCH($B114,Program_01!$A:$A,0)),"")</f>
        <v>Superseded</v>
      </c>
      <c r="AT114" s="185" t="str">
        <f>IFERROR(INDEX(Program_01!$BQ:$BQ,MATCH($B114,Program_01!$A:$A,0)),"")</f>
        <v>Closed</v>
      </c>
      <c r="AU114" s="179" t="str">
        <f>IFERROR(INDEX(Program_01!$BR:$BR,MATCH($B114,Program_01!$A:$A,0)),"")</f>
        <v xml:space="preserve">05 Dec 25: Draft EAR sent to Planning for TIA
08 Dec 25: TIA targeted to conclude by (TBC)
13 Dec 25: Draft EAR with Planning Team for Time Impact Assessment,
15 Dec 25: TIA targeted to conclude by 06 Jan 25
10 Jan 26: TIA under review by Planning Team., Shaju to update 
13 Jan 26: Targeted to finalise by 25 Jan 26
19 Jan 26: Targeted to finalise by 22 Jan 26
24 Jan 26: Under review by Planning Team.
27 Jan 26: TIA incorporated and sent to commercial for finalisation
09 Feb 26: Commercial drafting a letter to response to EOT 01 DEPA . Then EAR would be finalized by BK
18 Feb 26: Final Draft EAR sent to Claims Team for Pre-approval
23 Feb 26: Ditto, targeted to revert by 01 Mar 2026
25 Feb 26: EAR approved and Sent back to commercial to initiate WF
09 Mar 26: EAR put in WF-020320 on 25 Feb 26 and is under approval.
24 Mar 26: EAR issued to DEPA on 24 Mar 26 under 1TB01003-003C09-AMA-LTR-0230. 
06 Apr 26: Awaiting acceptance from DEPA.
19 Apr 26:  Depa requested xer files, sent on 14 April, awaiting response from DEPA
04 May 26: Awaiting DEPA's response to EAR. Comm to issue a follow up, if they dont respond in a week's time
16 May 26: Reminder/follow-up to DEPA for the response to EAR drafted/initiated in WF-021266 for approval.
31 May 26: DEPA provided their response on 25 May 26 (1TB01003-003C09-DCC-LTR-0410). Commercial and Planning teams are to respond accordingly (target 10 June 26).
04 Jun 26: Revised draft sent to Planning 03 Jun 26.
08 Jun 26: Target 25 Jun 26
15 Jun 26: this line item closed as a reassessment is being carried (Item 140 below) out based on the contractor's response on EOT 1 EAR issued 
</v>
      </c>
      <c r="AV114" s="186" t="str">
        <f t="shared" si="32"/>
        <v/>
      </c>
      <c r="AW114" s="186" t="str">
        <f t="shared" si="47"/>
        <v>CLOSED</v>
      </c>
      <c r="AX114" s="186" t="str">
        <f t="shared" si="33"/>
        <v>CLOSED</v>
      </c>
      <c r="AY114" s="181">
        <f t="shared" si="38"/>
        <v>45939</v>
      </c>
      <c r="AZ114" s="181">
        <f t="shared" si="43"/>
        <v>46085</v>
      </c>
      <c r="BA114" s="181">
        <f t="shared" si="4"/>
        <v>0</v>
      </c>
      <c r="BC114" s="181">
        <f>IFERROR(INDEX(Program_01!BF:BF,MATCH($B114,Program_01!$A:$A,0)),"")</f>
        <v>45939</v>
      </c>
      <c r="BD114" s="188" t="str">
        <f ca="1">IFERROR(INDEX(Program_01!BG:BG,MATCH($B114,Program_01!$A:$A,0)),"")</f>
        <v>N/A</v>
      </c>
      <c r="BE114" s="181">
        <f>IFERROR(INDEX(Program_01!BH:BH,MATCH($B114,Program_01!$A:$A,0)),"")</f>
        <v>0</v>
      </c>
      <c r="BF114" s="189">
        <f ca="1">IFERROR(INDEX(Program_01!BI:BI,MATCH($B114,Program_01!$A:$A,0)),"")</f>
        <v>0</v>
      </c>
      <c r="BG114" s="181">
        <f>IFERROR(INDEX(Program_01!BJ:BJ,MATCH($B114,Program_01!$A:$A,0)),"")</f>
        <v>0</v>
      </c>
      <c r="BH114" s="189">
        <f ca="1">IFERROR(INDEX(Program_01!BK:BK,MATCH($B114,Program_01!$A:$A,0)),"")</f>
        <v>0</v>
      </c>
      <c r="BI114" s="181">
        <f>IFERROR(INDEX(Program_01!BL:BL,MATCH($B114,Program_01!$A:$A,0)),"")</f>
        <v>0</v>
      </c>
      <c r="BK114" s="190">
        <f>IFERROR(IF(INDEX(Program_01!$BX:$BX,MATCH($B114,Program_01!$A:$A,0))=DATE(1900,1,0),"",INDEX(Program_01!$BX:$BX,MATCH($B114,Program_01!$A:$A,0))),"")</f>
        <v>46082</v>
      </c>
      <c r="BL114" s="190" t="str">
        <f>IFERROR(IF(INDEX(Program_01!$BY:$BY,MATCH($B114,Program_01!$A:$A,0))=DATE(1900,1,0),"",INDEX(Program_01!$BY:$BY,MATCH($B114,Program_01!$A:$A,0))),"")</f>
        <v/>
      </c>
      <c r="BM114" s="188">
        <f t="shared" ca="1" si="39"/>
        <v>146</v>
      </c>
      <c r="BN114" s="191">
        <f t="shared" ca="1" si="40"/>
        <v>146</v>
      </c>
      <c r="BO114" s="188">
        <f t="shared" ca="1" si="34"/>
        <v>146</v>
      </c>
      <c r="BP114" s="188" t="str">
        <f t="shared" si="6"/>
        <v>1</v>
      </c>
      <c r="BQ114" s="188" t="str">
        <f t="shared" ca="1" si="41"/>
        <v/>
      </c>
      <c r="BR114" s="181" t="str">
        <f t="shared" ca="1" si="44"/>
        <v/>
      </c>
      <c r="BT114" s="190" t="str">
        <f>IFERROR(IF(INDEX(Program_01!$BZ:$BZ,MATCH($B114,Program_01!$A:$A,0))=DATE(1900,1,0),"",INDEX(Program_01!$BZ:$BZ,MATCH($B114,Program_01!$A:$A,0))),"")</f>
        <v/>
      </c>
      <c r="BU114" s="182" t="str">
        <f t="shared" ca="1" si="48"/>
        <v/>
      </c>
      <c r="BV114" s="188" t="str">
        <f t="shared" si="35"/>
        <v/>
      </c>
      <c r="BW114" s="188" t="str">
        <f t="shared" si="8"/>
        <v>1</v>
      </c>
      <c r="BX114" s="188" t="str">
        <f t="shared" ca="1" si="36"/>
        <v/>
      </c>
      <c r="BY114" s="181" t="str">
        <f t="shared" ca="1" si="45"/>
        <v/>
      </c>
      <c r="CA114" s="192" t="str">
        <f t="shared" si="49"/>
        <v>Y</v>
      </c>
      <c r="CB114" s="192" t="str">
        <f t="shared" si="50"/>
        <v>N</v>
      </c>
      <c r="CC114" s="193">
        <f>IFERROR(INDEX(Program_01!$CE:$CE,MATCH($B114,Program_01!$A:$A,0)),"")</f>
        <v>45951</v>
      </c>
      <c r="CD114" s="193">
        <f t="shared" si="31"/>
        <v>45951</v>
      </c>
      <c r="CG114" s="194">
        <f>IFERROR(INDEX(Program_01!$AT:$AT,MATCH($B114,Program_01!$A:$A,0)),"")</f>
        <v>0</v>
      </c>
      <c r="CH114" s="194">
        <f>IFERROR(INDEX(Program_01!$AX:$AX,MATCH($B114,Program_01!$A:$A,0)),"")</f>
        <v>0</v>
      </c>
    </row>
    <row r="115" spans="1:86" s="187" customFormat="1" ht="409.5" customHeight="1">
      <c r="A115" s="174" t="s">
        <v>1</v>
      </c>
      <c r="B115" s="175">
        <f t="shared" si="42"/>
        <v>97</v>
      </c>
      <c r="C115" s="176" t="str">
        <f>IFERROR(INDEX(Program_01!$B:$B,MATCH($B115,Program_01!$A:$A,0)),"")</f>
        <v>FULL TIA EAR</v>
      </c>
      <c r="D115" s="176" t="str">
        <f>IFERROR(INDEX(Program_01!$D:$D,MATCH($B115,Program_01!$A:$A,0)),"")</f>
        <v>1TB01006C52</v>
      </c>
      <c r="E115" s="176" t="str">
        <f>IFERROR(INDEX(Program_01!$E:$E,MATCH($B115,Program_01!$A:$A,0)),"")</f>
        <v>1.TB.01.006.99</v>
      </c>
      <c r="F115" s="176" t="str">
        <f>IFERROR(INDEX(Program_01!$F:$F,MATCH($B115,Program_01!$A:$A,0)),"")</f>
        <v>Village Boutique Hotel</v>
      </c>
      <c r="G115" s="176" t="str">
        <f>IFERROR(INDEX(Program_01!$G:$G,MATCH($B115,Program_01!$A:$A,0)),"")</f>
        <v>Aluminum &amp; Glazing Works for Village Boutique Hotel</v>
      </c>
      <c r="H115" s="176" t="str">
        <f>IFERROR(INDEX(Program_01!$H:$H,MATCH($B115,Program_01!$A:$A,0)),"")</f>
        <v>Aluminum Construction Systems Factory Company Limited</v>
      </c>
      <c r="I115" s="176" t="str">
        <f t="shared" si="37"/>
        <v>EOT</v>
      </c>
      <c r="J115" s="176">
        <f>IFERROR(INDEX(Program_01!$I:$I,MATCH($B115,Program_01!$A:$A,0)),"")</f>
        <v>1</v>
      </c>
      <c r="K115" s="176">
        <f>IFERROR(INDEX(Program_01!$J:$J,MATCH($B115,Program_01!$A:$A,0)),"")</f>
        <v>0</v>
      </c>
      <c r="L115" s="176">
        <f>IFERROR(INDEX(Program_01!$K:$K,MATCH($B115,Program_01!$A:$A,0)),"")</f>
        <v>0</v>
      </c>
      <c r="M115" s="176">
        <f>IFERROR(INDEX(Program_01!$L:$L,MATCH($B115,Program_01!$A:$A,0)),"")</f>
        <v>0</v>
      </c>
      <c r="N115" s="176">
        <f>IFERROR(INDEX(Program_01!$L:$L,MATCH($B115,Program_01!$A:$A,0)),"")</f>
        <v>0</v>
      </c>
      <c r="O115" s="176">
        <f>IFERROR(INDEX(Program_01!$N:$N,MATCH($B115,Program_01!$A:$A,0)),"")</f>
        <v>0</v>
      </c>
      <c r="P115" s="178"/>
      <c r="Q115" s="179" t="str">
        <f>IFERROR(INDEX(Program_01!$C:$C,MATCH($B115,Program_01!$A:$A,0)),"")</f>
        <v>Request for Extension of Time (EOT) for Project VBH Claim 001</v>
      </c>
      <c r="R115" s="176" t="str">
        <f>IFERROR(INDEX(Program_01!$V:$V,MATCH($B115,Program_01!$A:$A,0)),"")</f>
        <v>1TB01006-006C52-MIN-LTR-0014 on 24 Sep 25
MIN01006-GENCORR-000039</v>
      </c>
      <c r="S115" s="180">
        <f>IFERROR(INDEX(Program_01!$W:$W,MATCH($B115,Program_01!$A:$A,0)),"")</f>
        <v>45949</v>
      </c>
      <c r="T115" s="178"/>
      <c r="U115" s="176" t="str">
        <f>IFERROR(INDEX(Program_01!$Z:$Z,MATCH($B115,Program_01!$A:$A,0)),"")</f>
        <v>AMA01006-GENCORR-003854</v>
      </c>
      <c r="V115" s="181">
        <f>IFERROR(INDEX(Program_01!$AA:$AA,MATCH($B115,Program_01!$A:$A,0)),"")</f>
        <v>45953</v>
      </c>
      <c r="W115" s="182">
        <f t="shared" ca="1" si="0"/>
        <v>4</v>
      </c>
      <c r="X115" s="51"/>
      <c r="Y115" s="179">
        <f>IFERROR(INDEX(Program_01!$BD:$BD,MATCH($B115,Program_01!$A:$A,0)),"")</f>
        <v>0</v>
      </c>
      <c r="Z115" s="51"/>
      <c r="AA115" s="183" t="str">
        <f>IFERROR(IF((INDEX(Program_01!$AD:$AD,MATCH($B115,Program_01!$A:$A,0))=""),INDEX(Program_01!$V:$V,MATCH($B115,Program_01!$A:$A,0)),INDEX(Program_01!$AD:$AD,MATCH($B115,Program_01!$A:$A,0))),"")</f>
        <v xml:space="preserve">MIN01006-TRANSMIT-000044) , 1TB01006-006C52-MIN-LTR-0020 on 08 Nov 25
1Tb01006-006C52-LTR-0030 on 20 Dec 25
1TB01006-006C52-MIN-LTR-0034 
MIN01006-TRANSMIT-000071 20 Jan 26
MIN01006-GENCORR-000094 on 17 Feb 26
1TB01006-006C52-MIN-LTR-0051
MIN01006-TRANSMIT-000115 on 15 Apr 26
MIN01006-GENCORR-000106 on 15 Apr 26
MIN01006-GENCORR-000116, 115, 114 on 14 Apr 26
</v>
      </c>
      <c r="AB115" s="147">
        <f>IFERROR(IF((INDEX(Program_01!$AE:$AE,MATCH($B115,Program_01!$A:$A,0))=""),INDEX(Program_01!$W:$W,MATCH($B115,Program_01!$A:$A,0)),INDEX(Program_01!$AE:$AE,MATCH($B115,Program_01!$A:$A,0))),"")</f>
        <v>46156</v>
      </c>
      <c r="AC115" s="183" t="str">
        <f>IFERROR(IF($I115="EOT",INDEX(Program_01!$AN:$AN,MATCH($B115,Program_01!$A:$A,0)),INDEX(Program_01!$AY:$AY,MATCH($B115,Program_01!$A:$A,0))),"")</f>
        <v>WF-045369
1TB01006-006C52-AMA-RPT-PM-0001
WF initiated on 01 Jul 26
KPI+7 days
EAR issued to the Contractor (Ref. 1TB01006-006C52-AMA-LTR-0058)</v>
      </c>
      <c r="AD115" s="181">
        <f>IFERROR(IF($I115="EOT",INDEX(Program_01!$AO:$AO,MATCH($B115,Program_01!$A:$A,0)),INDEX(Program_01!$AZ:$AZ,MATCH($B115,Program_01!$A:$A,0))),"")</f>
        <v>46211</v>
      </c>
      <c r="AE115" s="51"/>
      <c r="AF115" s="183"/>
      <c r="AG115" s="181"/>
      <c r="AH115" s="183" t="str">
        <f>IF(OR($D115="",$AS115="VO Issued",$AS115="Open"),"",IF(OR($AC115="Rejected",$AC115="Superseded",$AC115="Dealt Separately"),$AC115,IF($I115="EOT",INDEX(Program_01!$AR:$AR,MATCH($B115,Program_01!$A:$A,0)),INDEX(Program_01!$BB:$BB,MATCH($B115,Program_01!$A:$A,0)))))</f>
        <v/>
      </c>
      <c r="AI115" s="181" t="str">
        <f>IF(OR($A115="",$B115="",$I115="",$AS115="VO Issued",$AS115="Open"),"",IF(OR($AD115="N/A"),$AD115,IF($I115="EOT",INDEX(Program_01!$AS:$AS,MATCH($B115,Program_01!$A:$A,0)),INDEX(Program_01!$BC:$BC,MATCH($B115,Program_01!$A:$A,0)))))</f>
        <v/>
      </c>
      <c r="AJ115" s="183" t="str">
        <f>IF(OR($D115="",$I115="",$AS115="Determination Issued",$AS115="Rejected",$AS115="Open"),"",IF(OR($AH115="Rejected",$AH115="Dealt Separately",$AH115="Superseded",$AH115="Withdrawn"),"N/A",IF($I115="EOT",INDEX(Program_01!AR:AR,MATCH($B115,Program_01!A:A,0)),INDEX(Program_01!BB:BB,MATCH($B115,Program_01!A:A,0)))))</f>
        <v/>
      </c>
      <c r="AK115" s="181" t="str">
        <f>IF(OR($A115="",$B115="",$I115="",$AS115="Determination Issued",$AS115="Rejected",$AS115="Open"),"",IF($AJ115="N/A","N/A",IF($I115="EOT",INDEX(Program_01!AS:AS,MATCH($B115,Program_01!A:A,0)),INDEX(Program_01!BC:BC,MATCH($B115,Program_01!A:A,0)))))</f>
        <v/>
      </c>
      <c r="AL115" s="51"/>
      <c r="AM115" s="184">
        <f>IFERROR(INDEX(Program_01!$BT:$BT,MATCH($B115,Program_01!$A:$A,0)),"")</f>
        <v>0</v>
      </c>
      <c r="AN115" s="184">
        <f>IFERROR(INDEX(Program_01!$BU:$BU,MATCH($B115,Program_01!$A:$A,0)),"")</f>
        <v>0</v>
      </c>
      <c r="AO115" s="184">
        <f>IFERROR(INDEX(Program_01!$BV:$BV,MATCH($B115,Program_01!$A:$A,0)),"")</f>
        <v>0</v>
      </c>
      <c r="AP115" s="51" t="str">
        <f t="shared" si="46"/>
        <v/>
      </c>
      <c r="AQ115" s="184">
        <f>IFERROR(INDEX(Program_01!$BN:$BN,MATCH($B115,Program_01!$A:$A,0)),"")</f>
        <v>0</v>
      </c>
      <c r="AR115" s="184" t="str">
        <f>IFERROR(INDEX(Program_01!$BO:$BO,MATCH($B115,Program_01!$A:$A,0)),"")</f>
        <v>Assessment Report Issued</v>
      </c>
      <c r="AS115" s="184" t="str">
        <f>IFERROR(INDEX(Program_01!$BP:$BP,MATCH($B115,Program_01!$A:$A,0)),"")</f>
        <v>Open</v>
      </c>
      <c r="AT115" s="185" t="str">
        <f>IFERROR(INDEX(Program_01!$BQ:$BQ,MATCH($B115,Program_01!$A:$A,0)),"")</f>
        <v>Planning Team</v>
      </c>
      <c r="AU115" s="179" t="str">
        <f>IFERROR(INDEX(Program_01!$BR:$BR,MATCH($B115,Program_01!$A:$A,0)),"")</f>
        <v>04 May 26: Commercial to revsie EAR, target to complete by Tuesday 05 May 2026
05 May 26: Updated draft EAR sent to claims team for review
11 May 26: documents shared previously was incorrect and correct document sent to claims team for review
18 May 26: Ditto, Targeted to issue the EAR to planning by 21 May 26
24 May 26: Draft EAR sent back to commercial with comments to addres and resubmit for further review
31 May 26: Commercial to address Claim's team comments - to finish by 08 June 26
04 Jun 26: Ditto
08 Jun 26: updated draft EAR sent to claims team for further review
09 Jun 26: Draft EAR sent to planning for TIA
15 Jun 26: Ditto, Targeted to revert by 18 Jun 26
18 Jun 26: TIA incorporated and sent to commercial for finalisation
21 Jun 26: Final Draft EAR sent to claims team for pre-approval prior to WF
23 Jun 26: Resubmitted the final draft for pre approval
28 June 26: EAR with claims team to obtain Kieran's offline approval
01 Jul 26: EAR approved and sent back to commercial to initiate WF // WF initiated via WF-045369
11 July 26: EAR in workflow still under approval
20 Jul 26: Cover letter put in workflow for issuance of EAR (WF-046004)
26 July 26: EAR issued to the Contractor (Ref. 1TB01006-006C52-AMA-LTR-0058)
10 Aug 26: Awaiting response from the Contractor
24 Aug 26: Contractor's Response to EAR - ref 1TB01006-006C52-MIN-LTR-0074 (partial disagreement).  Target date TBC
07 Sep 26: Ditto
07 Sep 26: Commercial sent letter of Contractor's response to Planning on 6 Sept 26
21 Sep 26: Ditto</v>
      </c>
      <c r="AV115" s="186" t="str">
        <f t="shared" si="32"/>
        <v/>
      </c>
      <c r="AW115" s="186" t="str">
        <f t="shared" si="47"/>
        <v>OPEN</v>
      </c>
      <c r="AX115" s="186" t="str">
        <f t="shared" si="33"/>
        <v>OPEN</v>
      </c>
      <c r="AY115" s="181">
        <f t="shared" si="38"/>
        <v>46156</v>
      </c>
      <c r="AZ115" s="181">
        <f t="shared" si="43"/>
        <v>46211</v>
      </c>
      <c r="BA115" s="181" t="str">
        <f t="shared" si="4"/>
        <v/>
      </c>
      <c r="BC115" s="181">
        <f>IFERROR(INDEX(Program_01!BF:BF,MATCH($B115,Program_01!$A:$A,0)),"")</f>
        <v>46156</v>
      </c>
      <c r="BD115" s="188">
        <f ca="1">IFERROR(INDEX(Program_01!BG:BG,MATCH($B115,Program_01!$A:$A,0)),"")</f>
        <v>26</v>
      </c>
      <c r="BE115" s="181">
        <f>IFERROR(INDEX(Program_01!BH:BH,MATCH($B115,Program_01!$A:$A,0)),"")</f>
        <v>46182</v>
      </c>
      <c r="BF115" s="189">
        <f ca="1">IFERROR(INDEX(Program_01!BI:BI,MATCH($B115,Program_01!$A:$A,0)),"")</f>
        <v>9</v>
      </c>
      <c r="BG115" s="181">
        <f>IFERROR(INDEX(Program_01!BJ:BJ,MATCH($B115,Program_01!$A:$A,0)),"")</f>
        <v>46191</v>
      </c>
      <c r="BH115" s="189">
        <f ca="1">IFERROR(INDEX(Program_01!BK:BK,MATCH($B115,Program_01!$A:$A,0)),"")</f>
        <v>109</v>
      </c>
      <c r="BI115" s="181">
        <f>IFERROR(INDEX(Program_01!BL:BL,MATCH($B115,Program_01!$A:$A,0)),"")</f>
        <v>0</v>
      </c>
      <c r="BK115" s="190">
        <f>IFERROR(IF(INDEX(Program_01!$BX:$BX,MATCH($B115,Program_01!$A:$A,0))=DATE(1900,1,0),"",INDEX(Program_01!$BX:$BX,MATCH($B115,Program_01!$A:$A,0))),"")</f>
        <v>46204</v>
      </c>
      <c r="BL115" s="190" t="str">
        <f>IFERROR(IF(INDEX(Program_01!$BY:$BY,MATCH($B115,Program_01!$A:$A,0))=DATE(1900,1,0),"",INDEX(Program_01!$BY:$BY,MATCH($B115,Program_01!$A:$A,0))),"")</f>
        <v/>
      </c>
      <c r="BM115" s="188">
        <f t="shared" ca="1" si="39"/>
        <v>55</v>
      </c>
      <c r="BN115" s="191">
        <f t="shared" ca="1" si="40"/>
        <v>55</v>
      </c>
      <c r="BO115" s="188">
        <f t="shared" ca="1" si="34"/>
        <v>55</v>
      </c>
      <c r="BP115" s="188" t="str">
        <f t="shared" si="6"/>
        <v>1</v>
      </c>
      <c r="BQ115" s="188" t="str">
        <f t="shared" ca="1" si="41"/>
        <v/>
      </c>
      <c r="BR115" s="181" t="str">
        <f t="shared" ca="1" si="44"/>
        <v/>
      </c>
      <c r="BT115" s="190" t="str">
        <f>IFERROR(IF(INDEX(Program_01!$BZ:$BZ,MATCH($B115,Program_01!$A:$A,0))=DATE(1900,1,0),"",INDEX(Program_01!$BZ:$BZ,MATCH($B115,Program_01!$A:$A,0))),"")</f>
        <v/>
      </c>
      <c r="BU115" s="182" t="str">
        <f t="shared" ca="1" si="48"/>
        <v/>
      </c>
      <c r="BV115" s="188" t="str">
        <f t="shared" si="35"/>
        <v/>
      </c>
      <c r="BW115" s="188" t="str">
        <f t="shared" si="8"/>
        <v/>
      </c>
      <c r="BX115" s="188" t="str">
        <f t="shared" ca="1" si="36"/>
        <v/>
      </c>
      <c r="BY115" s="181" t="str">
        <f t="shared" ca="1" si="45"/>
        <v/>
      </c>
      <c r="CA115" s="192" t="str">
        <f t="shared" si="49"/>
        <v>Y</v>
      </c>
      <c r="CB115" s="192" t="str">
        <f t="shared" si="50"/>
        <v>N</v>
      </c>
      <c r="CC115" s="193">
        <f>IFERROR(INDEX(Program_01!$CE:$CE,MATCH($B115,Program_01!$A:$A,0)),"")</f>
        <v>45953</v>
      </c>
      <c r="CD115" s="193">
        <f t="shared" si="31"/>
        <v>45953</v>
      </c>
      <c r="CG115" s="194">
        <f>IFERROR(INDEX(Program_01!$AT:$AT,MATCH($B115,Program_01!$A:$A,0)),"")</f>
        <v>0</v>
      </c>
      <c r="CH115" s="194">
        <f>IFERROR(INDEX(Program_01!$AX:$AX,MATCH($B115,Program_01!$A:$A,0)),"")</f>
        <v>0</v>
      </c>
    </row>
    <row r="116" spans="1:86" s="187" customFormat="1" ht="409.6">
      <c r="A116" s="174" t="s">
        <v>1</v>
      </c>
      <c r="B116" s="175">
        <f t="shared" si="42"/>
        <v>98</v>
      </c>
      <c r="C116" s="176" t="str">
        <f>IFERROR(INDEX(Program_01!$B:$B,MATCH($B116,Program_01!$A:$A,0)),"")</f>
        <v>FULL TIA EAR</v>
      </c>
      <c r="D116" s="176" t="str">
        <f>IFERROR(INDEX(Program_01!$D:$D,MATCH($B116,Program_01!$A:$A,0)),"")</f>
        <v>1TB01006C20</v>
      </c>
      <c r="E116" s="176" t="str">
        <f>IFERROR(INDEX(Program_01!$E:$E,MATCH($B116,Program_01!$A:$A,0)),"")</f>
        <v>1.TB.01.006.99</v>
      </c>
      <c r="F116" s="176" t="str">
        <f>IFERROR(INDEX(Program_01!$F:$F,MATCH($B116,Program_01!$A:$A,0)),"")</f>
        <v>Village Boutique Hotel</v>
      </c>
      <c r="G116" s="176" t="str">
        <f>IFERROR(INDEX(Program_01!$G:$G,MATCH($B116,Program_01!$A:$A,0)),"")</f>
        <v>Structural Steel Works for Village Boutique Hotel</v>
      </c>
      <c r="H116" s="176" t="str">
        <f>IFERROR(INDEX(Program_01!$H:$H,MATCH($B116,Program_01!$A:$A,0)),"")</f>
        <v>Cleveland Bridge Steel Co. LTD</v>
      </c>
      <c r="I116" s="176" t="str">
        <f t="shared" si="37"/>
        <v>EOT</v>
      </c>
      <c r="J116" s="176">
        <f>IFERROR(INDEX(Program_01!$I:$I,MATCH($B116,Program_01!$A:$A,0)),"")</f>
        <v>1</v>
      </c>
      <c r="K116" s="176">
        <f>IFERROR(INDEX(Program_01!$J:$J,MATCH($B116,Program_01!$A:$A,0)),"")</f>
        <v>0</v>
      </c>
      <c r="L116" s="176">
        <f>IFERROR(INDEX(Program_01!$K:$K,MATCH($B116,Program_01!$A:$A,0)),"")</f>
        <v>0</v>
      </c>
      <c r="M116" s="176">
        <f>IFERROR(INDEX(Program_01!$L:$L,MATCH($B116,Program_01!$A:$A,0)),"")</f>
        <v>0</v>
      </c>
      <c r="N116" s="176">
        <f>IFERROR(INDEX(Program_01!$L:$L,MATCH($B116,Program_01!$A:$A,0)),"")</f>
        <v>0</v>
      </c>
      <c r="O116" s="176">
        <f>IFERROR(INDEX(Program_01!$N:$N,MATCH($B116,Program_01!$A:$A,0)),"")</f>
        <v>0</v>
      </c>
      <c r="P116" s="178"/>
      <c r="Q116" s="179" t="str">
        <f>IFERROR(INDEX(Program_01!$C:$C,MATCH($B116,Program_01!$A:$A,0)),"")</f>
        <v xml:space="preserve">EOT Claim No. 02 </v>
      </c>
      <c r="R116" s="176" t="str">
        <f>IFERROR(INDEX(Program_01!$V:$V,MATCH($B116,Program_01!$A:$A,0)),"")</f>
        <v xml:space="preserve"> CBE01006-GENCORR-000055, 1TB01006-006C20-CBE-LTR-0016</v>
      </c>
      <c r="S116" s="180">
        <f>IFERROR(INDEX(Program_01!$W:$W,MATCH($B116,Program_01!$A:$A,0)),"")</f>
        <v>45942</v>
      </c>
      <c r="T116" s="178"/>
      <c r="U116" s="176" t="str">
        <f>IFERROR(INDEX(Program_01!$Z:$Z,MATCH($B116,Program_01!$A:$A,0)),"")</f>
        <v>AMA01006-GENCORR-003855</v>
      </c>
      <c r="V116" s="181">
        <f>IFERROR(INDEX(Program_01!$AA:$AA,MATCH($B116,Program_01!$A:$A,0)),"")</f>
        <v>45953</v>
      </c>
      <c r="W116" s="182">
        <f t="shared" ca="1" si="0"/>
        <v>11</v>
      </c>
      <c r="X116" s="51"/>
      <c r="Y116" s="179">
        <f>IFERROR(INDEX(Program_01!$BD:$BD,MATCH($B116,Program_01!$A:$A,0)),"")</f>
        <v>0</v>
      </c>
      <c r="Z116" s="51"/>
      <c r="AA116" s="183" t="str">
        <f>IFERROR(IF((INDEX(Program_01!$AD:$AD,MATCH($B116,Program_01!$A:$A,0))=""),INDEX(Program_01!$V:$V,MATCH($B116,Program_01!$A:$A,0)),INDEX(Program_01!$AD:$AD,MATCH($B116,Program_01!$A:$A,0))),"")</f>
        <v>CBE01006-GENCORR-000056 on 08 Nov 25
CBE01006-GENCORR-000059 02 Dec 25
CBE01006-GENCORR-000061 on 10 Dec 25</v>
      </c>
      <c r="AB116" s="147">
        <f>IFERROR(IF((INDEX(Program_01!$AE:$AE,MATCH($B116,Program_01!$A:$A,0))=""),INDEX(Program_01!$W:$W,MATCH($B116,Program_01!$A:$A,0)),INDEX(Program_01!$AE:$AE,MATCH($B116,Program_01!$A:$A,0))),"")</f>
        <v>46001</v>
      </c>
      <c r="AC116" s="183" t="str">
        <f>IFERROR(IF($I116="EOT",INDEX(Program_01!$AN:$AN,MATCH($B116,Program_01!$A:$A,0)),INDEX(Program_01!$AY:$AY,MATCH($B116,Program_01!$A:$A,0))),"")</f>
        <v>1TB01006-006C20-AMA-RPT-PM-0002
WF-041883 initiated on 03 Mar 26
23 Mar 26: EAR issued to contractor via 1TB01006-006C20-AMA-LTR-0066</v>
      </c>
      <c r="AD116" s="181">
        <f>IFERROR(IF($I116="EOT",INDEX(Program_01!$AO:$AO,MATCH($B116,Program_01!$A:$A,0)),INDEX(Program_01!$AZ:$AZ,MATCH($B116,Program_01!$A:$A,0))),"")</f>
        <v>46091</v>
      </c>
      <c r="AE116" s="51"/>
      <c r="AF116" s="183"/>
      <c r="AG116" s="181"/>
      <c r="AH116" s="183" t="str">
        <f>IF(OR($D116="",$AS116="VO Issued",$AS116="Open"),"",IF(OR($AC116="Rejected",$AC116="Superseded",$AC116="Dealt Separately"),$AC116,IF($I116="EOT",INDEX(Program_01!$AR:$AR,MATCH($B116,Program_01!$A:$A,0)),INDEX(Program_01!$BB:$BB,MATCH($B116,Program_01!$A:$A,0)))))</f>
        <v/>
      </c>
      <c r="AI116" s="181" t="str">
        <f>IF(OR($A116="",$B116="",$I116="",$AS116="VO Issued",$AS116="Open"),"",IF(OR($AD116="N/A"),$AD116,IF($I116="EOT",INDEX(Program_01!$AS:$AS,MATCH($B116,Program_01!$A:$A,0)),INDEX(Program_01!$BC:$BC,MATCH($B116,Program_01!$A:$A,0)))))</f>
        <v/>
      </c>
      <c r="AJ116" s="183" t="str">
        <f>IF(OR($D116="",$I116="",$AS116="Determination Issued",$AS116="Rejected",$AS116="Open"),"",IF(OR($AH116="Rejected",$AH116="Dealt Separately",$AH116="Superseded",$AH116="Withdrawn"),"N/A",IF($I116="EOT",INDEX(Program_01!AR:AR,MATCH($B116,Program_01!A:A,0)),INDEX(Program_01!BB:BB,MATCH($B116,Program_01!A:A,0)))))</f>
        <v/>
      </c>
      <c r="AK116" s="181" t="str">
        <f>IF(OR($A116="",$B116="",$I116="",$AS116="Determination Issued",$AS116="Rejected",$AS116="Open"),"",IF($AJ116="N/A","N/A",IF($I116="EOT",INDEX(Program_01!AS:AS,MATCH($B116,Program_01!A:A,0)),INDEX(Program_01!BC:BC,MATCH($B116,Program_01!A:A,0)))))</f>
        <v/>
      </c>
      <c r="AL116" s="51"/>
      <c r="AM116" s="184">
        <f>IFERROR(INDEX(Program_01!$BT:$BT,MATCH($B116,Program_01!$A:$A,0)),"")</f>
        <v>0</v>
      </c>
      <c r="AN116" s="184">
        <f>IFERROR(INDEX(Program_01!$BU:$BU,MATCH($B116,Program_01!$A:$A,0)),"")</f>
        <v>0</v>
      </c>
      <c r="AO116" s="184">
        <f>IFERROR(INDEX(Program_01!$BV:$BV,MATCH($B116,Program_01!$A:$A,0)),"")</f>
        <v>0</v>
      </c>
      <c r="AP116" s="51" t="str">
        <f t="shared" si="46"/>
        <v/>
      </c>
      <c r="AQ116" s="184">
        <f>IFERROR(INDEX(Program_01!$BN:$BN,MATCH($B116,Program_01!$A:$A,0)),"")</f>
        <v>0</v>
      </c>
      <c r="AR116" s="184" t="str">
        <f>IFERROR(INDEX(Program_01!$BO:$BO,MATCH($B116,Program_01!$A:$A,0)),"")</f>
        <v>Assessment Report Issued</v>
      </c>
      <c r="AS116" s="184" t="str">
        <f>IFERROR(INDEX(Program_01!$BP:$BP,MATCH($B116,Program_01!$A:$A,0)),"")</f>
        <v>Open</v>
      </c>
      <c r="AT116" s="185" t="str">
        <f>IFERROR(INDEX(Program_01!$BQ:$BQ,MATCH($B116,Program_01!$A:$A,0)),"")</f>
        <v>Commercial and Planning</v>
      </c>
      <c r="AU116" s="179" t="str">
        <f>IFERROR(INDEX(Program_01!$BR:$BR,MATCH($B116,Program_01!$A:$A,0)),"")</f>
        <v>25 Feb 26: final updated draft sent to claims for pre-approval
02 Mar 26: EAR approved by claims team for WF initiation
03 March 26: EAR currently under WF-041883
08 Mar 26: Ditto
18 Mar 26: cover letter to issue the EAR-02 put in WF-042310
23 Mar 26: EAR issued to contractor via 1TB01006-006C20-AMA-LTR-0066
06 Apr 26: awaiting acceptance from contrator
18 April 26: Contractor disagrees with the EAR maintaining its position of the Completion Date of 23 Ocotber 2025 (CBVE01006-GENCORR-000067). Employer responded asking further particulars of the disagreement (AMA01006-GENCORR-004578) - Awaiting Contractor's response.
21 Apr 26: Contractor responded challenging employer's TIA via CBE01006-GENCORR-000068, contractor's response sent to Planning for their input
04 May 26: Planning to respond on Tuesday 05 May 2026
11 May 26: Planning undertaking the concurrency analysis and has t argeted to revert by 31 May 26
14 May 26: Employer responded on 10 May 26 in regards of DE-14 clarification via Ref. AMA01006-GENCORR-004687. Concurrency assessment is yet to be issued by planning 
31 May 26: Concurrency assessment to be issued - awaiting from Planning
04 Jun 26: Ditto
08 Jun 26: Target 11 Jun 26
15 Jun 26: Ditto, targeted to revert by 18 Jun 26
22 Jun 26: responded to commercial on 21 Jun 26
28 June 26: Awaiting Contractor's response to the EAR, Commercial issued Concurrency Analysis to Contractor (Ref. AMA01006-GENCORR-004824 dated 22 June 26). awaiting Contractor's response to the EAR.
11 July 26: Ditto
26 July 26: Awaiting Contractor's response to EAR
10 Aug 26: Awaiting response from the Contractor, Commercial to issue a follow up letter
02 Sept 26: Contractor requested for a copy of the XER file (CBE01006-GENCORR-000076). Commercial provided the XER file (AMA01006-GENCORR-005007)
16 Sep 26: Contractor responded via CBE01006-GENCORR-000078 following up on the cost assessment of its claim. 
29 Sep 26: Draft response sent to claims team for review
30 Sep 26: draft letter reverted with commetns to revise &amp; resubmit // Planning preparing inputs on concerns related to TIA</v>
      </c>
      <c r="AV116" s="186" t="str">
        <f t="shared" si="32"/>
        <v/>
      </c>
      <c r="AW116" s="186" t="str">
        <f t="shared" si="47"/>
        <v>OPEN</v>
      </c>
      <c r="AX116" s="186" t="str">
        <f t="shared" si="33"/>
        <v>OPEN</v>
      </c>
      <c r="AY116" s="181">
        <f t="shared" si="38"/>
        <v>46001</v>
      </c>
      <c r="AZ116" s="181">
        <f t="shared" si="43"/>
        <v>46091</v>
      </c>
      <c r="BA116" s="181" t="str">
        <f t="shared" si="4"/>
        <v/>
      </c>
      <c r="BC116" s="181">
        <f>IFERROR(INDEX(Program_01!BF:BF,MATCH($B116,Program_01!$A:$A,0)),"")</f>
        <v>46001</v>
      </c>
      <c r="BD116" s="188">
        <f ca="1">IFERROR(INDEX(Program_01!BG:BG,MATCH($B116,Program_01!$A:$A,0)),"")</f>
        <v>299</v>
      </c>
      <c r="BE116" s="181">
        <f>IFERROR(INDEX(Program_01!BH:BH,MATCH($B116,Program_01!$A:$A,0)),"")</f>
        <v>0</v>
      </c>
      <c r="BF116" s="189">
        <f ca="1">IFERROR(INDEX(Program_01!BI:BI,MATCH($B116,Program_01!$A:$A,0)),"")</f>
        <v>0</v>
      </c>
      <c r="BG116" s="181">
        <f>IFERROR(INDEX(Program_01!BJ:BJ,MATCH($B116,Program_01!$A:$A,0)),"")</f>
        <v>0</v>
      </c>
      <c r="BH116" s="189">
        <f ca="1">IFERROR(INDEX(Program_01!BK:BK,MATCH($B116,Program_01!$A:$A,0)),"")</f>
        <v>0</v>
      </c>
      <c r="BI116" s="181">
        <f>IFERROR(INDEX(Program_01!BL:BL,MATCH($B116,Program_01!$A:$A,0)),"")</f>
        <v>0</v>
      </c>
      <c r="BK116" s="190">
        <f>IFERROR(IF(INDEX(Program_01!$BX:$BX,MATCH($B116,Program_01!$A:$A,0))=DATE(1900,1,0),"",INDEX(Program_01!$BX:$BX,MATCH($B116,Program_01!$A:$A,0))),"")</f>
        <v>46082</v>
      </c>
      <c r="BL116" s="190" t="str">
        <f>IFERROR(IF(INDEX(Program_01!$BY:$BY,MATCH($B116,Program_01!$A:$A,0))=DATE(1900,1,0),"",INDEX(Program_01!$BY:$BY,MATCH($B116,Program_01!$A:$A,0))),"")</f>
        <v/>
      </c>
      <c r="BM116" s="188">
        <f t="shared" ca="1" si="39"/>
        <v>90</v>
      </c>
      <c r="BN116" s="191">
        <f t="shared" ca="1" si="40"/>
        <v>90</v>
      </c>
      <c r="BO116" s="188">
        <f t="shared" ca="1" si="34"/>
        <v>90</v>
      </c>
      <c r="BP116" s="188" t="str">
        <f t="shared" si="6"/>
        <v>1</v>
      </c>
      <c r="BQ116" s="188" t="str">
        <f t="shared" ca="1" si="41"/>
        <v/>
      </c>
      <c r="BR116" s="181" t="str">
        <f t="shared" ca="1" si="44"/>
        <v/>
      </c>
      <c r="BT116" s="190" t="str">
        <f>IFERROR(IF(INDEX(Program_01!$BZ:$BZ,MATCH($B116,Program_01!$A:$A,0))=DATE(1900,1,0),"",INDEX(Program_01!$BZ:$BZ,MATCH($B116,Program_01!$A:$A,0))),"")</f>
        <v/>
      </c>
      <c r="BU116" s="182" t="str">
        <f t="shared" ca="1" si="48"/>
        <v/>
      </c>
      <c r="BV116" s="188" t="str">
        <f t="shared" si="35"/>
        <v/>
      </c>
      <c r="BW116" s="188" t="str">
        <f t="shared" si="8"/>
        <v/>
      </c>
      <c r="BX116" s="188" t="str">
        <f t="shared" ca="1" si="36"/>
        <v/>
      </c>
      <c r="BY116" s="181" t="str">
        <f t="shared" ca="1" si="45"/>
        <v/>
      </c>
      <c r="CA116" s="192" t="str">
        <f t="shared" si="49"/>
        <v>Y</v>
      </c>
      <c r="CB116" s="192" t="str">
        <f t="shared" si="50"/>
        <v>N</v>
      </c>
      <c r="CC116" s="193">
        <f>IFERROR(INDEX(Program_01!$CE:$CE,MATCH($B116,Program_01!$A:$A,0)),"")</f>
        <v>45964</v>
      </c>
      <c r="CD116" s="193">
        <f t="shared" si="31"/>
        <v>45964</v>
      </c>
      <c r="CG116" s="194">
        <f>IFERROR(INDEX(Program_01!$AT:$AT,MATCH($B116,Program_01!$A:$A,0)),"")</f>
        <v>0</v>
      </c>
      <c r="CH116" s="194">
        <f>IFERROR(INDEX(Program_01!$AX:$AX,MATCH($B116,Program_01!$A:$A,0)),"")</f>
        <v>0</v>
      </c>
    </row>
    <row r="117" spans="1:86" s="187" customFormat="1" ht="289.5" customHeight="1">
      <c r="A117" s="174" t="s">
        <v>1</v>
      </c>
      <c r="B117" s="199">
        <f t="shared" si="42"/>
        <v>99</v>
      </c>
      <c r="C117" s="176" t="str">
        <f>IFERROR(INDEX(Program_01!$B:$B,MATCH($B117,Program_01!$A:$A,0)),"")</f>
        <v>FULL TIA EAR</v>
      </c>
      <c r="D117" s="176" t="str">
        <f>IFERROR(INDEX(Program_01!$D:$D,MATCH($B117,Program_01!$A:$A,0)),"")</f>
        <v>1TB01002C06</v>
      </c>
      <c r="E117" s="176" t="str">
        <f>IFERROR(INDEX(Program_01!$E:$E,MATCH($B117,Program_01!$A:$A,0)),"")</f>
        <v>1TB.01.002.99</v>
      </c>
      <c r="F117" s="176" t="str">
        <f>IFERROR(INDEX(Program_01!$F:$F,MATCH($B117,Program_01!$A:$A,0)),"")</f>
        <v>Marina Lifestyle Hotel &amp; Village</v>
      </c>
      <c r="G117" s="176" t="str">
        <f>IFERROR(INDEX(Program_01!$G:$G,MATCH($B117,Program_01!$A:$A,0)),"")</f>
        <v>MLH - Havelock One Interiors Company - Fit-Out Works</v>
      </c>
      <c r="H117" s="176" t="str">
        <f>IFERROR(INDEX(Program_01!$H:$H,MATCH($B117,Program_01!$A:$A,0)),"")</f>
        <v>Havelock One Interiors WLL – KSA</v>
      </c>
      <c r="I117" s="176" t="str">
        <f t="shared" si="37"/>
        <v>EOT</v>
      </c>
      <c r="J117" s="176">
        <f>IFERROR(INDEX(Program_01!$I:$I,MATCH($B117,Program_01!$A:$A,0)),"")</f>
        <v>1</v>
      </c>
      <c r="K117" s="176">
        <f>IFERROR(INDEX(Program_01!$J:$J,MATCH($B117,Program_01!$A:$A,0)),"")</f>
        <v>0</v>
      </c>
      <c r="L117" s="176">
        <f>IFERROR(INDEX(Program_01!$K:$K,MATCH($B117,Program_01!$A:$A,0)),"")</f>
        <v>0</v>
      </c>
      <c r="M117" s="176">
        <f>IFERROR(INDEX(Program_01!$L:$L,MATCH($B117,Program_01!$A:$A,0)),"")</f>
        <v>0</v>
      </c>
      <c r="N117" s="176">
        <f>IFERROR(INDEX(Program_01!$L:$L,MATCH($B117,Program_01!$A:$A,0)),"")</f>
        <v>0</v>
      </c>
      <c r="O117" s="176">
        <f>IFERROR(INDEX(Program_01!$N:$N,MATCH($B117,Program_01!$A:$A,0)),"")</f>
        <v>0</v>
      </c>
      <c r="P117" s="178"/>
      <c r="Q117" s="179" t="str">
        <f>IFERROR(INDEX(Program_01!$C:$C,MATCH($B117,Program_01!$A:$A,0)),"")</f>
        <v>Request for Interim Extension of Time due to Additional works Front of House, Public Space ID Package (EOT  02)</v>
      </c>
      <c r="R117" s="176" t="str">
        <f>IFERROR(INDEX(Program_01!$V:$V,MATCH($B117,Program_01!$A:$A,0)),"")</f>
        <v>1TB01002-002C06-HOI-LTR-0056</v>
      </c>
      <c r="S117" s="180">
        <f>IFERROR(INDEX(Program_01!$W:$W,MATCH($B117,Program_01!$A:$A,0)),"")</f>
        <v>45950</v>
      </c>
      <c r="T117" s="178"/>
      <c r="U117" s="176">
        <f>IFERROR(INDEX(Program_01!$Z:$Z,MATCH($B117,Program_01!$A:$A,0)),"")</f>
        <v>0</v>
      </c>
      <c r="V117" s="181" t="str">
        <f>IFERROR(INDEX(Program_01!$AA:$AA,MATCH($B117,Program_01!$A:$A,0)),"")</f>
        <v>N/A</v>
      </c>
      <c r="W117" s="182" t="str">
        <f t="shared" ca="1" si="0"/>
        <v/>
      </c>
      <c r="X117" s="51"/>
      <c r="Y117" s="179">
        <f>IFERROR(INDEX(Program_01!$BD:$BD,MATCH($B117,Program_01!$A:$A,0)),"")</f>
        <v>0</v>
      </c>
      <c r="Z117" s="51"/>
      <c r="AA117" s="183" t="str">
        <f>IFERROR(IF((INDEX(Program_01!$AD:$AD,MATCH($B117,Program_01!$A:$A,0))=""),INDEX(Program_01!$V:$V,MATCH($B117,Program_01!$A:$A,0)),INDEX(Program_01!$AD:$AD,MATCH($B117,Program_01!$A:$A,0))),"")</f>
        <v>1TB01002-002C06-HOI-LTR-0076</v>
      </c>
      <c r="AB117" s="147">
        <f>IFERROR(IF((INDEX(Program_01!$AE:$AE,MATCH($B117,Program_01!$A:$A,0))=""),INDEX(Program_01!$W:$W,MATCH($B117,Program_01!$A:$A,0)),INDEX(Program_01!$AE:$AE,MATCH($B117,Program_01!$A:$A,0))),"")</f>
        <v>46099</v>
      </c>
      <c r="AC117" s="183" t="str">
        <f>IFERROR(IF($I117="EOT",INDEX(Program_01!$AN:$AN,MATCH($B117,Program_01!$A:$A,0)),INDEX(Program_01!$AY:$AY,MATCH($B117,Program_01!$A:$A,0))),"")</f>
        <v>19 Jul 26: Workflow initiated via WF-042032 (AMA01002-WTRAN-164629) on 19 Jul 26
10 Aug 26: EAR issued to contractor via 1TB01002-002C06-AMA-LTR-0083</v>
      </c>
      <c r="AD117" s="181">
        <f>IFERROR(IF($I117="EOT",INDEX(Program_01!$AO:$AO,MATCH($B117,Program_01!$A:$A,0)),INDEX(Program_01!$AZ:$AZ,MATCH($B117,Program_01!$A:$A,0))),"")</f>
        <v>46229</v>
      </c>
      <c r="AE117" s="51"/>
      <c r="AF117" s="183"/>
      <c r="AG117" s="181"/>
      <c r="AH117" s="183" t="str">
        <f>IF(OR($D117="",$AS117="VO Issued",$AS117="Open"),"",IF(OR($AC117="Rejected",$AC117="Superseded",$AC117="Dealt Separately"),$AC117,IF($I117="EOT",INDEX(Program_01!$AR:$AR,MATCH($B117,Program_01!$A:$A,0)),INDEX(Program_01!$BB:$BB,MATCH($B117,Program_01!$A:$A,0)))))</f>
        <v/>
      </c>
      <c r="AI117" s="181" t="str">
        <f>IF(OR($A117="",$B117="",$I117="",$AS117="VO Issued",$AS117="Open"),"",IF(OR($AD117="N/A"),$AD117,IF($I117="EOT",INDEX(Program_01!$AS:$AS,MATCH($B117,Program_01!$A:$A,0)),INDEX(Program_01!$BC:$BC,MATCH($B117,Program_01!$A:$A,0)))))</f>
        <v/>
      </c>
      <c r="AJ117" s="183" t="str">
        <f>IF(OR($D117="",$I117="",$AS117="Determination Issued",$AS117="Rejected",$AS117="Open"),"",IF(OR($AH117="Rejected",$AH117="Dealt Separately",$AH117="Superseded",$AH117="Withdrawn"),"N/A",IF($I117="EOT",INDEX(Program_01!AR:AR,MATCH($B117,Program_01!A:A,0)),INDEX(Program_01!BB:BB,MATCH($B117,Program_01!A:A,0)))))</f>
        <v/>
      </c>
      <c r="AK117" s="181" t="str">
        <f>IF(OR($A117="",$B117="",$I117="",$AS117="Determination Issued",$AS117="Rejected",$AS117="Open"),"",IF($AJ117="N/A","N/A",IF($I117="EOT",INDEX(Program_01!AS:AS,MATCH($B117,Program_01!A:A,0)),INDEX(Program_01!BC:BC,MATCH($B117,Program_01!A:A,0)))))</f>
        <v/>
      </c>
      <c r="AL117" s="51"/>
      <c r="AM117" s="184">
        <f>IFERROR(INDEX(Program_01!$BT:$BT,MATCH($B117,Program_01!$A:$A,0)),"")</f>
        <v>0</v>
      </c>
      <c r="AN117" s="184">
        <f>IFERROR(INDEX(Program_01!$BU:$BU,MATCH($B117,Program_01!$A:$A,0)),"")</f>
        <v>0</v>
      </c>
      <c r="AO117" s="184">
        <f>IFERROR(INDEX(Program_01!$BV:$BV,MATCH($B117,Program_01!$A:$A,0)),"")</f>
        <v>0</v>
      </c>
      <c r="AP117" s="51" t="str">
        <f t="shared" si="46"/>
        <v/>
      </c>
      <c r="AQ117" s="184">
        <f>IFERROR(INDEX(Program_01!$BN:$BN,MATCH($B117,Program_01!$A:$A,0)),"")</f>
        <v>0</v>
      </c>
      <c r="AR117" s="184" t="str">
        <f>IFERROR(INDEX(Program_01!$BO:$BO,MATCH($B117,Program_01!$A:$A,0)),"")</f>
        <v>Assessment Report Issued</v>
      </c>
      <c r="AS117" s="184" t="str">
        <f>IFERROR(INDEX(Program_01!$BP:$BP,MATCH($B117,Program_01!$A:$A,0)),"")</f>
        <v>Open</v>
      </c>
      <c r="AT117" s="185" t="str">
        <f>IFERROR(INDEX(Program_01!$BQ:$BQ,MATCH($B117,Program_01!$A:$A,0)),"")</f>
        <v>Commercial Team</v>
      </c>
      <c r="AU117" s="179" t="str">
        <f>IFERROR(INDEX(Program_01!$BR:$BR,MATCH($B117,Program_01!$A:$A,0)),"")</f>
        <v>31 May 26: HOI updatd missing access clearance dates. EAR preparation in progress. Target date 01 June 26.
04 Jun 26: Target date 11 June 26.
10 Jun 26: EAR sent to claims team for review
15 Jun 26: targeted to revert by 16 Jun 26
16 Jun 26: EAR sent back to commercial with comments
19 Jun 26: Updated Draft EAR sent to claims team for further review
25 Jun 26: Draft EAR sent to planning to proceed with TIA
27 Jun 26: EAR sent back to commercial team with comments on incomplete chronology events
29 Jun 26: Targeted to revert by TBC
01 Jul 26: EAR updated and sent back to Planning to proceed with TIA
02 Jul 26: EAR sent back to commercial with further comments and clarification
04 Jul 26: EAR updated and sent to planning to proceed with TIA
06 Jul 26: Targeted to conclude TIA by 14 Jul 26
11 Jul 26 Targetted to conclude TIA by 25 July 2026
13 Jul 26: Ditto
14 Jul 26: TIA incorporated and sent to commercial team for finalisation
16 Jul 26: Final Draft EAR sent to claims team for pre-approval prior to WF process
18 Jul 26: EAR approved and sent back to commercial to initiate WF
19 Jul 26: Workflow initiated via WF-042032 (AMA01002-WTRAN-164629) on 19 Jul 26
26 Jul 26: Ditto
04 Jul 26: EAR WF approved, Cover letter put in Workflow (WF-042543 - 1TB01002-002C06-AMA-LTR-0083)
09 Aug26: Cover letter WF approved on 09 August 26, Commercial requested PMIS to issue to Contractor
10 Aug 26: EAR issued to contractor via 1TB01002-002C06-AMA-LTR-0083
23 Aug 26 : The due date for the Contractor's response (20 business days from 16 August) will be 3 September 2026. In parallel, EI for EOT 2 is under preparation and a formal WF to be initiated. 
07 Sep 26: Contractor issued the Notice of Disagreement and Rebuttal via 1TB01002-002C06-HOI-LTR-0106 on 24-Aug-26. Action currently with the planning team to issue the response. Currently with Sreejesh for review. 
14 Sep 26: planning team targeted to revert by 27 Sep 26
28 Sep 26: Planning team's response received on 28 September 2026.
04 Oct 26: Consolidated response with Commercial and Planning inputes is under preparation and to formalzied to the Contractor on or before 11 October 2026.</v>
      </c>
      <c r="AV117" s="186" t="str">
        <f t="shared" si="32"/>
        <v/>
      </c>
      <c r="AW117" s="186" t="str">
        <f t="shared" si="47"/>
        <v>OPEN</v>
      </c>
      <c r="AX117" s="186" t="str">
        <f t="shared" si="33"/>
        <v>OPEN</v>
      </c>
      <c r="AY117" s="181">
        <f t="shared" si="38"/>
        <v>46099</v>
      </c>
      <c r="AZ117" s="181">
        <f>IF($AD117=0,"",AD117)</f>
        <v>46229</v>
      </c>
      <c r="BA117" s="181" t="str">
        <f t="shared" si="4"/>
        <v/>
      </c>
      <c r="BC117" s="181">
        <f>IFERROR(INDEX(Program_01!BF:BF,MATCH($B117,Program_01!$A:$A,0)),"")</f>
        <v>46099</v>
      </c>
      <c r="BD117" s="188">
        <f ca="1">IFERROR(INDEX(Program_01!BG:BG,MATCH($B117,Program_01!$A:$A,0)),"")</f>
        <v>108</v>
      </c>
      <c r="BE117" s="181">
        <f>IFERROR(INDEX(Program_01!BH:BH,MATCH($B117,Program_01!$A:$A,0)),"")</f>
        <v>46207</v>
      </c>
      <c r="BF117" s="189">
        <f ca="1">IFERROR(INDEX(Program_01!BI:BI,MATCH($B117,Program_01!$A:$A,0)),"")</f>
        <v>10</v>
      </c>
      <c r="BG117" s="181">
        <f>IFERROR(INDEX(Program_01!BJ:BJ,MATCH($B117,Program_01!$A:$A,0)),"")</f>
        <v>46217</v>
      </c>
      <c r="BH117" s="189">
        <f ca="1">IFERROR(INDEX(Program_01!BK:BK,MATCH($B117,Program_01!$A:$A,0)),"")</f>
        <v>5</v>
      </c>
      <c r="BI117" s="181">
        <f>IFERROR(INDEX(Program_01!BL:BL,MATCH($B117,Program_01!$A:$A,0)),"")</f>
        <v>46222</v>
      </c>
      <c r="BK117" s="190">
        <f>IFERROR(IF(INDEX(Program_01!$BX:$BX,MATCH($B117,Program_01!$A:$A,0))=DATE(1900,1,0),"",INDEX(Program_01!$BX:$BX,MATCH($B117,Program_01!$A:$A,0))),"")</f>
        <v>46235</v>
      </c>
      <c r="BL117" s="190" t="str">
        <f>IFERROR(IF(INDEX(Program_01!$BY:$BY,MATCH($B117,Program_01!$A:$A,0))=DATE(1900,1,0),"",INDEX(Program_01!$BY:$BY,MATCH($B117,Program_01!$A:$A,0))),"")</f>
        <v/>
      </c>
      <c r="BM117" s="188">
        <f t="shared" ca="1" si="39"/>
        <v>130</v>
      </c>
      <c r="BN117" s="191">
        <f t="shared" ca="1" si="40"/>
        <v>130</v>
      </c>
      <c r="BO117" s="188">
        <f t="shared" ca="1" si="34"/>
        <v>130</v>
      </c>
      <c r="BP117" s="188" t="str">
        <f t="shared" si="6"/>
        <v>1</v>
      </c>
      <c r="BQ117" s="188" t="str">
        <f t="shared" ca="1" si="41"/>
        <v/>
      </c>
      <c r="BR117" s="181" t="str">
        <f ca="1">IF(BQ117="","","1")</f>
        <v/>
      </c>
      <c r="BT117" s="190" t="str">
        <f>IFERROR(IF(INDEX(Program_01!$BZ:$BZ,MATCH($B117,Program_01!$A:$A,0))=DATE(1900,1,0),"",INDEX(Program_01!$BZ:$BZ,MATCH($B117,Program_01!$A:$A,0))),"")</f>
        <v/>
      </c>
      <c r="BU117" s="182" t="str">
        <f t="shared" ca="1" si="48"/>
        <v/>
      </c>
      <c r="BV117" s="188" t="str">
        <f t="shared" si="35"/>
        <v/>
      </c>
      <c r="BW117" s="188" t="str">
        <f t="shared" si="8"/>
        <v/>
      </c>
      <c r="BX117" s="188" t="str">
        <f t="shared" ca="1" si="36"/>
        <v/>
      </c>
      <c r="BY117" s="181" t="str">
        <f ca="1">IF(BX117="","","1")</f>
        <v/>
      </c>
      <c r="CA117" s="192" t="str">
        <f t="shared" si="49"/>
        <v>Y</v>
      </c>
      <c r="CB117" s="192" t="str">
        <f t="shared" si="50"/>
        <v>N</v>
      </c>
      <c r="CC117" s="193">
        <f>IFERROR(INDEX(Program_01!$CE:$CE,MATCH($B117,Program_01!$A:$A,0)),"")</f>
        <v>45964</v>
      </c>
      <c r="CD117" s="193">
        <f t="shared" si="31"/>
        <v>45964</v>
      </c>
      <c r="CG117" s="194">
        <f>IFERROR(INDEX(Program_01!$AT:$AT,MATCH($B117,Program_01!$A:$A,0)),"")</f>
        <v>0</v>
      </c>
      <c r="CH117" s="194">
        <f>IFERROR(INDEX(Program_01!$AX:$AX,MATCH($B117,Program_01!$A:$A,0)),"")</f>
        <v>0</v>
      </c>
    </row>
    <row r="118" spans="1:86" s="187" customFormat="1" ht="249.75" customHeight="1">
      <c r="A118" s="174" t="s">
        <v>1</v>
      </c>
      <c r="B118" s="175">
        <f t="shared" si="42"/>
        <v>100</v>
      </c>
      <c r="C118" s="176" t="str">
        <f>IFERROR(INDEX(Program_01!$B:$B,MATCH($B118,Program_01!$A:$A,0)),"")</f>
        <v>FULL TIA EAR</v>
      </c>
      <c r="D118" s="176" t="str">
        <f>IFERROR(INDEX(Program_01!$D:$D,MATCH($B118,Program_01!$A:$A,0)),"")</f>
        <v>1TB01002C61</v>
      </c>
      <c r="E118" s="176" t="str">
        <f>IFERROR(INDEX(Program_01!$E:$E,MATCH($B118,Program_01!$A:$A,0)),"")</f>
        <v>1.TB.01.002.02</v>
      </c>
      <c r="F118" s="176" t="str">
        <f>IFERROR(INDEX(Program_01!$F:$F,MATCH($B118,Program_01!$A:$A,0)),"")</f>
        <v>Marina Lifestyle Hotel &amp; Village</v>
      </c>
      <c r="G118" s="176" t="str">
        <f>IFERROR(INDEX(Program_01!$G:$G,MATCH($B118,Program_01!$A:$A,0)),"")</f>
        <v>Fit-Out works of AMAALA Residences/Non-Branded (49 Nos)
for Marina Lifestyle Hotel</v>
      </c>
      <c r="H118" s="176" t="str">
        <f>IFERROR(INDEX(Program_01!$H:$H,MATCH($B118,Program_01!$A:$A,0)),"")</f>
        <v>Havelock One Interiors Company</v>
      </c>
      <c r="I118" s="176" t="str">
        <f t="shared" si="37"/>
        <v>EOT</v>
      </c>
      <c r="J118" s="176">
        <f>IFERROR(INDEX(Program_01!$I:$I,MATCH($B118,Program_01!$A:$A,0)),"")</f>
        <v>1</v>
      </c>
      <c r="K118" s="176">
        <f>IFERROR(INDEX(Program_01!$J:$J,MATCH($B118,Program_01!$A:$A,0)),"")</f>
        <v>0</v>
      </c>
      <c r="L118" s="176">
        <f>IFERROR(INDEX(Program_01!$K:$K,MATCH($B118,Program_01!$A:$A,0)),"")</f>
        <v>0</v>
      </c>
      <c r="M118" s="176">
        <f>IFERROR(INDEX(Program_01!$L:$L,MATCH($B118,Program_01!$A:$A,0)),"")</f>
        <v>0</v>
      </c>
      <c r="N118" s="176">
        <f>IFERROR(INDEX(Program_01!$L:$L,MATCH($B118,Program_01!$A:$A,0)),"")</f>
        <v>0</v>
      </c>
      <c r="O118" s="176">
        <f>IFERROR(INDEX(Program_01!$N:$N,MATCH($B118,Program_01!$A:$A,0)),"")</f>
        <v>0</v>
      </c>
      <c r="P118" s="178"/>
      <c r="Q118" s="179" t="str">
        <f>IFERROR(INDEX(Program_01!$C:$C,MATCH($B118,Program_01!$A:$A,0)),"")</f>
        <v>Request for Interim Extension of Time Residences 49 Condos ID Package (EOT Rev 01)</v>
      </c>
      <c r="R118" s="176" t="str">
        <f>IFERROR(INDEX(Program_01!$V:$V,MATCH($B118,Program_01!$A:$A,0)),"")</f>
        <v>1TB01002-002C61-HOI-LTR-0007</v>
      </c>
      <c r="S118" s="180">
        <f>IFERROR(INDEX(Program_01!$W:$W,MATCH($B118,Program_01!$A:$A,0)),"")</f>
        <v>45950</v>
      </c>
      <c r="T118" s="178"/>
      <c r="U118" s="176">
        <f>IFERROR(INDEX(Program_01!$Z:$Z,MATCH($B118,Program_01!$A:$A,0)),"")</f>
        <v>0</v>
      </c>
      <c r="V118" s="181" t="str">
        <f>IFERROR(INDEX(Program_01!$AA:$AA,MATCH($B118,Program_01!$A:$A,0)),"")</f>
        <v>N/A</v>
      </c>
      <c r="W118" s="182" t="str">
        <f t="shared" ca="1" si="0"/>
        <v/>
      </c>
      <c r="X118" s="51"/>
      <c r="Y118" s="179">
        <f>IFERROR(INDEX(Program_01!$BD:$BD,MATCH($B118,Program_01!$A:$A,0)),"")</f>
        <v>0</v>
      </c>
      <c r="Z118" s="51"/>
      <c r="AA118" s="183" t="str">
        <f>IFERROR(IF((INDEX(Program_01!$AD:$AD,MATCH($B118,Program_01!$A:$A,0))=""),INDEX(Program_01!$V:$V,MATCH($B118,Program_01!$A:$A,0)),INDEX(Program_01!$AD:$AD,MATCH($B118,Program_01!$A:$A,0))),"")</f>
        <v>advince copy of additional Particulars received on 06 Jan 26 via email
HOI01002-GENCORR-000235 (same particulars as above formally submitted via aconex)</v>
      </c>
      <c r="AB118" s="147">
        <f>IFERROR(IF((INDEX(Program_01!$AE:$AE,MATCH($B118,Program_01!$A:$A,0))=""),INDEX(Program_01!$W:$W,MATCH($B118,Program_01!$A:$A,0)),INDEX(Program_01!$AE:$AE,MATCH($B118,Program_01!$A:$A,0))),"")</f>
        <v>46079</v>
      </c>
      <c r="AC118" s="183" t="str">
        <f>IFERROR(IF($I118="EOT",INDEX(Program_01!$AN:$AN,MATCH($B118,Program_01!$A:$A,0)),INDEX(Program_01!$AY:$AY,MATCH($B118,Program_01!$A:$A,0))),"")</f>
        <v xml:space="preserve">1TB01002-002C61-AMA-RPT-PM-0001
WF-037644 initiated on 02 Mar 26
EAR with letter reference 1TB01002-002C61-AMA-LTR-0007 dated 23-Mar-26 </v>
      </c>
      <c r="AD118" s="181">
        <f>IFERROR(IF($I118="EOT",INDEX(Program_01!$AO:$AO,MATCH($B118,Program_01!$A:$A,0)),INDEX(Program_01!$AZ:$AZ,MATCH($B118,Program_01!$A:$A,0))),"")</f>
        <v>46090</v>
      </c>
      <c r="AE118" s="51"/>
      <c r="AF118" s="183"/>
      <c r="AG118" s="181"/>
      <c r="AH118" s="183">
        <f>IF(OR($D118="",$AS118="VO Issued",$AS118="Open"),"",IF(OR($AC118="Rejected",$AC118="Superseded",$AC118="Dealt Separately"),$AC118,IF($I118="EOT",INDEX(Program_01!$AR:$AR,MATCH($B118,Program_01!$A:$A,0)),INDEX(Program_01!$BB:$BB,MATCH($B118,Program_01!$A:$A,0)))))</f>
        <v>0</v>
      </c>
      <c r="AI118" s="181">
        <f>IF(OR($A118="",$B118="",$I118="",$AS118="VO Issued",$AS118="Open"),"",IF(OR($AD118="N/A"),$AD118,IF($I118="EOT",INDEX(Program_01!$AS:$AS,MATCH($B118,Program_01!$A:$A,0)),INDEX(Program_01!$BC:$BC,MATCH($B118,Program_01!$A:$A,0)))))</f>
        <v>0</v>
      </c>
      <c r="AJ118" s="183">
        <f>IF(OR($D118="",$I118="",$AS118="Determination Issued",$AS118="Rejected",$AS118="Open"),"",IF(OR($AH118="Rejected",$AH118="Dealt Separately",$AH118="Superseded",$AH118="Withdrawn"),"N/A",IF($I118="EOT",INDEX(Program_01!AR:AR,MATCH($B118,Program_01!A:A,0)),INDEX(Program_01!BB:BB,MATCH($B118,Program_01!A:A,0)))))</f>
        <v>0</v>
      </c>
      <c r="AK118" s="181">
        <f>IF(OR($A118="",$B118="",$I118="",$AS118="Determination Issued",$AS118="Rejected",$AS118="Open"),"",IF($AJ118="N/A","N/A",IF($I118="EOT",INDEX(Program_01!AS:AS,MATCH($B118,Program_01!A:A,0)),INDEX(Program_01!BC:BC,MATCH($B118,Program_01!A:A,0)))))</f>
        <v>0</v>
      </c>
      <c r="AL118" s="51"/>
      <c r="AM118" s="184">
        <f>IFERROR(INDEX(Program_01!$BT:$BT,MATCH($B118,Program_01!$A:$A,0)),"")</f>
        <v>0</v>
      </c>
      <c r="AN118" s="184">
        <f>IFERROR(INDEX(Program_01!$BU:$BU,MATCH($B118,Program_01!$A:$A,0)),"")</f>
        <v>0</v>
      </c>
      <c r="AO118" s="184">
        <f>IFERROR(INDEX(Program_01!$BV:$BV,MATCH($B118,Program_01!$A:$A,0)),"")</f>
        <v>0</v>
      </c>
      <c r="AP118" s="51" t="str">
        <f t="shared" si="46"/>
        <v/>
      </c>
      <c r="AQ118" s="184">
        <f>IFERROR(INDEX(Program_01!$BN:$BN,MATCH($B118,Program_01!$A:$A,0)),"")</f>
        <v>0</v>
      </c>
      <c r="AR118" s="184" t="str">
        <f>IFERROR(INDEX(Program_01!$BO:$BO,MATCH($B118,Program_01!$A:$A,0)),"")</f>
        <v>Assessment Report Issued</v>
      </c>
      <c r="AS118" s="184" t="str">
        <f>IFERROR(INDEX(Program_01!$BP:$BP,MATCH($B118,Program_01!$A:$A,0)),"")</f>
        <v>EI Issued</v>
      </c>
      <c r="AT118" s="185" t="str">
        <f>IFERROR(INDEX(Program_01!$BQ:$BQ,MATCH($B118,Program_01!$A:$A,0)),"")</f>
        <v>Closed</v>
      </c>
      <c r="AU118" s="179" t="str">
        <f>IFERROR(INDEX(Program_01!$BR:$BR,MATCH($B118,Program_01!$A:$A,0)),"")</f>
        <v>24 Jan 26: Draft EAR sent back to commercial with comments
25 Jan 26: Commercial review shared to MLH Claim's team on 13 -Jan-26. reviewd, updated and sent back to PB on 25 Jan. 
26 Jan 26: Draft EAR sent to Planning for TIA
28 Jan 26: Draft report sent back to claim with comments to resubmit,  Comments were addressed by commercial team and shared the missing Appendix for DE-05 
02 Feb 26: Targeted to conclude TIA by 12 Feb 26
09 Feb 26: Ditto, TIA still with Planning
16 Feb 26: Target date moved to 19 Feb 26
23 Feb 26 : TIA incorporated and sent to commercial for finalisation
24 Feb 26: Final Draft EAR sent to claims for pre-approval prior to formal WF initiation 
01 Mar 26: EAR Approved for WF initiation
02 Mar 26: EAR is currenlty in Work Flow for approval ( WF -037644)
08 Mar 26: Ditto
23 Mar 26: EAR with letter reference 1TB01002-002C61-AMA-LTR-0007 dated 23-Mar-26 was issued for the Contractor's review.
06 Mar 26: awaiting acceptance from contractor
20 Apr 26: Ditto
04 May 26: Contractor responded via letter ref. 1TB01002-002C61-HOI-LTR-0017 dated 19 Apr 26 with comments. under commercial/ planning team review. Target date 10 May 26.
18 May 26: Under commercial/ planning review. Target date 24 May 2026.
04 Jun 26: Target 11 Jun 26.
15 Jun 26: Ditto
22 Jun 26: targeted to revert by 30 Jun 26
29 Jun 26: Ditto
06 Jul 26: Taregeted to revert by 09 Jul 26
11 July 26: RSG Commercial to raise EI to WF by 13 July 2026
16 Jul 26: EI in WF (042034) - 1TB01002-002C61-EMI-CM-0004
21 Jul 26: EI issued to contractor
21 Sep 26 : RSG's response issued to HOI via 1TB01002-002C61-AMA-LTR-0018 on 20 Sep 26. Employer's EOT aware position remains same. Commercial to proceed with determination by the 1st of Oct 2026
04 Oct 26: No further response from the Contractor.</v>
      </c>
      <c r="AV118" s="186" t="str">
        <f t="shared" si="32"/>
        <v/>
      </c>
      <c r="AW118" s="186" t="str">
        <f t="shared" si="47"/>
        <v>CLOSED</v>
      </c>
      <c r="AX118" s="186" t="str">
        <f t="shared" si="33"/>
        <v>CLOSED</v>
      </c>
      <c r="AY118" s="181">
        <f t="shared" si="38"/>
        <v>46079</v>
      </c>
      <c r="AZ118" s="181">
        <f t="shared" ref="AZ118:AZ128" si="51">IF($AD118=0,"",AD118)</f>
        <v>46090</v>
      </c>
      <c r="BA118" s="181">
        <f t="shared" si="4"/>
        <v>0</v>
      </c>
      <c r="BC118" s="181">
        <f>IFERROR(INDEX(Program_01!BF:BF,MATCH($B118,Program_01!$A:$A,0)),"")</f>
        <v>46079</v>
      </c>
      <c r="BD118" s="188">
        <f ca="1">IFERROR(INDEX(Program_01!BG:BG,MATCH($B118,Program_01!$A:$A,0)),"")</f>
        <v>-31</v>
      </c>
      <c r="BE118" s="181">
        <f>IFERROR(INDEX(Program_01!BH:BH,MATCH($B118,Program_01!$A:$A,0)),"")</f>
        <v>46048</v>
      </c>
      <c r="BF118" s="189">
        <f ca="1">IFERROR(INDEX(Program_01!BI:BI,MATCH($B118,Program_01!$A:$A,0)),"")</f>
        <v>28</v>
      </c>
      <c r="BG118" s="181">
        <f>IFERROR(INDEX(Program_01!BJ:BJ,MATCH($B118,Program_01!$A:$A,0)),"")</f>
        <v>46076</v>
      </c>
      <c r="BH118" s="189">
        <f ca="1">IFERROR(INDEX(Program_01!BK:BK,MATCH($B118,Program_01!$A:$A,0)),"")</f>
        <v>28</v>
      </c>
      <c r="BI118" s="181">
        <f>IFERROR(INDEX(Program_01!BL:BL,MATCH($B118,Program_01!$A:$A,0)),"")</f>
        <v>46104</v>
      </c>
      <c r="BK118" s="190">
        <f>IFERROR(IF(INDEX(Program_01!$BX:$BX,MATCH($B118,Program_01!$A:$A,0))=DATE(1900,1,0),"",INDEX(Program_01!$BX:$BX,MATCH($B118,Program_01!$A:$A,0))),"")</f>
        <v>46082</v>
      </c>
      <c r="BL118" s="190" t="str">
        <f>IFERROR(IF(INDEX(Program_01!$BY:$BY,MATCH($B118,Program_01!$A:$A,0))=DATE(1900,1,0),"",INDEX(Program_01!$BY:$BY,MATCH($B118,Program_01!$A:$A,0))),"")</f>
        <v/>
      </c>
      <c r="BM118" s="188">
        <f t="shared" ca="1" si="39"/>
        <v>11</v>
      </c>
      <c r="BN118" s="191">
        <f t="shared" ca="1" si="40"/>
        <v>11</v>
      </c>
      <c r="BO118" s="188">
        <f t="shared" ca="1" si="34"/>
        <v>11</v>
      </c>
      <c r="BP118" s="188" t="str">
        <f t="shared" si="6"/>
        <v>1</v>
      </c>
      <c r="BQ118" s="188" t="str">
        <f t="shared" ca="1" si="41"/>
        <v/>
      </c>
      <c r="BR118" s="181" t="str">
        <f t="shared" ref="BR118:BR128" ca="1" si="52">IF(BQ118="","","1")</f>
        <v/>
      </c>
      <c r="BT118" s="190" t="str">
        <f>IFERROR(IF(INDEX(Program_01!$BZ:$BZ,MATCH($B118,Program_01!$A:$A,0))=DATE(1900,1,0),"",INDEX(Program_01!$BZ:$BZ,MATCH($B118,Program_01!$A:$A,0))),"")</f>
        <v/>
      </c>
      <c r="BU118" s="182" t="str">
        <f t="shared" ca="1" si="48"/>
        <v/>
      </c>
      <c r="BV118" s="188" t="str">
        <f t="shared" si="35"/>
        <v/>
      </c>
      <c r="BW118" s="188" t="str">
        <f t="shared" si="8"/>
        <v>1</v>
      </c>
      <c r="BX118" s="188" t="str">
        <f t="shared" ca="1" si="36"/>
        <v/>
      </c>
      <c r="BY118" s="181" t="str">
        <f t="shared" ref="BY118:BY128" ca="1" si="53">IF(BX118="","","1")</f>
        <v/>
      </c>
      <c r="CA118" s="192" t="str">
        <f t="shared" si="49"/>
        <v>Y</v>
      </c>
      <c r="CB118" s="192" t="str">
        <f t="shared" si="50"/>
        <v>N</v>
      </c>
      <c r="CC118" s="193">
        <f>IFERROR(INDEX(Program_01!$CE:$CE,MATCH($B118,Program_01!$A:$A,0)),"")</f>
        <v>45964</v>
      </c>
      <c r="CD118" s="193">
        <f t="shared" si="31"/>
        <v>45964</v>
      </c>
      <c r="CG118" s="194">
        <f>IFERROR(INDEX(Program_01!$AT:$AT,MATCH($B118,Program_01!$A:$A,0)),"")</f>
        <v>0</v>
      </c>
      <c r="CH118" s="194">
        <f>IFERROR(INDEX(Program_01!$AX:$AX,MATCH($B118,Program_01!$A:$A,0)),"")</f>
        <v>0</v>
      </c>
    </row>
    <row r="119" spans="1:86" s="187" customFormat="1" ht="409" customHeight="1">
      <c r="A119" s="174" t="s">
        <v>1</v>
      </c>
      <c r="B119" s="175">
        <f t="shared" si="42"/>
        <v>101</v>
      </c>
      <c r="C119" s="176" t="str">
        <f>IFERROR(INDEX(Program_01!$B:$B,MATCH($B119,Program_01!$A:$A,0)),"")</f>
        <v>COST EAR</v>
      </c>
      <c r="D119" s="176" t="str">
        <f>IFERROR(INDEX(Program_01!$D:$D,MATCH($B119,Program_01!$A:$A,0)),"")</f>
        <v>1TB01002C03</v>
      </c>
      <c r="E119" s="176" t="str">
        <f>IFERROR(INDEX(Program_01!$E:$E,MATCH($B119,Program_01!$A:$A,0)),"")</f>
        <v>1.TB.01.002.03</v>
      </c>
      <c r="F119" s="176" t="str">
        <f>IFERROR(INDEX(Program_01!$F:$F,MATCH($B119,Program_01!$A:$A,0)),"")</f>
        <v>Marina Lifestyle Hotel &amp; Village</v>
      </c>
      <c r="G119" s="176" t="str">
        <f>IFERROR(INDEX(Program_01!$G:$G,MATCH($B119,Program_01!$A:$A,0)),"")</f>
        <v>Concrete Structure and Civil Works for Marina Lifestyle Hotel</v>
      </c>
      <c r="H119" s="176" t="str">
        <f>IFERROR(INDEX(Program_01!$H:$H,MATCH($B119,Program_01!$A:$A,0)),"")</f>
        <v>MAS Engineering &amp; Construction Company LTD</v>
      </c>
      <c r="I119" s="176" t="str">
        <f t="shared" si="37"/>
        <v>Prolongation</v>
      </c>
      <c r="J119" s="176">
        <f>IFERROR(INDEX(Program_01!$I:$I,MATCH($B119,Program_01!$A:$A,0)),"")</f>
        <v>0</v>
      </c>
      <c r="K119" s="176">
        <f>IFERROR(INDEX(Program_01!$J:$J,MATCH($B119,Program_01!$A:$A,0)),"")</f>
        <v>1</v>
      </c>
      <c r="L119" s="176">
        <f>IFERROR(INDEX(Program_01!$K:$K,MATCH($B119,Program_01!$A:$A,0)),"")</f>
        <v>0</v>
      </c>
      <c r="M119" s="176">
        <f>IFERROR(INDEX(Program_01!$L:$L,MATCH($B119,Program_01!$A:$A,0)),"")</f>
        <v>0</v>
      </c>
      <c r="N119" s="176">
        <f>IFERROR(INDEX(Program_01!$L:$L,MATCH($B119,Program_01!$A:$A,0)),"")</f>
        <v>0</v>
      </c>
      <c r="O119" s="176">
        <f>IFERROR(INDEX(Program_01!$N:$N,MATCH($B119,Program_01!$A:$A,0)),"")</f>
        <v>0</v>
      </c>
      <c r="P119" s="178"/>
      <c r="Q119" s="179" t="str">
        <f>IFERROR(INDEX(Program_01!$C:$C,MATCH($B119,Program_01!$A:$A,0)),"")</f>
        <v>Cost Claim - Interim Application for Extension of Time (EOT) No.1 Rev.2</v>
      </c>
      <c r="R119" s="176" t="str">
        <f>IFERROR(INDEX(Program_01!$V:$V,MATCH($B119,Program_01!$A:$A,0)),"")</f>
        <v>1TB01002-002C03-MEC-LTR-0077 on 08 Nov 25
1TB01002-002C03-MEC-LTR-0084 on 18-Jan-26.</v>
      </c>
      <c r="S119" s="180">
        <f>IFERROR(INDEX(Program_01!$W:$W,MATCH($B119,Program_01!$A:$A,0)),"")</f>
        <v>46040</v>
      </c>
      <c r="T119" s="178"/>
      <c r="U119" s="176">
        <f>IFERROR(INDEX(Program_01!$Z:$Z,MATCH($B119,Program_01!$A:$A,0)),"")</f>
        <v>0</v>
      </c>
      <c r="V119" s="181" t="str">
        <f>IFERROR(INDEX(Program_01!$AA:$AA,MATCH($B119,Program_01!$A:$A,0)),"")</f>
        <v>N/A</v>
      </c>
      <c r="W119" s="182" t="str">
        <f t="shared" ca="1" si="0"/>
        <v/>
      </c>
      <c r="X119" s="51"/>
      <c r="Y119" s="179">
        <f>IFERROR(INDEX(Program_01!$BD:$BD,MATCH($B119,Program_01!$A:$A,0)),"")</f>
        <v>0</v>
      </c>
      <c r="Z119" s="51"/>
      <c r="AA119" s="183" t="str">
        <f>IFERROR(IF((INDEX(Program_01!$AD:$AD,MATCH($B119,Program_01!$A:$A,0))=""),INDEX(Program_01!$V:$V,MATCH($B119,Program_01!$A:$A,0)),INDEX(Program_01!$AD:$AD,MATCH($B119,Program_01!$A:$A,0))),"")</f>
        <v>1TB01002-002C03-MEC-LTR-0092 on 05-Apr-26
 1TB01002-002C03-MEC-LTR-0093 on 13 May 2026.</v>
      </c>
      <c r="AB119" s="147">
        <f>IFERROR(IF((INDEX(Program_01!$AE:$AE,MATCH($B119,Program_01!$A:$A,0))=""),INDEX(Program_01!$W:$W,MATCH($B119,Program_01!$A:$A,0)),INDEX(Program_01!$AE:$AE,MATCH($B119,Program_01!$A:$A,0))),"")</f>
        <v>46155</v>
      </c>
      <c r="AC119" s="183">
        <f>IFERROR(IF($I119="EOT",INDEX(Program_01!$AN:$AN,MATCH($B119,Program_01!$A:$A,0)),INDEX(Program_01!$AY:$AY,MATCH($B119,Program_01!$A:$A,0))),"")</f>
        <v>0</v>
      </c>
      <c r="AD119" s="181">
        <f>IFERROR(IF($I119="EOT",INDEX(Program_01!$AO:$AO,MATCH($B119,Program_01!$A:$A,0)),INDEX(Program_01!$AZ:$AZ,MATCH($B119,Program_01!$A:$A,0))),"")</f>
        <v>0</v>
      </c>
      <c r="AE119" s="51"/>
      <c r="AF119" s="183"/>
      <c r="AG119" s="181"/>
      <c r="AH119" s="183" t="str">
        <f>IF(OR($D119="",$AS119="VO Issued",$AS119="Open"),"",IF(OR($AC119="Rejected",$AC119="Superseded",$AC119="Dealt Separately"),$AC119,IF($I119="EOT",INDEX(Program_01!$AR:$AR,MATCH($B119,Program_01!$A:$A,0)),INDEX(Program_01!$BB:$BB,MATCH($B119,Program_01!$A:$A,0)))))</f>
        <v/>
      </c>
      <c r="AI119" s="181" t="str">
        <f>IF(OR($A119="",$B119="",$I119="",$AS119="VO Issued",$AS119="Open"),"",IF(OR($AD119="N/A"),$AD119,IF($I119="EOT",INDEX(Program_01!$AS:$AS,MATCH($B119,Program_01!$A:$A,0)),INDEX(Program_01!$BC:$BC,MATCH($B119,Program_01!$A:$A,0)))))</f>
        <v/>
      </c>
      <c r="AJ119" s="183" t="str">
        <f>IF(OR($D119="",$I119="",$AS119="Determination Issued",$AS119="Rejected",$AS119="Open"),"",IF(OR($AH119="Rejected",$AH119="Dealt Separately",$AH119="Superseded",$AH119="Withdrawn"),"N/A",IF($I119="EOT",INDEX(Program_01!AR:AR,MATCH($B119,Program_01!A:A,0)),INDEX(Program_01!BB:BB,MATCH($B119,Program_01!A:A,0)))))</f>
        <v/>
      </c>
      <c r="AK119" s="181" t="str">
        <f>IF(OR($A119="",$B119="",$I119="",$AS119="Determination Issued",$AS119="Rejected",$AS119="Open"),"",IF($AJ119="N/A","N/A",IF($I119="EOT",INDEX(Program_01!AS:AS,MATCH($B119,Program_01!A:A,0)),INDEX(Program_01!BC:BC,MATCH($B119,Program_01!A:A,0)))))</f>
        <v/>
      </c>
      <c r="AL119" s="51"/>
      <c r="AM119" s="184">
        <f>IFERROR(INDEX(Program_01!$BT:$BT,MATCH($B119,Program_01!$A:$A,0)),"")</f>
        <v>0</v>
      </c>
      <c r="AN119" s="184">
        <f>IFERROR(INDEX(Program_01!$BU:$BU,MATCH($B119,Program_01!$A:$A,0)),"")</f>
        <v>0</v>
      </c>
      <c r="AO119" s="184">
        <f>IFERROR(INDEX(Program_01!$BV:$BV,MATCH($B119,Program_01!$A:$A,0)),"")</f>
        <v>0</v>
      </c>
      <c r="AP119" s="51" t="str">
        <f t="shared" si="46"/>
        <v/>
      </c>
      <c r="AQ119" s="184">
        <f>IFERROR(INDEX(Program_01!$BN:$BN,MATCH($B119,Program_01!$A:$A,0)),"")</f>
        <v>0</v>
      </c>
      <c r="AR119" s="184" t="str">
        <f>IFERROR(INDEX(Program_01!$BO:$BO,MATCH($B119,Program_01!$A:$A,0)),"")</f>
        <v>Pending</v>
      </c>
      <c r="AS119" s="184" t="str">
        <f>IFERROR(INDEX(Program_01!$BP:$BP,MATCH($B119,Program_01!$A:$A,0)),"")</f>
        <v>Open</v>
      </c>
      <c r="AT119" s="185" t="str">
        <f>IFERROR(INDEX(Program_01!$BQ:$BQ,MATCH($B119,Program_01!$A:$A,0)),"")</f>
        <v>Contractor</v>
      </c>
      <c r="AU119" s="179" t="str">
        <f>IFERROR(INDEX(Program_01!$BR:$BR,MATCH($B119,Program_01!$A:$A,0)),"")</f>
        <v xml:space="preserve">23 Feb 26: Awaiting response from the Contractor, comm to update the current status of the available backup received so far from contractor
08 March 26: Ditto
06 Apr 26: Ditto, comm to issue follow up letter to contractor
20 Apr 26: Ditto
04 May 26: Contractor submitted cost claim via letter ref:  1TB01002-002C03-MEC-LTR-0092 on 05-Apr-26. Under review by Commercial team, target date 20 May 26.
18 May 2026: the Contractor submitted Cost Claims for the Remaining Cost Impact of Supplementary EOT#1-R02 and Cost Impact of EOT#2 via letter 1TB01002-002C03-MEC-LTR-0093 on 13 May 2026.
04 Jun 26: Target date for review is 20 Jun 26.
15 Jun 26: Ditto
28 June 26: EAR target to complete by 7 July 26
13 July 26: Cost claim assessment to be commenced upon conclusion of EOT 2 
26 July 26: Ditto, Employer's formal response to 1TB01002-002C03-MEC-LTR-0093 will be issued to the Contractor. Target date 30 July 2026
08 Aug 26: A workshop was held between RSG &amp; the contractor on 30 July 2026.
08 Aug 26: Contractor's request via letter Ref: 1TB01002-002C03-MEC-LTR-0097 on 06 Aug 26 additional information in line with EAR.
08 Aug 26: The Contractor's request have been forwared to the planing team for their input on 07 Aug 26.
16 Aug 26: Planning team reverted with their input that the Stage 2 quantity changes affected numerous baseline activities, resulting in a 94-day non-concurrent
20 Aug 26: Contractor provided input &amp; concerns via email. Planning to review
23 Aug 26: Commercial issued the Contractor's queries related to window analysis on 20 August 2026. Contractor's formal response received via 1TB01002-002C03-MEC-LTR-0098 on 23 Aug 2026.
31 Aug 26: Planning team reverted with the requested details
07 Sep 26: Planning team's confirmation on the compensable delay duration (windows) issued to the Contractor on 2 Sep 26 (vis Reff???). Further, requested the Contractor to update the substantiation for the Employer's review.
20 Sep 26: Contractor's substantiation and confirmation received via email on 9 Sep 26. Currently, under review with RSG's commercial team. Contractor to formally submit via Aconex to keep track of its submissions
04 Oct 26: Based on the recent consultation with MAS team on 21 September 2026. Action is currently with MAS. </v>
      </c>
      <c r="AV119" s="186" t="str">
        <f t="shared" si="32"/>
        <v/>
      </c>
      <c r="AW119" s="186" t="str">
        <f t="shared" si="47"/>
        <v>OPEN</v>
      </c>
      <c r="AX119" s="186" t="str">
        <f t="shared" si="33"/>
        <v>OPEN</v>
      </c>
      <c r="AY119" s="181">
        <f t="shared" si="38"/>
        <v>46155</v>
      </c>
      <c r="AZ119" s="181" t="str">
        <f t="shared" si="51"/>
        <v/>
      </c>
      <c r="BA119" s="181" t="str">
        <f t="shared" si="4"/>
        <v/>
      </c>
      <c r="BC119" s="181">
        <f>IFERROR(INDEX(Program_01!BF:BF,MATCH($B119,Program_01!$A:$A,0)),"")</f>
        <v>46155</v>
      </c>
      <c r="BD119" s="188">
        <f ca="1">IFERROR(INDEX(Program_01!BG:BG,MATCH($B119,Program_01!$A:$A,0)),"")</f>
        <v>145</v>
      </c>
      <c r="BE119" s="181">
        <f>IFERROR(INDEX(Program_01!BH:BH,MATCH($B119,Program_01!$A:$A,0)),"")</f>
        <v>0</v>
      </c>
      <c r="BF119" s="189" t="str">
        <f ca="1">IFERROR(INDEX(Program_01!BI:BI,MATCH($B119,Program_01!$A:$A,0)),"")</f>
        <v>N/A</v>
      </c>
      <c r="BG119" s="181">
        <f>IFERROR(INDEX(Program_01!BJ:BJ,MATCH($B119,Program_01!$A:$A,0)),"")</f>
        <v>0</v>
      </c>
      <c r="BH119" s="189">
        <f ca="1">IFERROR(INDEX(Program_01!BK:BK,MATCH($B119,Program_01!$A:$A,0)),"")</f>
        <v>0</v>
      </c>
      <c r="BI119" s="181">
        <f>IFERROR(INDEX(Program_01!BL:BL,MATCH($B119,Program_01!$A:$A,0)),"")</f>
        <v>0</v>
      </c>
      <c r="BK119" s="190" t="str">
        <f>IFERROR(IF(INDEX(Program_01!$BX:$BX,MATCH($B119,Program_01!$A:$A,0))=DATE(1900,1,0),"",INDEX(Program_01!$BX:$BX,MATCH($B119,Program_01!$A:$A,0))),"")</f>
        <v/>
      </c>
      <c r="BL119" s="190" t="str">
        <f>IFERROR(IF(INDEX(Program_01!$BY:$BY,MATCH($B119,Program_01!$A:$A,0))=DATE(1900,1,0),"",INDEX(Program_01!$BY:$BY,MATCH($B119,Program_01!$A:$A,0))),"")</f>
        <v/>
      </c>
      <c r="BM119" s="188" t="str">
        <f t="shared" ca="1" si="39"/>
        <v/>
      </c>
      <c r="BN119" s="191" t="str">
        <f t="shared" ca="1" si="40"/>
        <v/>
      </c>
      <c r="BO119" s="188" t="str">
        <f t="shared" si="34"/>
        <v/>
      </c>
      <c r="BP119" s="188" t="str">
        <f t="shared" si="6"/>
        <v/>
      </c>
      <c r="BQ119" s="188" t="str">
        <f t="shared" ca="1" si="41"/>
        <v/>
      </c>
      <c r="BR119" s="181" t="str">
        <f t="shared" ca="1" si="52"/>
        <v/>
      </c>
      <c r="BT119" s="190" t="str">
        <f>IFERROR(IF(INDEX(Program_01!$BZ:$BZ,MATCH($B119,Program_01!$A:$A,0))=DATE(1900,1,0),"",INDEX(Program_01!$BZ:$BZ,MATCH($B119,Program_01!$A:$A,0))),"")</f>
        <v/>
      </c>
      <c r="BU119" s="182" t="str">
        <f t="shared" ca="1" si="48"/>
        <v/>
      </c>
      <c r="BV119" s="188" t="str">
        <f t="shared" si="35"/>
        <v/>
      </c>
      <c r="BW119" s="188" t="str">
        <f t="shared" si="8"/>
        <v/>
      </c>
      <c r="BX119" s="188" t="str">
        <f t="shared" ca="1" si="36"/>
        <v/>
      </c>
      <c r="BY119" s="181" t="str">
        <f t="shared" ca="1" si="53"/>
        <v/>
      </c>
      <c r="CA119" s="192" t="str">
        <f t="shared" si="49"/>
        <v>N</v>
      </c>
      <c r="CB119" s="192" t="str">
        <f t="shared" si="50"/>
        <v>N</v>
      </c>
      <c r="CC119" s="193">
        <f>IFERROR(INDEX(Program_01!$CE:$CE,MATCH($B119,Program_01!$A:$A,0)),"")</f>
        <v>45978</v>
      </c>
      <c r="CD119" s="193">
        <v>45978</v>
      </c>
      <c r="CG119" s="194">
        <f>IFERROR(INDEX(Program_01!$AT:$AT,MATCH($B119,Program_01!$A:$A,0)),"")</f>
        <v>10699557.16</v>
      </c>
      <c r="CH119" s="194">
        <f>IFERROR(INDEX(Program_01!$AX:$AX,MATCH($B119,Program_01!$A:$A,0)),"")</f>
        <v>0</v>
      </c>
    </row>
    <row r="120" spans="1:86" s="187" customFormat="1" ht="306">
      <c r="A120" s="174" t="s">
        <v>1</v>
      </c>
      <c r="B120" s="175">
        <f t="shared" si="42"/>
        <v>102</v>
      </c>
      <c r="C120" s="176" t="str">
        <f>IFERROR(INDEX(Program_01!$B:$B,MATCH($B120,Program_01!$A:$A,0)),"")</f>
        <v>FULL TIA EAR</v>
      </c>
      <c r="D120" s="176" t="str">
        <f>IFERROR(INDEX(Program_01!$D:$D,MATCH($B120,Program_01!$A:$A,0)),"")</f>
        <v>1TB01002C59</v>
      </c>
      <c r="E120" s="176" t="str">
        <f>IFERROR(INDEX(Program_01!$E:$E,MATCH($B120,Program_01!$A:$A,0)),"")</f>
        <v>1.TB.01.002.03</v>
      </c>
      <c r="F120" s="176" t="str">
        <f>IFERROR(INDEX(Program_01!$F:$F,MATCH($B120,Program_01!$A:$A,0)),"")</f>
        <v>Marina Lifestyle Hotel &amp; Village</v>
      </c>
      <c r="G120" s="176" t="str">
        <f>IFERROR(INDEX(Program_01!$G:$G,MATCH($B120,Program_01!$A:$A,0)),"")</f>
        <v>Building Envelope "Installation Only" Works</v>
      </c>
      <c r="H120" s="176" t="str">
        <f>IFERROR(INDEX(Program_01!$H:$H,MATCH($B120,Program_01!$A:$A,0)),"")</f>
        <v>INDUSTRIAL CEMENT ADDITIVES COMPANY</v>
      </c>
      <c r="I120" s="176" t="str">
        <f t="shared" si="37"/>
        <v>EOT</v>
      </c>
      <c r="J120" s="176">
        <f>IFERROR(INDEX(Program_01!$I:$I,MATCH($B120,Program_01!$A:$A,0)),"")</f>
        <v>1</v>
      </c>
      <c r="K120" s="176">
        <f>IFERROR(INDEX(Program_01!$J:$J,MATCH($B120,Program_01!$A:$A,0)),"")</f>
        <v>0</v>
      </c>
      <c r="L120" s="176">
        <f>IFERROR(INDEX(Program_01!$K:$K,MATCH($B120,Program_01!$A:$A,0)),"")</f>
        <v>0</v>
      </c>
      <c r="M120" s="176">
        <f>IFERROR(INDEX(Program_01!$L:$L,MATCH($B120,Program_01!$A:$A,0)),"")</f>
        <v>0</v>
      </c>
      <c r="N120" s="176">
        <f>IFERROR(INDEX(Program_01!$L:$L,MATCH($B120,Program_01!$A:$A,0)),"")</f>
        <v>0</v>
      </c>
      <c r="O120" s="176">
        <f>IFERROR(INDEX(Program_01!$N:$N,MATCH($B120,Program_01!$A:$A,0)),"")</f>
        <v>0</v>
      </c>
      <c r="P120" s="178"/>
      <c r="Q120" s="179" t="str">
        <f>IFERROR(INDEX(Program_01!$C:$C,MATCH($B120,Program_01!$A:$A,0)),"")</f>
        <v>Extension of Time Claim No. 01 - Interim Report No. 01</v>
      </c>
      <c r="R120" s="176" t="str">
        <f>IFERROR(INDEX(Program_01!$V:$V,MATCH($B120,Program_01!$A:$A,0)),"")</f>
        <v xml:space="preserve"> ICAE-TRANSMIT-000012</v>
      </c>
      <c r="S120" s="180">
        <f>IFERROR(INDEX(Program_01!$W:$W,MATCH($B120,Program_01!$A:$A,0)),"")</f>
        <v>45973</v>
      </c>
      <c r="T120" s="178"/>
      <c r="U120" s="176" t="str">
        <f>IFERROR(INDEX(Program_01!$Z:$Z,MATCH($B120,Program_01!$A:$A,0)),"")</f>
        <v>AMA01002-GENCORR-002961</v>
      </c>
      <c r="V120" s="181">
        <f>IFERROR(INDEX(Program_01!$AA:$AA,MATCH($B120,Program_01!$A:$A,0)),"")</f>
        <v>45980</v>
      </c>
      <c r="W120" s="182">
        <f t="shared" ca="1" si="0"/>
        <v>7</v>
      </c>
      <c r="X120" s="51"/>
      <c r="Y120" s="179">
        <f>IFERROR(INDEX(Program_01!$BD:$BD,MATCH($B120,Program_01!$A:$A,0)),"")</f>
        <v>0</v>
      </c>
      <c r="Z120" s="51"/>
      <c r="AA120" s="183" t="str">
        <f>IFERROR(IF((INDEX(Program_01!$AD:$AD,MATCH($B120,Program_01!$A:$A,0))=""),INDEX(Program_01!$V:$V,MATCH($B120,Program_01!$A:$A,0)),INDEX(Program_01!$AD:$AD,MATCH($B120,Program_01!$A:$A,0))),"")</f>
        <v>ICAE-TRANSMIT-000012 on 19 Nov 25
ICAE-TRANSMIT-000027 (1TB01002-002C59-ICA-LTR-0022 on 28 Jan 26
E-TRANSMIT-000055 on 15-Mar-26 (1TB01002-002C59-ICA-LTR-0057) on 15 Mar 26
ICAE-TRANSMIT-000070 on 07 Apr 26
ICAE-TRANSMIT-000094 on 16 May 26
ICAE-GENCORR-000011</v>
      </c>
      <c r="AB120" s="147">
        <f>IFERROR(IF((INDEX(Program_01!$AE:$AE,MATCH($B120,Program_01!$A:$A,0))=""),INDEX(Program_01!$W:$W,MATCH($B120,Program_01!$A:$A,0)),INDEX(Program_01!$AE:$AE,MATCH($B120,Program_01!$A:$A,0))),"")</f>
        <v>46190</v>
      </c>
      <c r="AC120" s="183">
        <f>IFERROR(IF($I120="EOT",INDEX(Program_01!$AN:$AN,MATCH($B120,Program_01!$A:$A,0)),INDEX(Program_01!$AY:$AY,MATCH($B120,Program_01!$A:$A,0))),"")</f>
        <v>0</v>
      </c>
      <c r="AD120" s="181">
        <f>IFERROR(IF($I120="EOT",INDEX(Program_01!$AO:$AO,MATCH($B120,Program_01!$A:$A,0)),INDEX(Program_01!$AZ:$AZ,MATCH($B120,Program_01!$A:$A,0))),"")</f>
        <v>0</v>
      </c>
      <c r="AE120" s="51"/>
      <c r="AF120" s="183"/>
      <c r="AG120" s="181"/>
      <c r="AH120" s="183" t="str">
        <f>IF(OR($D120="",$AS120="VO Issued",$AS120="Open"),"",IF(OR($AC120="Rejected",$AC120="Superseded",$AC120="Dealt Separately"),$AC120,IF($I120="EOT",INDEX(Program_01!$AR:$AR,MATCH($B120,Program_01!$A:$A,0)),INDEX(Program_01!$BB:$BB,MATCH($B120,Program_01!$A:$A,0)))))</f>
        <v/>
      </c>
      <c r="AI120" s="181" t="str">
        <f>IF(OR($A120="",$B120="",$I120="",$AS120="VO Issued",$AS120="Open"),"",IF(OR($AD120="N/A"),$AD120,IF($I120="EOT",INDEX(Program_01!$AS:$AS,MATCH($B120,Program_01!$A:$A,0)),INDEX(Program_01!$BC:$BC,MATCH($B120,Program_01!$A:$A,0)))))</f>
        <v/>
      </c>
      <c r="AJ120" s="183" t="str">
        <f>IF(OR($D120="",$I120="",$AS120="Determination Issued",$AS120="Rejected",$AS120="Open"),"",IF(OR($AH120="Rejected",$AH120="Dealt Separately",$AH120="Superseded",$AH120="Withdrawn"),"N/A",IF($I120="EOT",INDEX(Program_01!AR:AR,MATCH($B120,Program_01!A:A,0)),INDEX(Program_01!BB:BB,MATCH($B120,Program_01!A:A,0)))))</f>
        <v/>
      </c>
      <c r="AK120" s="181" t="str">
        <f>IF(OR($A120="",$B120="",$I120="",$AS120="Determination Issued",$AS120="Rejected",$AS120="Open"),"",IF($AJ120="N/A","N/A",IF($I120="EOT",INDEX(Program_01!AS:AS,MATCH($B120,Program_01!A:A,0)),INDEX(Program_01!BC:BC,MATCH($B120,Program_01!A:A,0)))))</f>
        <v/>
      </c>
      <c r="AL120" s="51"/>
      <c r="AM120" s="184" t="str">
        <f>IFERROR(INDEX(Program_01!$BT:$BT,MATCH($B120,Program_01!$A:$A,0)),"")</f>
        <v>Revise &amp; resubmit</v>
      </c>
      <c r="AN120" s="184">
        <f>IFERROR(INDEX(Program_01!$BU:$BU,MATCH($B120,Program_01!$A:$A,0)),"")</f>
        <v>0</v>
      </c>
      <c r="AO120" s="184">
        <f>IFERROR(INDEX(Program_01!$BV:$BV,MATCH($B120,Program_01!$A:$A,0)),"")</f>
        <v>0</v>
      </c>
      <c r="AP120" s="51" t="str">
        <f t="shared" si="46"/>
        <v/>
      </c>
      <c r="AQ120" s="184">
        <f>IFERROR(INDEX(Program_01!$BN:$BN,MATCH($B120,Program_01!$A:$A,0)),"")</f>
        <v>0</v>
      </c>
      <c r="AR120" s="184" t="str">
        <f>IFERROR(INDEX(Program_01!$BO:$BO,MATCH($B120,Program_01!$A:$A,0)),"")</f>
        <v>Pending</v>
      </c>
      <c r="AS120" s="184" t="str">
        <f>IFERROR(INDEX(Program_01!$BP:$BP,MATCH($B120,Program_01!$A:$A,0)),"")</f>
        <v>Open</v>
      </c>
      <c r="AT120" s="185" t="str">
        <f>IFERROR(INDEX(Program_01!$BQ:$BQ,MATCH($B120,Program_01!$A:$A,0)),"")</f>
        <v>Contractor</v>
      </c>
      <c r="AU120" s="179" t="str">
        <f>IFERROR(INDEX(Program_01!$BR:$BR,MATCH($B120,Program_01!$A:$A,0)),"")</f>
        <v>31 May 26: Response to Contractor issued via AMA01002-GENCORR-003251 dated 21 May 26, confirming that the Contractor's submission in unacceptable. 
04 Jun 26: Ditto
15 Jun 26: Ditto
17 Jun 26: contractor submitted revised claim via ICAE-GENCORR-000011,
22 Jun 26: submission sent to site planning for review &amp; comments
24 Jun 26: Planning team reverted with their input to incorporate in the draft response
25 Jun 26: Draft response requesting revise &amp; resubmit sent to claims team for review // reviewed and sent back to proceed with issuance
28 Jun 26: letter to be issued to contractor via Ref. 1Tb01009-002C59-AMA-LTR-0023 dated 28 June 26 - under WF-041370
11 July 26: Employer's letter (to revise and resubmit) issued to the Contractor via 1TB01002-002C59-AMA-LTR-0023 on 5 July 2026. Currently, action with the Contractor. 
26 July 26: Awaiting Contractor's revised submission
10 Aug 26: Ditto
24 Aug 26: Ditto.  Issue reminder.
07 Sep 26 : Reminder issued on 27 Aug 26 via AMA01002-GENCORR-003354. Pending submission by the Contractor.
21 Sep 26 : Pending submission by the Contractor.</v>
      </c>
      <c r="AV120" s="186" t="str">
        <f t="shared" si="32"/>
        <v/>
      </c>
      <c r="AW120" s="186" t="str">
        <f t="shared" si="47"/>
        <v>OPEN</v>
      </c>
      <c r="AX120" s="186" t="str">
        <f t="shared" si="33"/>
        <v>OPEN</v>
      </c>
      <c r="AY120" s="181">
        <f t="shared" si="38"/>
        <v>46190</v>
      </c>
      <c r="AZ120" s="181" t="str">
        <f t="shared" si="51"/>
        <v/>
      </c>
      <c r="BA120" s="181" t="str">
        <f t="shared" si="4"/>
        <v/>
      </c>
      <c r="BC120" s="181">
        <f>IFERROR(INDEX(Program_01!BF:BF,MATCH($B120,Program_01!$A:$A,0)),"")</f>
        <v>46190</v>
      </c>
      <c r="BD120" s="188">
        <f ca="1">IFERROR(INDEX(Program_01!BG:BG,MATCH($B120,Program_01!$A:$A,0)),"")</f>
        <v>0</v>
      </c>
      <c r="BE120" s="181">
        <f>IFERROR(INDEX(Program_01!BH:BH,MATCH($B120,Program_01!$A:$A,0)),"")</f>
        <v>0</v>
      </c>
      <c r="BF120" s="189">
        <f ca="1">IFERROR(INDEX(Program_01!BI:BI,MATCH($B120,Program_01!$A:$A,0)),"")</f>
        <v>0</v>
      </c>
      <c r="BG120" s="181">
        <f>IFERROR(INDEX(Program_01!BJ:BJ,MATCH($B120,Program_01!$A:$A,0)),"")</f>
        <v>0</v>
      </c>
      <c r="BH120" s="189">
        <f ca="1">IFERROR(INDEX(Program_01!BK:BK,MATCH($B120,Program_01!$A:$A,0)),"")</f>
        <v>0</v>
      </c>
      <c r="BI120" s="181">
        <f>IFERROR(INDEX(Program_01!BL:BL,MATCH($B120,Program_01!$A:$A,0)),"")</f>
        <v>0</v>
      </c>
      <c r="BK120" s="190" t="str">
        <f>IFERROR(IF(INDEX(Program_01!$BX:$BX,MATCH($B120,Program_01!$A:$A,0))=DATE(1900,1,0),"",INDEX(Program_01!$BX:$BX,MATCH($B120,Program_01!$A:$A,0))),"")</f>
        <v/>
      </c>
      <c r="BL120" s="190" t="str">
        <f>IFERROR(IF(INDEX(Program_01!$BY:$BY,MATCH($B120,Program_01!$A:$A,0))=DATE(1900,1,0),"",INDEX(Program_01!$BY:$BY,MATCH($B120,Program_01!$A:$A,0))),"")</f>
        <v/>
      </c>
      <c r="BM120" s="188" t="str">
        <f t="shared" ca="1" si="39"/>
        <v/>
      </c>
      <c r="BN120" s="191">
        <f t="shared" ca="1" si="40"/>
        <v>0</v>
      </c>
      <c r="BO120" s="188" t="str">
        <f t="shared" si="34"/>
        <v/>
      </c>
      <c r="BP120" s="188" t="str">
        <f t="shared" si="6"/>
        <v/>
      </c>
      <c r="BQ120" s="188" t="str">
        <f t="shared" ca="1" si="41"/>
        <v/>
      </c>
      <c r="BR120" s="181" t="str">
        <f t="shared" ca="1" si="52"/>
        <v/>
      </c>
      <c r="BT120" s="190" t="str">
        <f>IFERROR(IF(INDEX(Program_01!$BZ:$BZ,MATCH($B120,Program_01!$A:$A,0))=DATE(1900,1,0),"",INDEX(Program_01!$BZ:$BZ,MATCH($B120,Program_01!$A:$A,0))),"")</f>
        <v/>
      </c>
      <c r="BU120" s="182" t="str">
        <f t="shared" ca="1" si="48"/>
        <v/>
      </c>
      <c r="BV120" s="188" t="str">
        <f t="shared" si="35"/>
        <v/>
      </c>
      <c r="BW120" s="188" t="str">
        <f t="shared" si="8"/>
        <v/>
      </c>
      <c r="BX120" s="188" t="str">
        <f t="shared" ca="1" si="36"/>
        <v/>
      </c>
      <c r="BY120" s="181" t="str">
        <f t="shared" ca="1" si="53"/>
        <v/>
      </c>
      <c r="CA120" s="192" t="str">
        <f t="shared" si="49"/>
        <v>N</v>
      </c>
      <c r="CB120" s="192" t="str">
        <f t="shared" si="50"/>
        <v>N</v>
      </c>
      <c r="CC120" s="193">
        <f>IFERROR(INDEX(Program_01!$CE:$CE,MATCH($B120,Program_01!$A:$A,0)),"")</f>
        <v>45978</v>
      </c>
      <c r="CD120" s="193">
        <f t="shared" si="31"/>
        <v>45978</v>
      </c>
      <c r="CG120" s="194">
        <f>IFERROR(INDEX(Program_01!$AT:$AT,MATCH($B120,Program_01!$A:$A,0)),"")</f>
        <v>0</v>
      </c>
      <c r="CH120" s="194">
        <f>IFERROR(INDEX(Program_01!$AX:$AX,MATCH($B120,Program_01!$A:$A,0)),"")</f>
        <v>0</v>
      </c>
    </row>
    <row r="121" spans="1:86" s="187" customFormat="1" ht="255">
      <c r="A121" s="174" t="s">
        <v>1</v>
      </c>
      <c r="B121" s="175">
        <f t="shared" si="42"/>
        <v>103</v>
      </c>
      <c r="C121" s="176" t="str">
        <f>IFERROR(INDEX(Program_01!$B:$B,MATCH($B121,Program_01!$A:$A,0)),"")</f>
        <v>COST EAR</v>
      </c>
      <c r="D121" s="176" t="str">
        <f>IFERROR(INDEX(Program_01!$D:$D,MATCH($B121,Program_01!$A:$A,0)),"")</f>
        <v>1TB01002C22</v>
      </c>
      <c r="E121" s="176" t="str">
        <f>IFERROR(INDEX(Program_01!$E:$E,MATCH($B121,Program_01!$A:$A,0)),"")</f>
        <v>1.TB.01.002.99</v>
      </c>
      <c r="F121" s="176" t="str">
        <f>IFERROR(INDEX(Program_01!$F:$F,MATCH($B121,Program_01!$A:$A,0)),"")</f>
        <v>Marina Lifestyle Hotel &amp; Village</v>
      </c>
      <c r="G121" s="176" t="str">
        <f>IFERROR(INDEX(Program_01!$G:$G,MATCH($B121,Program_01!$A:$A,0)),"")</f>
        <v>Structural Steel Works</v>
      </c>
      <c r="H121" s="176" t="str">
        <f>IFERROR(INDEX(Program_01!$H:$H,MATCH($B121,Program_01!$A:$A,0)),"")</f>
        <v>Cleveland Bridge Steel Co. LTD</v>
      </c>
      <c r="I121" s="176" t="str">
        <f t="shared" si="37"/>
        <v>Prolongation</v>
      </c>
      <c r="J121" s="176">
        <f>IFERROR(INDEX(Program_01!$I:$I,MATCH($B121,Program_01!$A:$A,0)),"")</f>
        <v>0</v>
      </c>
      <c r="K121" s="176">
        <f>IFERROR(INDEX(Program_01!$J:$J,MATCH($B121,Program_01!$A:$A,0)),"")</f>
        <v>1</v>
      </c>
      <c r="L121" s="176">
        <f>IFERROR(INDEX(Program_01!$K:$K,MATCH($B121,Program_01!$A:$A,0)),"")</f>
        <v>0</v>
      </c>
      <c r="M121" s="176">
        <f>IFERROR(INDEX(Program_01!$L:$L,MATCH($B121,Program_01!$A:$A,0)),"")</f>
        <v>0</v>
      </c>
      <c r="N121" s="176">
        <f>IFERROR(INDEX(Program_01!$L:$L,MATCH($B121,Program_01!$A:$A,0)),"")</f>
        <v>0</v>
      </c>
      <c r="O121" s="176">
        <f>IFERROR(INDEX(Program_01!$N:$N,MATCH($B121,Program_01!$A:$A,0)),"")</f>
        <v>0</v>
      </c>
      <c r="P121" s="178"/>
      <c r="Q121" s="179" t="str">
        <f>IFERROR(INDEX(Program_01!$C:$C,MATCH($B121,Program_01!$A:$A,0)),"")</f>
        <v>Request for approval of Extension of Time &amp; Cost submitted</v>
      </c>
      <c r="R121" s="176" t="str">
        <f>IFERROR(INDEX(Program_01!$V:$V,MATCH($B121,Program_01!$A:$A,0)),"")</f>
        <v>1TB01002-002C22-CBE-LTR-0018 on  23 Oct 25
1TB01002-002C22-AMA-LTR-0051</v>
      </c>
      <c r="S121" s="180">
        <f>IFERROR(INDEX(Program_01!$W:$W,MATCH($B121,Program_01!$A:$A,0)),"")</f>
        <v>46042</v>
      </c>
      <c r="T121" s="178"/>
      <c r="U121" s="176">
        <f>IFERROR(INDEX(Program_01!$Z:$Z,MATCH($B121,Program_01!$A:$A,0)),"")</f>
        <v>0</v>
      </c>
      <c r="V121" s="181" t="str">
        <f>IFERROR(INDEX(Program_01!$AA:$AA,MATCH($B121,Program_01!$A:$A,0)),"")</f>
        <v>N/A</v>
      </c>
      <c r="W121" s="182" t="str">
        <f t="shared" ca="1" si="0"/>
        <v/>
      </c>
      <c r="X121" s="51"/>
      <c r="Y121" s="179">
        <f>IFERROR(INDEX(Program_01!$BD:$BD,MATCH($B121,Program_01!$A:$A,0)),"")</f>
        <v>0</v>
      </c>
      <c r="Z121" s="51"/>
      <c r="AA121" s="183" t="str">
        <f>IFERROR(IF((INDEX(Program_01!$AD:$AD,MATCH($B121,Program_01!$A:$A,0))=""),INDEX(Program_01!$V:$V,MATCH($B121,Program_01!$A:$A,0)),INDEX(Program_01!$AD:$AD,MATCH($B121,Program_01!$A:$A,0))),"")</f>
        <v>(CBE01002-GENCORR-000067) on 07 Jun 26</v>
      </c>
      <c r="AB121" s="147">
        <f>IFERROR(IF((INDEX(Program_01!$AE:$AE,MATCH($B121,Program_01!$A:$A,0))=""),INDEX(Program_01!$W:$W,MATCH($B121,Program_01!$A:$A,0)),INDEX(Program_01!$AE:$AE,MATCH($B121,Program_01!$A:$A,0))),"")</f>
        <v>46180</v>
      </c>
      <c r="AC121" s="183">
        <f>IFERROR(IF($I121="EOT",INDEX(Program_01!$AN:$AN,MATCH($B121,Program_01!$A:$A,0)),INDEX(Program_01!$AY:$AY,MATCH($B121,Program_01!$A:$A,0))),"")</f>
        <v>0</v>
      </c>
      <c r="AD121" s="181">
        <f>IFERROR(IF($I121="EOT",INDEX(Program_01!$AO:$AO,MATCH($B121,Program_01!$A:$A,0)),INDEX(Program_01!$AZ:$AZ,MATCH($B121,Program_01!$A:$A,0))),"")</f>
        <v>0</v>
      </c>
      <c r="AE121" s="51"/>
      <c r="AF121" s="183"/>
      <c r="AG121" s="181"/>
      <c r="AH121" s="183" t="str">
        <f>IF(OR($D121="",$AS121="VO Issued",$AS121="Open"),"",IF(OR($AC121="Rejected",$AC121="Superseded",$AC121="Dealt Separately"),$AC121,IF($I121="EOT",INDEX(Program_01!$AR:$AR,MATCH($B121,Program_01!$A:$A,0)),INDEX(Program_01!$BB:$BB,MATCH($B121,Program_01!$A:$A,0)))))</f>
        <v/>
      </c>
      <c r="AI121" s="181" t="str">
        <f>IF(OR($A121="",$B121="",$I121="",$AS121="VO Issued",$AS121="Open"),"",IF(OR($AD121="N/A"),$AD121,IF($I121="EOT",INDEX(Program_01!$AS:$AS,MATCH($B121,Program_01!$A:$A,0)),INDEX(Program_01!$BC:$BC,MATCH($B121,Program_01!$A:$A,0)))))</f>
        <v/>
      </c>
      <c r="AJ121" s="183" t="str">
        <f>IF(OR($D121="",$I121="",$AS121="Determination Issued",$AS121="Rejected",$AS121="Open"),"",IF(OR($AH121="Rejected",$AH121="Dealt Separately",$AH121="Superseded",$AH121="Withdrawn"),"N/A",IF($I121="EOT",INDEX(Program_01!AR:AR,MATCH($B121,Program_01!A:A,0)),INDEX(Program_01!BB:BB,MATCH($B121,Program_01!A:A,0)))))</f>
        <v/>
      </c>
      <c r="AK121" s="181" t="str">
        <f>IF(OR($A121="",$B121="",$I121="",$AS121="Determination Issued",$AS121="Rejected",$AS121="Open"),"",IF($AJ121="N/A","N/A",IF($I121="EOT",INDEX(Program_01!AS:AS,MATCH($B121,Program_01!A:A,0)),INDEX(Program_01!BC:BC,MATCH($B121,Program_01!A:A,0)))))</f>
        <v/>
      </c>
      <c r="AL121" s="51"/>
      <c r="AM121" s="184" t="str">
        <f>IFERROR(INDEX(Program_01!$BT:$BT,MATCH($B121,Program_01!$A:$A,0)),"")</f>
        <v>Revise &amp; resubmit</v>
      </c>
      <c r="AN121" s="184">
        <f>IFERROR(INDEX(Program_01!$BU:$BU,MATCH($B121,Program_01!$A:$A,0)),"")</f>
        <v>0</v>
      </c>
      <c r="AO121" s="184">
        <f>IFERROR(INDEX(Program_01!$BV:$BV,MATCH($B121,Program_01!$A:$A,0)),"")</f>
        <v>0</v>
      </c>
      <c r="AP121" s="51" t="str">
        <f t="shared" si="46"/>
        <v/>
      </c>
      <c r="AQ121" s="184">
        <f>IFERROR(INDEX(Program_01!$BN:$BN,MATCH($B121,Program_01!$A:$A,0)),"")</f>
        <v>0</v>
      </c>
      <c r="AR121" s="184" t="str">
        <f>IFERROR(INDEX(Program_01!$BO:$BO,MATCH($B121,Program_01!$A:$A,0)),"")</f>
        <v>Pending</v>
      </c>
      <c r="AS121" s="184" t="str">
        <f>IFERROR(INDEX(Program_01!$BP:$BP,MATCH($B121,Program_01!$A:$A,0)),"")</f>
        <v>Open</v>
      </c>
      <c r="AT121" s="185" t="str">
        <f>IFERROR(INDEX(Program_01!$BQ:$BQ,MATCH($B121,Program_01!$A:$A,0)),"")</f>
        <v>Contractor</v>
      </c>
      <c r="AU121" s="179" t="str">
        <f>IFERROR(INDEX(Program_01!$BR:$BR,MATCH($B121,Program_01!$A:$A,0)),"")</f>
        <v xml:space="preserve">18 May 26: Contractor confirmed that the Prolongation Cost submission will be revised as it lacks substantiation. Comm to respond to the contractor to resubmit a revised claim with all the required particulars
04 Jun 26: Response issued to Contractor under letter ref 1TB01002-002C22-AMA-LTR-0061 dated 1 Jun 26.
15 Jun 26: Ditto
28 June 26: Contractor responded under Letter Ref. (CBE01002-GENCORR-000067) on 07 Jun 26
29 Jun 26: commercial to issue response by 02 Jul 2026
11 July 26: No compensable delays awarded to the Contractor. This cost claim is related to Additional Engineering Manhours &amp; Accommodation costs which shall be dealt seperately. Claims team to advise 
26 July 26 : Discussed with the Contractor on 19 July 2026 and Additional Engineer Manhours not proved by the Contractor. Accommodation costs shall be dealt via an RFC. Formal response (MOM) will be issued to the Contractor. Target date to issue 27 July 2026. 
10 Aug 26: The Employer held a meeting with the Contractor to clarify the submitted cost claim and requested the Contractor to revise and resubmit the claim accordingly, as recorded in the MOM issued  through Ref. AMA01002-TRANSMIT-001738)
23 Aug 26 : Pending submission from the Contractor
07 Sep 26: Ditto. Pending Action with the Contractor. 
21 Sep 26: Ditto. Pending Action with the Contractor. </v>
      </c>
      <c r="AV121" s="186" t="str">
        <f t="shared" si="32"/>
        <v/>
      </c>
      <c r="AW121" s="186" t="str">
        <f t="shared" si="47"/>
        <v>OPEN</v>
      </c>
      <c r="AX121" s="186" t="str">
        <f t="shared" si="33"/>
        <v>OPEN</v>
      </c>
      <c r="AY121" s="181">
        <f t="shared" si="38"/>
        <v>46180</v>
      </c>
      <c r="AZ121" s="181" t="str">
        <f t="shared" si="51"/>
        <v/>
      </c>
      <c r="BA121" s="181" t="str">
        <f t="shared" si="4"/>
        <v/>
      </c>
      <c r="BC121" s="181">
        <f>IFERROR(INDEX(Program_01!BF:BF,MATCH($B121,Program_01!$A:$A,0)),"")</f>
        <v>46180</v>
      </c>
      <c r="BD121" s="188">
        <f ca="1">IFERROR(INDEX(Program_01!BG:BG,MATCH($B121,Program_01!$A:$A,0)),"")</f>
        <v>0</v>
      </c>
      <c r="BE121" s="181">
        <f>IFERROR(INDEX(Program_01!BH:BH,MATCH($B121,Program_01!$A:$A,0)),"")</f>
        <v>0</v>
      </c>
      <c r="BF121" s="189" t="str">
        <f ca="1">IFERROR(INDEX(Program_01!BI:BI,MATCH($B121,Program_01!$A:$A,0)),"")</f>
        <v>N/A</v>
      </c>
      <c r="BG121" s="181">
        <f>IFERROR(INDEX(Program_01!BJ:BJ,MATCH($B121,Program_01!$A:$A,0)),"")</f>
        <v>0</v>
      </c>
      <c r="BH121" s="189">
        <f ca="1">IFERROR(INDEX(Program_01!BK:BK,MATCH($B121,Program_01!$A:$A,0)),"")</f>
        <v>0</v>
      </c>
      <c r="BI121" s="181">
        <f>IFERROR(INDEX(Program_01!BL:BL,MATCH($B121,Program_01!$A:$A,0)),"")</f>
        <v>0</v>
      </c>
      <c r="BK121" s="190" t="str">
        <f>IFERROR(IF(INDEX(Program_01!$BX:$BX,MATCH($B121,Program_01!$A:$A,0))=DATE(1900,1,0),"",INDEX(Program_01!$BX:$BX,MATCH($B121,Program_01!$A:$A,0))),"")</f>
        <v/>
      </c>
      <c r="BL121" s="190" t="str">
        <f>IFERROR(IF(INDEX(Program_01!$BY:$BY,MATCH($B121,Program_01!$A:$A,0))=DATE(1900,1,0),"",INDEX(Program_01!$BY:$BY,MATCH($B121,Program_01!$A:$A,0))),"")</f>
        <v/>
      </c>
      <c r="BM121" s="188" t="str">
        <f t="shared" ca="1" si="39"/>
        <v/>
      </c>
      <c r="BN121" s="191">
        <f t="shared" ca="1" si="40"/>
        <v>0</v>
      </c>
      <c r="BO121" s="188" t="str">
        <f t="shared" si="34"/>
        <v/>
      </c>
      <c r="BP121" s="188" t="str">
        <f t="shared" si="6"/>
        <v/>
      </c>
      <c r="BQ121" s="188" t="str">
        <f t="shared" ca="1" si="41"/>
        <v/>
      </c>
      <c r="BR121" s="181" t="str">
        <f t="shared" ca="1" si="52"/>
        <v/>
      </c>
      <c r="BT121" s="190" t="str">
        <f>IFERROR(IF(INDEX(Program_01!$BZ:$BZ,MATCH($B121,Program_01!$A:$A,0))=DATE(1900,1,0),"",INDEX(Program_01!$BZ:$BZ,MATCH($B121,Program_01!$A:$A,0))),"")</f>
        <v/>
      </c>
      <c r="BU121" s="182" t="str">
        <f t="shared" ca="1" si="48"/>
        <v/>
      </c>
      <c r="BV121" s="188" t="str">
        <f t="shared" si="35"/>
        <v/>
      </c>
      <c r="BW121" s="188" t="str">
        <f t="shared" si="8"/>
        <v/>
      </c>
      <c r="BX121" s="188" t="str">
        <f t="shared" ca="1" si="36"/>
        <v/>
      </c>
      <c r="BY121" s="181" t="str">
        <f t="shared" ca="1" si="53"/>
        <v/>
      </c>
      <c r="CA121" s="192" t="str">
        <f t="shared" si="49"/>
        <v>N</v>
      </c>
      <c r="CB121" s="192" t="str">
        <f t="shared" si="50"/>
        <v>N</v>
      </c>
      <c r="CC121" s="193">
        <f>IFERROR(INDEX(Program_01!$CE:$CE,MATCH($B121,Program_01!$A:$A,0)),"")</f>
        <v>45978</v>
      </c>
      <c r="CD121" s="193">
        <f t="shared" si="31"/>
        <v>46042</v>
      </c>
      <c r="CG121" s="194">
        <f>IFERROR(INDEX(Program_01!$AT:$AT,MATCH($B121,Program_01!$A:$A,0)),"")</f>
        <v>697402</v>
      </c>
      <c r="CH121" s="194">
        <f>IFERROR(INDEX(Program_01!$AX:$AX,MATCH($B121,Program_01!$A:$A,0)),"")</f>
        <v>0</v>
      </c>
    </row>
    <row r="122" spans="1:86" s="187" customFormat="1" ht="102">
      <c r="A122" s="174" t="s">
        <v>1</v>
      </c>
      <c r="B122" s="175">
        <f t="shared" si="42"/>
        <v>104</v>
      </c>
      <c r="C122" s="176" t="str">
        <f>IFERROR(INDEX(Program_01!$B:$B,MATCH($B122,Program_01!$A:$A,0)),"")</f>
        <v>FULL TIA EAR</v>
      </c>
      <c r="D122" s="176" t="str">
        <f>IFERROR(INDEX(Program_01!$D:$D,MATCH($B122,Program_01!$A:$A,0)),"")</f>
        <v>1TB01009C19</v>
      </c>
      <c r="E122" s="176" t="str">
        <f>IFERROR(INDEX(Program_01!$E:$E,MATCH($B122,Program_01!$A:$A,0)),"")</f>
        <v>1.TB.01.009.01</v>
      </c>
      <c r="F122" s="176" t="str">
        <f>IFERROR(INDEX(Program_01!$F:$F,MATCH($B122,Program_01!$A:$A,0)),"")</f>
        <v>Marina Hotel 3</v>
      </c>
      <c r="G122" s="176" t="str">
        <f>IFERROR(INDEX(Program_01!$G:$G,MATCH($B122,Program_01!$A:$A,0)),"")</f>
        <v>Lime Rendering Works for Marina Hotel 3</v>
      </c>
      <c r="H122" s="176" t="str">
        <f>IFERROR(INDEX(Program_01!$H:$H,MATCH($B122,Program_01!$A:$A,0)),"")</f>
        <v>Hassan Allam Construction Saudi Limited</v>
      </c>
      <c r="I122" s="176" t="str">
        <f t="shared" si="37"/>
        <v>EOT</v>
      </c>
      <c r="J122" s="176">
        <f>IFERROR(INDEX(Program_01!$I:$I,MATCH($B122,Program_01!$A:$A,0)),"")</f>
        <v>1</v>
      </c>
      <c r="K122" s="176">
        <f>IFERROR(INDEX(Program_01!$J:$J,MATCH($B122,Program_01!$A:$A,0)),"")</f>
        <v>0</v>
      </c>
      <c r="L122" s="176">
        <f>IFERROR(INDEX(Program_01!$K:$K,MATCH($B122,Program_01!$A:$A,0)),"")</f>
        <v>0</v>
      </c>
      <c r="M122" s="176">
        <f>IFERROR(INDEX(Program_01!$L:$L,MATCH($B122,Program_01!$A:$A,0)),"")</f>
        <v>0</v>
      </c>
      <c r="N122" s="176">
        <f>IFERROR(INDEX(Program_01!$L:$L,MATCH($B122,Program_01!$A:$A,0)),"")</f>
        <v>0</v>
      </c>
      <c r="O122" s="176">
        <f>IFERROR(INDEX(Program_01!$N:$N,MATCH($B122,Program_01!$A:$A,0)),"")</f>
        <v>0</v>
      </c>
      <c r="P122" s="178"/>
      <c r="Q122" s="179" t="str">
        <f>IFERROR(INDEX(Program_01!$C:$C,MATCH($B122,Program_01!$A:$A,0)),"")</f>
        <v>DEOT EI to Hassan Allam (009C19 Lime Rendering Works) - Employer's Instruction No. 005 - Extension of Time to the Time for Completion – to 23 April 2025</v>
      </c>
      <c r="R122" s="176" t="str">
        <f>IFERROR(INDEX(Program_01!$V:$V,MATCH($B122,Program_01!$A:$A,0)),"")</f>
        <v>This date refers to the date when it was decided to issue a DEOT</v>
      </c>
      <c r="S122" s="180">
        <f>IFERROR(INDEX(Program_01!$W:$W,MATCH($B122,Program_01!$A:$A,0)),"")</f>
        <v>45793</v>
      </c>
      <c r="T122" s="178"/>
      <c r="U122" s="176">
        <f>IFERROR(INDEX(Program_01!$Z:$Z,MATCH($B122,Program_01!$A:$A,0)),"")</f>
        <v>0</v>
      </c>
      <c r="V122" s="181" t="str">
        <f>IFERROR(INDEX(Program_01!$AA:$AA,MATCH($B122,Program_01!$A:$A,0)),"")</f>
        <v>N/A</v>
      </c>
      <c r="W122" s="182" t="str">
        <f t="shared" ca="1" si="0"/>
        <v/>
      </c>
      <c r="X122" s="51"/>
      <c r="Y122" s="179">
        <f>IFERROR(INDEX(Program_01!$BD:$BD,MATCH($B122,Program_01!$A:$A,0)),"")</f>
        <v>0</v>
      </c>
      <c r="Z122" s="51"/>
      <c r="AA122" s="183" t="str">
        <f>IFERROR(IF((INDEX(Program_01!$AD:$AD,MATCH($B122,Program_01!$A:$A,0))=""),INDEX(Program_01!$V:$V,MATCH($B122,Program_01!$A:$A,0)),INDEX(Program_01!$AD:$AD,MATCH($B122,Program_01!$A:$A,0))),"")</f>
        <v>This date refers to the date when it was decided to issue a DEOT</v>
      </c>
      <c r="AB122" s="147">
        <f>IFERROR(IF((INDEX(Program_01!$AE:$AE,MATCH($B122,Program_01!$A:$A,0))=""),INDEX(Program_01!$W:$W,MATCH($B122,Program_01!$A:$A,0)),INDEX(Program_01!$AE:$AE,MATCH($B122,Program_01!$A:$A,0))),"")</f>
        <v>45793</v>
      </c>
      <c r="AC122" s="183" t="str">
        <f>IFERROR(IF($I122="EOT",INDEX(Program_01!$AN:$AN,MATCH($B122,Program_01!$A:$A,0)),INDEX(Program_01!$AY:$AY,MATCH($B122,Program_01!$A:$A,0))),"")</f>
        <v>AMA01009-EMPI-000006
1TB01009-009C19-AMA-EMI-PM-0005 issued on 15-6-25</v>
      </c>
      <c r="AD122" s="181">
        <f>IFERROR(IF($I122="EOT",INDEX(Program_01!$AO:$AO,MATCH($B122,Program_01!$A:$A,0)),INDEX(Program_01!$AZ:$AZ,MATCH($B122,Program_01!$A:$A,0))),"")</f>
        <v>45823</v>
      </c>
      <c r="AE122" s="51"/>
      <c r="AF122" s="183"/>
      <c r="AG122" s="181"/>
      <c r="AH122" s="183">
        <f>IF(OR($D122="",$AS122="VO Issued",$AS122="Open"),"",IF(OR($AC122="Rejected",$AC122="Superseded",$AC122="Dealt Separately"),$AC122,IF($I122="EOT",INDEX(Program_01!$AR:$AR,MATCH($B122,Program_01!$A:$A,0)),INDEX(Program_01!$BB:$BB,MATCH($B122,Program_01!$A:$A,0)))))</f>
        <v>0</v>
      </c>
      <c r="AI122" s="181">
        <f>IF(OR($A122="",$B122="",$I122="",$AS122="VO Issued",$AS122="Open"),"",IF(OR($AD122="N/A"),$AD122,IF($I122="EOT",INDEX(Program_01!$AS:$AS,MATCH($B122,Program_01!$A:$A,0)),INDEX(Program_01!$BC:$BC,MATCH($B122,Program_01!$A:$A,0)))))</f>
        <v>0</v>
      </c>
      <c r="AJ122" s="183">
        <f>IF(OR($D122="",$I122="",$AS122="Determination Issued",$AS122="Rejected",$AS122="Open"),"",IF(OR($AH122="Rejected",$AH122="Dealt Separately",$AH122="Superseded",$AH122="Withdrawn"),"N/A",IF($I122="EOT",INDEX(Program_01!AR:AR,MATCH($B122,Program_01!A:A,0)),INDEX(Program_01!BB:BB,MATCH($B122,Program_01!A:A,0)))))</f>
        <v>0</v>
      </c>
      <c r="AK122" s="181">
        <f>IF(OR($A122="",$B122="",$I122="",$AS122="Determination Issued",$AS122="Rejected",$AS122="Open"),"",IF($AJ122="N/A","N/A",IF($I122="EOT",INDEX(Program_01!AS:AS,MATCH($B122,Program_01!A:A,0)),INDEX(Program_01!BC:BC,MATCH($B122,Program_01!A:A,0)))))</f>
        <v>0</v>
      </c>
      <c r="AL122" s="51"/>
      <c r="AM122" s="184">
        <f>IFERROR(INDEX(Program_01!$BT:$BT,MATCH($B122,Program_01!$A:$A,0)),"")</f>
        <v>0</v>
      </c>
      <c r="AN122" s="184">
        <f>IFERROR(INDEX(Program_01!$BU:$BU,MATCH($B122,Program_01!$A:$A,0)),"")</f>
        <v>0</v>
      </c>
      <c r="AO122" s="184">
        <f>IFERROR(INDEX(Program_01!$BV:$BV,MATCH($B122,Program_01!$A:$A,0)),"")</f>
        <v>0</v>
      </c>
      <c r="AP122" s="51" t="str">
        <f t="shared" si="46"/>
        <v/>
      </c>
      <c r="AQ122" s="184" t="str">
        <f>IFERROR(INDEX(Program_01!$BN:$BN,MATCH($B122,Program_01!$A:$A,0)),"")</f>
        <v>Discretionary EOT / EI Issued</v>
      </c>
      <c r="AR122" s="184" t="str">
        <f>IFERROR(INDEX(Program_01!$BO:$BO,MATCH($B122,Program_01!$A:$A,0)),"")</f>
        <v>Not Applicable</v>
      </c>
      <c r="AS122" s="184" t="str">
        <f>IFERROR(INDEX(Program_01!$BP:$BP,MATCH($B122,Program_01!$A:$A,0)),"")</f>
        <v>EI Issued</v>
      </c>
      <c r="AT122" s="185" t="str">
        <f>IFERROR(INDEX(Program_01!$BQ:$BQ,MATCH($B122,Program_01!$A:$A,0)),"")</f>
        <v>Closed</v>
      </c>
      <c r="AU122" s="179" t="str">
        <f>IFERROR(INDEX(Program_01!$BR:$BR,MATCH($B122,Program_01!$A:$A,0)),"")</f>
        <v>12 Dec 25: Claim reviewed by commercial and planning and rejected - No detailed chronology, No monthly window analysis, Global cost assessment - Letter to be issued to WF by 18 Dec 25.
09 Jan 26: Line item removed from tracker? Revised claim submitted on 07 Jan 26 and TIA comments not addressed - site team to arrange a meeting with Contractor.
26 Jan 26: Meeting held with Contractors Claim consultant on 15 Jan 26 and they will update the Claim so it is compliant with the Contract. Letter to confirm issued to WF for approvals 1TB01005-005C26-AMA-LTR-0122.</v>
      </c>
      <c r="AV122" s="186" t="str">
        <f t="shared" si="32"/>
        <v/>
      </c>
      <c r="AW122" s="186" t="str">
        <f t="shared" si="47"/>
        <v>CLOSED</v>
      </c>
      <c r="AX122" s="186" t="str">
        <f t="shared" si="33"/>
        <v>CLOSED</v>
      </c>
      <c r="AY122" s="181">
        <f t="shared" si="38"/>
        <v>45793</v>
      </c>
      <c r="AZ122" s="181">
        <f t="shared" si="51"/>
        <v>45823</v>
      </c>
      <c r="BA122" s="181">
        <f t="shared" si="4"/>
        <v>0</v>
      </c>
      <c r="BC122" s="181">
        <f>IFERROR(INDEX(Program_01!BF:BF,MATCH($B122,Program_01!$A:$A,0)),"")</f>
        <v>45793</v>
      </c>
      <c r="BD122" s="188" t="str">
        <f ca="1">IFERROR(INDEX(Program_01!BG:BG,MATCH($B122,Program_01!$A:$A,0)),"")</f>
        <v>N/A</v>
      </c>
      <c r="BE122" s="181">
        <f>IFERROR(INDEX(Program_01!BH:BH,MATCH($B122,Program_01!$A:$A,0)),"")</f>
        <v>0</v>
      </c>
      <c r="BF122" s="189">
        <f ca="1">IFERROR(INDEX(Program_01!BI:BI,MATCH($B122,Program_01!$A:$A,0)),"")</f>
        <v>0</v>
      </c>
      <c r="BG122" s="181">
        <f>IFERROR(INDEX(Program_01!BJ:BJ,MATCH($B122,Program_01!$A:$A,0)),"")</f>
        <v>0</v>
      </c>
      <c r="BH122" s="189">
        <f ca="1">IFERROR(INDEX(Program_01!BK:BK,MATCH($B122,Program_01!$A:$A,0)),"")</f>
        <v>0</v>
      </c>
      <c r="BI122" s="181">
        <f>IFERROR(INDEX(Program_01!BL:BL,MATCH($B122,Program_01!$A:$A,0)),"")</f>
        <v>0</v>
      </c>
      <c r="BK122" s="190" t="str">
        <f>IFERROR(IF(INDEX(Program_01!$BX:$BX,MATCH($B122,Program_01!$A:$A,0))=DATE(1900,1,0),"",INDEX(Program_01!$BX:$BX,MATCH($B122,Program_01!$A:$A,0))),"")</f>
        <v/>
      </c>
      <c r="BL122" s="190">
        <f>IFERROR(IF(INDEX(Program_01!$BY:$BY,MATCH($B122,Program_01!$A:$A,0))=DATE(1900,1,0),"",INDEX(Program_01!$BY:$BY,MATCH($B122,Program_01!$A:$A,0))),"")</f>
        <v>45978</v>
      </c>
      <c r="BM122" s="188">
        <f t="shared" ca="1" si="39"/>
        <v>30</v>
      </c>
      <c r="BN122" s="191">
        <f t="shared" ca="1" si="40"/>
        <v>0</v>
      </c>
      <c r="BO122" s="188" t="str">
        <f t="shared" si="34"/>
        <v/>
      </c>
      <c r="BP122" s="188" t="str">
        <f t="shared" si="6"/>
        <v>1</v>
      </c>
      <c r="BQ122" s="188" t="str">
        <f t="shared" ca="1" si="41"/>
        <v/>
      </c>
      <c r="BR122" s="181" t="str">
        <f t="shared" ca="1" si="52"/>
        <v/>
      </c>
      <c r="BT122" s="190" t="str">
        <f>IFERROR(IF(INDEX(Program_01!$BZ:$BZ,MATCH($B122,Program_01!$A:$A,0))=DATE(1900,1,0),"",INDEX(Program_01!$BZ:$BZ,MATCH($B122,Program_01!$A:$A,0))),"")</f>
        <v/>
      </c>
      <c r="BU122" s="182" t="str">
        <f t="shared" ca="1" si="48"/>
        <v/>
      </c>
      <c r="BV122" s="188" t="str">
        <f t="shared" si="35"/>
        <v/>
      </c>
      <c r="BW122" s="188" t="str">
        <f t="shared" si="8"/>
        <v>1</v>
      </c>
      <c r="BX122" s="188" t="str">
        <f t="shared" ca="1" si="36"/>
        <v/>
      </c>
      <c r="BY122" s="181" t="str">
        <f t="shared" ca="1" si="53"/>
        <v/>
      </c>
      <c r="CA122" s="192" t="str">
        <f t="shared" si="49"/>
        <v>N</v>
      </c>
      <c r="CB122" s="192" t="str">
        <f t="shared" si="50"/>
        <v>N</v>
      </c>
      <c r="CC122" s="193">
        <f>IFERROR(INDEX(Program_01!$CE:$CE,MATCH($B122,Program_01!$A:$A,0)),"")</f>
        <v>45976</v>
      </c>
      <c r="CD122" s="193">
        <f t="shared" si="31"/>
        <v>45976</v>
      </c>
      <c r="CG122" s="194">
        <f>IFERROR(INDEX(Program_01!$AT:$AT,MATCH($B122,Program_01!$A:$A,0)),"")</f>
        <v>0</v>
      </c>
      <c r="CH122" s="194">
        <f>IFERROR(INDEX(Program_01!$AX:$AX,MATCH($B122,Program_01!$A:$A,0)),"")</f>
        <v>0</v>
      </c>
    </row>
    <row r="123" spans="1:86" s="187" customFormat="1" ht="132.75" customHeight="1">
      <c r="A123" s="174" t="s">
        <v>1</v>
      </c>
      <c r="B123" s="175">
        <f t="shared" si="42"/>
        <v>105</v>
      </c>
      <c r="C123" s="176" t="str">
        <f>IFERROR(INDEX(Program_01!$B:$B,MATCH($B123,Program_01!$A:$A,0)),"")</f>
        <v>FULL TIA EAR</v>
      </c>
      <c r="D123" s="176" t="str">
        <f>IFERROR(INDEX(Program_01!$D:$D,MATCH($B123,Program_01!$A:$A,0)),"")</f>
        <v>1TB01006C23</v>
      </c>
      <c r="E123" s="176" t="str">
        <f>IFERROR(INDEX(Program_01!$E:$E,MATCH($B123,Program_01!$A:$A,0)),"")</f>
        <v>1.TB.01.006.99</v>
      </c>
      <c r="F123" s="176" t="str">
        <f>IFERROR(INDEX(Program_01!$F:$F,MATCH($B123,Program_01!$A:$A,0)),"")</f>
        <v>Village Boutique Hotel</v>
      </c>
      <c r="G123" s="176" t="str">
        <f>IFERROR(INDEX(Program_01!$G:$G,MATCH($B123,Program_01!$A:$A,0)),"")</f>
        <v>Aluminum &amp; Glazing Works for Village Boutique Hotel</v>
      </c>
      <c r="H123" s="176" t="str">
        <f>IFERROR(INDEX(Program_01!$H:$H,MATCH($B123,Program_01!$A:$A,0)),"")</f>
        <v>REEM Emirates Company Limited</v>
      </c>
      <c r="I123" s="176" t="str">
        <f t="shared" si="37"/>
        <v>EOT</v>
      </c>
      <c r="J123" s="176">
        <f>IFERROR(INDEX(Program_01!$I:$I,MATCH($B123,Program_01!$A:$A,0)),"")</f>
        <v>1</v>
      </c>
      <c r="K123" s="176">
        <f>IFERROR(INDEX(Program_01!$J:$J,MATCH($B123,Program_01!$A:$A,0)),"")</f>
        <v>0</v>
      </c>
      <c r="L123" s="176">
        <f>IFERROR(INDEX(Program_01!$K:$K,MATCH($B123,Program_01!$A:$A,0)),"")</f>
        <v>0</v>
      </c>
      <c r="M123" s="176">
        <f>IFERROR(INDEX(Program_01!$L:$L,MATCH($B123,Program_01!$A:$A,0)),"")</f>
        <v>0</v>
      </c>
      <c r="N123" s="176">
        <f>IFERROR(INDEX(Program_01!$L:$L,MATCH($B123,Program_01!$A:$A,0)),"")</f>
        <v>0</v>
      </c>
      <c r="O123" s="176">
        <f>IFERROR(INDEX(Program_01!$N:$N,MATCH($B123,Program_01!$A:$A,0)),"")</f>
        <v>0</v>
      </c>
      <c r="P123" s="178"/>
      <c r="Q123" s="179" t="str">
        <f>IFERROR(INDEX(Program_01!$C:$C,MATCH($B123,Program_01!$A:$A,0)),"")</f>
        <v>Extension of Time Claim No. 01</v>
      </c>
      <c r="R123" s="176" t="str">
        <f>IFERROR(INDEX(Program_01!$V:$V,MATCH($B123,Program_01!$A:$A,0)),"")</f>
        <v xml:space="preserve">1TB01006-006C23-RMA-LTR-0107 </v>
      </c>
      <c r="S123" s="180">
        <f>IFERROR(INDEX(Program_01!$W:$W,MATCH($B123,Program_01!$A:$A,0)),"")</f>
        <v>45996</v>
      </c>
      <c r="T123" s="178"/>
      <c r="U123" s="176">
        <f>IFERROR(INDEX(Program_01!$Z:$Z,MATCH($B123,Program_01!$A:$A,0)),"")</f>
        <v>0</v>
      </c>
      <c r="V123" s="181" t="str">
        <f>IFERROR(INDEX(Program_01!$AA:$AA,MATCH($B123,Program_01!$A:$A,0)),"")</f>
        <v>N/A</v>
      </c>
      <c r="W123" s="182" t="str">
        <f t="shared" ca="1" si="0"/>
        <v/>
      </c>
      <c r="X123" s="51"/>
      <c r="Y123" s="179">
        <f>IFERROR(INDEX(Program_01!$BD:$BD,MATCH($B123,Program_01!$A:$A,0)),"")</f>
        <v>0</v>
      </c>
      <c r="Z123" s="51"/>
      <c r="AA123" s="183" t="str">
        <f>IFERROR(IF((INDEX(Program_01!$AD:$AD,MATCH($B123,Program_01!$A:$A,0))=""),INDEX(Program_01!$V:$V,MATCH($B123,Program_01!$A:$A,0)),INDEX(Program_01!$AD:$AD,MATCH($B123,Program_01!$A:$A,0))),"")</f>
        <v xml:space="preserve">1TB01006-006C23-RMA-LTR-0107 </v>
      </c>
      <c r="AB123" s="147">
        <f>IFERROR(IF((INDEX(Program_01!$AE:$AE,MATCH($B123,Program_01!$A:$A,0))=""),INDEX(Program_01!$W:$W,MATCH($B123,Program_01!$A:$A,0)),INDEX(Program_01!$AE:$AE,MATCH($B123,Program_01!$A:$A,0))),"")</f>
        <v>45996</v>
      </c>
      <c r="AC123" s="183">
        <f>IFERROR(IF($I123="EOT",INDEX(Program_01!$AN:$AN,MATCH($B123,Program_01!$A:$A,0)),INDEX(Program_01!$AY:$AY,MATCH($B123,Program_01!$A:$A,0))),"")</f>
        <v>0</v>
      </c>
      <c r="AD123" s="181" t="str">
        <f>IFERROR(IF($I123="EOT",INDEX(Program_01!$AO:$AO,MATCH($B123,Program_01!$A:$A,0)),INDEX(Program_01!$AZ:$AZ,MATCH($B123,Program_01!$A:$A,0))),"")</f>
        <v>N/A</v>
      </c>
      <c r="AE123" s="51"/>
      <c r="AF123" s="183"/>
      <c r="AG123" s="181"/>
      <c r="AH123" s="183">
        <f>IF(OR($D123="",$AS123="VO Issued",$AS123="Open"),"",IF(OR($AC123="Rejected",$AC123="Superseded",$AC123="Dealt Separately"),$AC123,IF($I123="EOT",INDEX(Program_01!$AR:$AR,MATCH($B123,Program_01!$A:$A,0)),INDEX(Program_01!$BB:$BB,MATCH($B123,Program_01!$A:$A,0)))))</f>
        <v>0</v>
      </c>
      <c r="AI123" s="181" t="str">
        <f>IF(OR($A123="",$B123="",$I123="",$AS123="VO Issued",$AS123="Open"),"",IF(OR($AD123="N/A"),$AD123,IF($I123="EOT",INDEX(Program_01!$AS:$AS,MATCH($B123,Program_01!$A:$A,0)),INDEX(Program_01!$BC:$BC,MATCH($B123,Program_01!$A:$A,0)))))</f>
        <v>N/A</v>
      </c>
      <c r="AJ123" s="183">
        <f>IF(OR($D123="",$I123="",$AS123="Determination Issued",$AS123="Rejected",$AS123="Open"),"",IF(OR($AH123="Rejected",$AH123="Dealt Separately",$AH123="Superseded",$AH123="Withdrawn"),"N/A",IF($I123="EOT",INDEX(Program_01!AR:AR,MATCH($B123,Program_01!A:A,0)),INDEX(Program_01!BB:BB,MATCH($B123,Program_01!A:A,0)))))</f>
        <v>0</v>
      </c>
      <c r="AK123" s="181">
        <f>IF(OR($A123="",$B123="",$I123="",$AS123="Determination Issued",$AS123="Rejected",$AS123="Open"),"",IF($AJ123="N/A","N/A",IF($I123="EOT",INDEX(Program_01!AS:AS,MATCH($B123,Program_01!A:A,0)),INDEX(Program_01!BC:BC,MATCH($B123,Program_01!A:A,0)))))</f>
        <v>0</v>
      </c>
      <c r="AL123" s="51"/>
      <c r="AM123" s="184">
        <f>IFERROR(INDEX(Program_01!$BT:$BT,MATCH($B123,Program_01!$A:$A,0)),"")</f>
        <v>0</v>
      </c>
      <c r="AN123" s="184">
        <f>IFERROR(INDEX(Program_01!$BU:$BU,MATCH($B123,Program_01!$A:$A,0)),"")</f>
        <v>0</v>
      </c>
      <c r="AO123" s="184">
        <f>IFERROR(INDEX(Program_01!$BV:$BV,MATCH($B123,Program_01!$A:$A,0)),"")</f>
        <v>0</v>
      </c>
      <c r="AP123" s="51" t="str">
        <f t="shared" si="46"/>
        <v/>
      </c>
      <c r="AQ123" s="184">
        <f>IFERROR(INDEX(Program_01!$BN:$BN,MATCH($B123,Program_01!$A:$A,0)),"")</f>
        <v>0</v>
      </c>
      <c r="AR123" s="184" t="str">
        <f>IFERROR(INDEX(Program_01!$BO:$BO,MATCH($B123,Program_01!$A:$A,0)),"")</f>
        <v>Superseded</v>
      </c>
      <c r="AS123" s="184" t="str">
        <f>IFERROR(INDEX(Program_01!$BP:$BP,MATCH($B123,Program_01!$A:$A,0)),"")</f>
        <v>Superseded</v>
      </c>
      <c r="AT123" s="185" t="str">
        <f>IFERROR(INDEX(Program_01!$BQ:$BQ,MATCH($B123,Program_01!$A:$A,0)),"")</f>
        <v>Closed</v>
      </c>
      <c r="AU123" s="179" t="str">
        <f>IFERROR(INDEX(Program_01!$BR:$BR,MATCH($B123,Program_01!$A:$A,0)),"")</f>
        <v>08 Dec 25: Contractor submitted EOT-01 via 1TB01006-006C23-RMA-LTR-0107  on 05 Dec 25,
13 Dec 25: planning accepted methodology. Response currently prepered, target date 15 Dec. Target date for report 08 Jan (depending on other priorities it may change).  duplicate entry</v>
      </c>
      <c r="AV123" s="186" t="str">
        <f t="shared" si="32"/>
        <v/>
      </c>
      <c r="AW123" s="186" t="str">
        <f t="shared" si="47"/>
        <v>CLOSED</v>
      </c>
      <c r="AX123" s="186" t="str">
        <f t="shared" si="33"/>
        <v>CLOSED</v>
      </c>
      <c r="AY123" s="181">
        <f t="shared" si="38"/>
        <v>45996</v>
      </c>
      <c r="AZ123" s="181" t="str">
        <f t="shared" si="51"/>
        <v>N/A</v>
      </c>
      <c r="BA123" s="181" t="str">
        <f t="shared" si="4"/>
        <v>N/A</v>
      </c>
      <c r="BC123" s="181">
        <f>IFERROR(INDEX(Program_01!BF:BF,MATCH($B123,Program_01!$A:$A,0)),"")</f>
        <v>45996</v>
      </c>
      <c r="BD123" s="188" t="str">
        <f ca="1">IFERROR(INDEX(Program_01!BG:BG,MATCH($B123,Program_01!$A:$A,0)),"")</f>
        <v>N/A</v>
      </c>
      <c r="BE123" s="181">
        <f>IFERROR(INDEX(Program_01!BH:BH,MATCH($B123,Program_01!$A:$A,0)),"")</f>
        <v>0</v>
      </c>
      <c r="BF123" s="189">
        <f ca="1">IFERROR(INDEX(Program_01!BI:BI,MATCH($B123,Program_01!$A:$A,0)),"")</f>
        <v>0</v>
      </c>
      <c r="BG123" s="181">
        <f>IFERROR(INDEX(Program_01!BJ:BJ,MATCH($B123,Program_01!$A:$A,0)),"")</f>
        <v>0</v>
      </c>
      <c r="BH123" s="189">
        <f ca="1">IFERROR(INDEX(Program_01!BK:BK,MATCH($B123,Program_01!$A:$A,0)),"")</f>
        <v>0</v>
      </c>
      <c r="BI123" s="181">
        <f>IFERROR(INDEX(Program_01!BL:BL,MATCH($B123,Program_01!$A:$A,0)),"")</f>
        <v>0</v>
      </c>
      <c r="BK123" s="190">
        <f>IFERROR(IF(INDEX(Program_01!$BX:$BX,MATCH($B123,Program_01!$A:$A,0))=DATE(1900,1,0),"",INDEX(Program_01!$BX:$BX,MATCH($B123,Program_01!$A:$A,0))),"")</f>
        <v>46023</v>
      </c>
      <c r="BL123" s="190" t="str">
        <f>IFERROR(IF(INDEX(Program_01!$BY:$BY,MATCH($B123,Program_01!$A:$A,0))=DATE(1900,1,0),"",INDEX(Program_01!$BY:$BY,MATCH($B123,Program_01!$A:$A,0))),"")</f>
        <v/>
      </c>
      <c r="BM123" s="188" t="str">
        <f t="shared" ca="1" si="39"/>
        <v/>
      </c>
      <c r="BN123" s="191">
        <f t="shared" ca="1" si="40"/>
        <v>0</v>
      </c>
      <c r="BO123" s="188" t="str">
        <f t="shared" si="34"/>
        <v/>
      </c>
      <c r="BP123" s="188" t="str">
        <f t="shared" si="6"/>
        <v>1</v>
      </c>
      <c r="BQ123" s="188" t="str">
        <f t="shared" ca="1" si="41"/>
        <v/>
      </c>
      <c r="BR123" s="181" t="str">
        <f t="shared" ca="1" si="52"/>
        <v/>
      </c>
      <c r="BT123" s="190" t="str">
        <f>IFERROR(IF(INDEX(Program_01!$BZ:$BZ,MATCH($B123,Program_01!$A:$A,0))=DATE(1900,1,0),"",INDEX(Program_01!$BZ:$BZ,MATCH($B123,Program_01!$A:$A,0))),"")</f>
        <v/>
      </c>
      <c r="BU123" s="182" t="str">
        <f t="shared" ca="1" si="48"/>
        <v/>
      </c>
      <c r="BV123" s="188" t="str">
        <f t="shared" si="35"/>
        <v/>
      </c>
      <c r="BW123" s="188" t="str">
        <f t="shared" si="8"/>
        <v>1</v>
      </c>
      <c r="BX123" s="188" t="str">
        <f t="shared" ca="1" si="36"/>
        <v/>
      </c>
      <c r="BY123" s="181" t="str">
        <f t="shared" ca="1" si="53"/>
        <v/>
      </c>
      <c r="CA123" s="192" t="str">
        <f t="shared" si="49"/>
        <v>N</v>
      </c>
      <c r="CB123" s="192" t="str">
        <f t="shared" si="50"/>
        <v>N</v>
      </c>
      <c r="CC123" s="193">
        <f>IFERROR(INDEX(Program_01!$CE:$CE,MATCH($B123,Program_01!$A:$A,0)),"")</f>
        <v>45999</v>
      </c>
      <c r="CD123" s="193">
        <f t="shared" si="31"/>
        <v>45999</v>
      </c>
      <c r="CG123" s="194">
        <f>IFERROR(INDEX(Program_01!$AT:$AT,MATCH($B123,Program_01!$A:$A,0)),"")</f>
        <v>0</v>
      </c>
      <c r="CH123" s="194">
        <f>IFERROR(INDEX(Program_01!$AX:$AX,MATCH($B123,Program_01!$A:$A,0)),"")</f>
        <v>0</v>
      </c>
    </row>
    <row r="124" spans="1:86" s="187" customFormat="1" ht="408.75" customHeight="1">
      <c r="A124" s="174" t="s">
        <v>1</v>
      </c>
      <c r="B124" s="175">
        <f t="shared" si="42"/>
        <v>106</v>
      </c>
      <c r="C124" s="176" t="str">
        <f>IFERROR(INDEX(Program_01!$B:$B,MATCH($B124,Program_01!$A:$A,0)),"")</f>
        <v>FULL TIA EAR</v>
      </c>
      <c r="D124" s="176" t="str">
        <f>IFERROR(INDEX(Program_01!$D:$D,MATCH($B124,Program_01!$A:$A,0)),"")</f>
        <v>1TB01005C26</v>
      </c>
      <c r="E124" s="176" t="str">
        <f>IFERROR(INDEX(Program_01!$E:$E,MATCH($B124,Program_01!$A:$A,0)),"")</f>
        <v>1.TB.01.005.01</v>
      </c>
      <c r="F124" s="176" t="str">
        <f>IFERROR(INDEX(Program_01!$F:$F,MATCH($B124,Program_01!$A:$A,0)),"")</f>
        <v>Red Sea Marine Life Institute</v>
      </c>
      <c r="G124" s="176" t="str">
        <f>IFERROR(INDEX(Program_01!$G:$G,MATCH($B124,Program_01!$A:$A,0)),"")</f>
        <v>Construction Contract - MEP including Tertiary Infrastructure, Grand Reveal Basin MEP, MEP Systems, Acclimation Areas Works</v>
      </c>
      <c r="H124" s="176" t="str">
        <f>IFERROR(INDEX(Program_01!$H:$H,MATCH($B124,Program_01!$A:$A,0)),"")</f>
        <v>Building Knowledge General Contracting Company LLC (BK Gulf)</v>
      </c>
      <c r="I124" s="176" t="str">
        <f t="shared" si="37"/>
        <v>EOT</v>
      </c>
      <c r="J124" s="176">
        <f>IFERROR(INDEX(Program_01!$I:$I,MATCH($B124,Program_01!$A:$A,0)),"")</f>
        <v>1</v>
      </c>
      <c r="K124" s="176">
        <f>IFERROR(INDEX(Program_01!$J:$J,MATCH($B124,Program_01!$A:$A,0)),"")</f>
        <v>0</v>
      </c>
      <c r="L124" s="176">
        <f>IFERROR(INDEX(Program_01!$K:$K,MATCH($B124,Program_01!$A:$A,0)),"")</f>
        <v>0</v>
      </c>
      <c r="M124" s="176">
        <f>IFERROR(INDEX(Program_01!$L:$L,MATCH($B124,Program_01!$A:$A,0)),"")</f>
        <v>0</v>
      </c>
      <c r="N124" s="176">
        <f>IFERROR(INDEX(Program_01!$L:$L,MATCH($B124,Program_01!$A:$A,0)),"")</f>
        <v>0</v>
      </c>
      <c r="O124" s="176">
        <f>IFERROR(INDEX(Program_01!$N:$N,MATCH($B124,Program_01!$A:$A,0)),"")</f>
        <v>0</v>
      </c>
      <c r="P124" s="178"/>
      <c r="Q124" s="179" t="str">
        <f>IFERROR(INDEX(Program_01!$C:$C,MATCH($B124,Program_01!$A:$A,0)),"")</f>
        <v>EXTENSION OF TIME CLAIM NO.01 - 384 CALENDAR DAYS</v>
      </c>
      <c r="R124" s="176" t="str">
        <f>IFERROR(INDEX(Program_01!$V:$V,MATCH($B124,Program_01!$A:$A,0)),"")</f>
        <v>1TB01005-005C26-BGC-LTR-0211</v>
      </c>
      <c r="S124" s="180">
        <f>IFERROR(INDEX(Program_01!$W:$W,MATCH($B124,Program_01!$A:$A,0)),"")</f>
        <v>45998</v>
      </c>
      <c r="T124" s="178"/>
      <c r="U124" s="176" t="str">
        <f>IFERROR(INDEX(Program_01!$Z:$Z,MATCH($B124,Program_01!$A:$A,0)),"")</f>
        <v>1TB01005-005C26-AMA-LTR-0119</v>
      </c>
      <c r="V124" s="181">
        <f>IFERROR(INDEX(Program_01!$AA:$AA,MATCH($B124,Program_01!$A:$A,0)),"")</f>
        <v>46013</v>
      </c>
      <c r="W124" s="182">
        <f t="shared" ca="1" si="0"/>
        <v>15</v>
      </c>
      <c r="X124" s="51"/>
      <c r="Y124" s="179">
        <f>IFERROR(INDEX(Program_01!$BD:$BD,MATCH($B124,Program_01!$A:$A,0)),"")</f>
        <v>0</v>
      </c>
      <c r="Z124" s="51"/>
      <c r="AA124" s="183" t="str">
        <f>IFERROR(IF((INDEX(Program_01!$AD:$AD,MATCH($B124,Program_01!$A:$A,0))=""),INDEX(Program_01!$V:$V,MATCH($B124,Program_01!$A:$A,0)),INDEX(Program_01!$AD:$AD,MATCH($B124,Program_01!$A:$A,0))),"")</f>
        <v>1TB01005-005C26-BGC-LTR-0226 on 07 Jan 26
BGC01005-GENCORR-000169 (1TB01005-005C26-BGC-LTR-0255) on 23 Apr 26
BGC01005-GENCORR-000176 on 25 May 26 (states previous submission is full &amp; final
1TB01005-005C26-AMA-LTR-0145 (stating that employer will proceed with EAR based on the avilable data)</v>
      </c>
      <c r="AB124" s="147">
        <f>IFERROR(IF((INDEX(Program_01!$AE:$AE,MATCH($B124,Program_01!$A:$A,0))=""),INDEX(Program_01!$W:$W,MATCH($B124,Program_01!$A:$A,0)),INDEX(Program_01!$AE:$AE,MATCH($B124,Program_01!$A:$A,0))),"")</f>
        <v>46195</v>
      </c>
      <c r="AC124" s="183">
        <f>IFERROR(IF($I124="EOT",INDEX(Program_01!$AN:$AN,MATCH($B124,Program_01!$A:$A,0)),INDEX(Program_01!$AY:$AY,MATCH($B124,Program_01!$A:$A,0))),"")</f>
        <v>0</v>
      </c>
      <c r="AD124" s="181">
        <f>IFERROR(IF($I124="EOT",INDEX(Program_01!$AO:$AO,MATCH($B124,Program_01!$A:$A,0)),INDEX(Program_01!$AZ:$AZ,MATCH($B124,Program_01!$A:$A,0))),"")</f>
        <v>0</v>
      </c>
      <c r="AE124" s="51"/>
      <c r="AF124" s="183"/>
      <c r="AG124" s="181"/>
      <c r="AH124" s="183" t="str">
        <f>IF(OR($D124="",$AS124="VO Issued",$AS124="Open"),"",IF(OR($AC124="Rejected",$AC124="Superseded",$AC124="Dealt Separately"),$AC124,IF($I124="EOT",INDEX(Program_01!$AR:$AR,MATCH($B124,Program_01!$A:$A,0)),INDEX(Program_01!$BB:$BB,MATCH($B124,Program_01!$A:$A,0)))))</f>
        <v/>
      </c>
      <c r="AI124" s="181" t="str">
        <f>IF(OR($A124="",$B124="",$I124="",$AS124="VO Issued",$AS124="Open"),"",IF(OR($AD124="N/A"),$AD124,IF($I124="EOT",INDEX(Program_01!$AS:$AS,MATCH($B124,Program_01!$A:$A,0)),INDEX(Program_01!$BC:$BC,MATCH($B124,Program_01!$A:$A,0)))))</f>
        <v/>
      </c>
      <c r="AJ124" s="183" t="str">
        <f>IF(OR($D124="",$I124="",$AS124="Determination Issued",$AS124="Rejected",$AS124="Open"),"",IF(OR($AH124="Rejected",$AH124="Dealt Separately",$AH124="Superseded",$AH124="Withdrawn"),"N/A",IF($I124="EOT",INDEX(Program_01!AR:AR,MATCH($B124,Program_01!A:A,0)),INDEX(Program_01!BB:BB,MATCH($B124,Program_01!A:A,0)))))</f>
        <v/>
      </c>
      <c r="AK124" s="181" t="str">
        <f>IF(OR($A124="",$B124="",$I124="",$AS124="Determination Issued",$AS124="Rejected",$AS124="Open"),"",IF($AJ124="N/A","N/A",IF($I124="EOT",INDEX(Program_01!AS:AS,MATCH($B124,Program_01!A:A,0)),INDEX(Program_01!BC:BC,MATCH($B124,Program_01!A:A,0)))))</f>
        <v/>
      </c>
      <c r="AL124" s="51"/>
      <c r="AM124" s="184">
        <f>IFERROR(INDEX(Program_01!$BT:$BT,MATCH($B124,Program_01!$A:$A,0)),"")</f>
        <v>0</v>
      </c>
      <c r="AN124" s="184">
        <f>IFERROR(INDEX(Program_01!$BU:$BU,MATCH($B124,Program_01!$A:$A,0)),"")</f>
        <v>0</v>
      </c>
      <c r="AO124" s="184">
        <f>IFERROR(INDEX(Program_01!$BV:$BV,MATCH($B124,Program_01!$A:$A,0)),"")</f>
        <v>0</v>
      </c>
      <c r="AP124" s="51" t="str">
        <f t="shared" si="46"/>
        <v/>
      </c>
      <c r="AQ124" s="184">
        <f>IFERROR(INDEX(Program_01!$BN:$BN,MATCH($B124,Program_01!$A:$A,0)),"")</f>
        <v>0</v>
      </c>
      <c r="AR124" s="184" t="str">
        <f>IFERROR(INDEX(Program_01!$BO:$BO,MATCH($B124,Program_01!$A:$A,0)),"")</f>
        <v>Pending</v>
      </c>
      <c r="AS124" s="184" t="str">
        <f>IFERROR(INDEX(Program_01!$BP:$BP,MATCH($B124,Program_01!$A:$A,0)),"")</f>
        <v>Open</v>
      </c>
      <c r="AT124" s="185" t="str">
        <f>IFERROR(INDEX(Program_01!$BQ:$BQ,MATCH($B124,Program_01!$A:$A,0)),"")</f>
        <v>Planning Team</v>
      </c>
      <c r="AU124" s="179" t="str">
        <f>IFERROR(INDEX(Program_01!$BR:$BR,MATCH($B124,Program_01!$A:$A,0)),"")</f>
        <v>10 May 26: Site Planning team provided comments on contractor's latest submission
11 May 26: Draft response sent to site planning team for review prior to WF
15 May 26: Rejection letter going through WF approvals 1TB01005-005C26-AMA-LTR-0138
31 May 26: Contractor rejects Employer's rejection of their EOT claim No. 1 (Rev. 02), ref. BGC01005-GENCORR-000176 
04 Jun 26: Commercial to respond.
09 Jun 26: commercial sent email to site planning to advise if the TIA Methodology  applied is in compliance 
11 Jun 26: planning confirmed that the TIA is in compliance
15 Jun 26: commercial to write to the contractoor confirming that Employer will proceed with the EAR based on the avialable Data and proceed with TIA
22 June 26: Letter issued to the Contractor via Ref. 1TB01005-005C26-AMA-LTR-0145 dated 22 June 26, in response to BGC01005-GENCORR-000176 stating that following review of the Contractor’s submission and further to the meeting held on 04 June 2026, the Employer confirms that it will proceed with its detailed assessment of the Claim in its current submitted form. 
28 Jun 26: EAR being prepared - target date for issue to Claims is  24 Jul 26.
12 Jul 26: Ditto
27 Jul 26: Target date moved to 07 Aug 26
10 Aug 26: Target date moved to 21 Aug 26
21 Aug 26: EAR sent to claims team for review
23 Aug 26: EAR reverted to commercial with comments
24 Aug 26: updated Draft report sent to claims team for further review.  Target 25 Aug 26.
25 Aug 26: EAR sent to planning for TIA
03 Sep 26: EAR sent back with planning's comments 
05 Sep 26: Updated draft addressing planning's comments sent to claims team for review
06 Sep 26: updated EAR sent to planning 
08 Sep 26: Planning revereted the EAR stating that the chronology for access delays does not have adequate details to prepare TIA
16 Sep 26: EAR sent to commercial to review comments from planning team
19 Sept 26: Commercial and Site Planning to complete a review of Shaju comments on 20 Sept
23 Sep 26: Updated EAR sent to Claims team for TIA
28 Sep 26: EAR reviewd and sent to plannign to commence TIA
04 Oct 26: Ditto, issued to planning on 28 Sept.</v>
      </c>
      <c r="AV124" s="186" t="str">
        <f t="shared" si="32"/>
        <v/>
      </c>
      <c r="AW124" s="186" t="str">
        <f t="shared" si="47"/>
        <v>OPEN</v>
      </c>
      <c r="AX124" s="186" t="str">
        <f t="shared" si="33"/>
        <v>OPEN</v>
      </c>
      <c r="AY124" s="181">
        <f t="shared" si="38"/>
        <v>46195</v>
      </c>
      <c r="AZ124" s="181" t="str">
        <f t="shared" si="51"/>
        <v/>
      </c>
      <c r="BA124" s="181" t="str">
        <f t="shared" si="4"/>
        <v/>
      </c>
      <c r="BC124" s="181">
        <f>IFERROR(INDEX(Program_01!BF:BF,MATCH($B124,Program_01!$A:$A,0)),"")</f>
        <v>46195</v>
      </c>
      <c r="BD124" s="188">
        <f ca="1">IFERROR(INDEX(Program_01!BG:BG,MATCH($B124,Program_01!$A:$A,0)),"")</f>
        <v>64</v>
      </c>
      <c r="BE124" s="181">
        <f>IFERROR(INDEX(Program_01!BH:BH,MATCH($B124,Program_01!$A:$A,0)),"")</f>
        <v>46259</v>
      </c>
      <c r="BF124" s="189">
        <f ca="1">IFERROR(INDEX(Program_01!BI:BI,MATCH($B124,Program_01!$A:$A,0)),"")</f>
        <v>41</v>
      </c>
      <c r="BG124" s="181">
        <f>IFERROR(INDEX(Program_01!BJ:BJ,MATCH($B124,Program_01!$A:$A,0)),"")</f>
        <v>0</v>
      </c>
      <c r="BH124" s="189">
        <f ca="1">IFERROR(INDEX(Program_01!BK:BK,MATCH($B124,Program_01!$A:$A,0)),"")</f>
        <v>0</v>
      </c>
      <c r="BI124" s="181">
        <f>IFERROR(INDEX(Program_01!BL:BL,MATCH($B124,Program_01!$A:$A,0)),"")</f>
        <v>0</v>
      </c>
      <c r="BK124" s="190" t="str">
        <f>IFERROR(IF(INDEX(Program_01!$BX:$BX,MATCH($B124,Program_01!$A:$A,0))=DATE(1900,1,0),"",INDEX(Program_01!$BX:$BX,MATCH($B124,Program_01!$A:$A,0))),"")</f>
        <v/>
      </c>
      <c r="BL124" s="190" t="str">
        <f>IFERROR(IF(INDEX(Program_01!$BY:$BY,MATCH($B124,Program_01!$A:$A,0))=DATE(1900,1,0),"",INDEX(Program_01!$BY:$BY,MATCH($B124,Program_01!$A:$A,0))),"")</f>
        <v/>
      </c>
      <c r="BM124" s="188" t="str">
        <f t="shared" ca="1" si="39"/>
        <v/>
      </c>
      <c r="BN124" s="191">
        <f t="shared" ca="1" si="40"/>
        <v>105</v>
      </c>
      <c r="BO124" s="188" t="str">
        <f t="shared" si="34"/>
        <v/>
      </c>
      <c r="BP124" s="188" t="str">
        <f t="shared" si="6"/>
        <v/>
      </c>
      <c r="BQ124" s="188" t="str">
        <f t="shared" ca="1" si="41"/>
        <v/>
      </c>
      <c r="BR124" s="181" t="str">
        <f t="shared" ca="1" si="52"/>
        <v/>
      </c>
      <c r="BT124" s="190" t="str">
        <f>IFERROR(IF(INDEX(Program_01!$BZ:$BZ,MATCH($B124,Program_01!$A:$A,0))=DATE(1900,1,0),"",INDEX(Program_01!$BZ:$BZ,MATCH($B124,Program_01!$A:$A,0))),"")</f>
        <v/>
      </c>
      <c r="BU124" s="182" t="str">
        <f t="shared" ca="1" si="48"/>
        <v/>
      </c>
      <c r="BV124" s="188" t="str">
        <f t="shared" si="35"/>
        <v/>
      </c>
      <c r="BW124" s="188" t="str">
        <f t="shared" si="8"/>
        <v/>
      </c>
      <c r="BX124" s="188" t="str">
        <f t="shared" ca="1" si="36"/>
        <v/>
      </c>
      <c r="BY124" s="181" t="str">
        <f t="shared" ca="1" si="53"/>
        <v/>
      </c>
      <c r="CA124" s="192" t="str">
        <f t="shared" si="49"/>
        <v>N</v>
      </c>
      <c r="CB124" s="192" t="str">
        <f t="shared" si="50"/>
        <v>N</v>
      </c>
      <c r="CC124" s="193">
        <f>IFERROR(INDEX(Program_01!$CE:$CE,MATCH($B124,Program_01!$A:$A,0)),"")</f>
        <v>46033</v>
      </c>
      <c r="CD124" s="193">
        <f t="shared" si="31"/>
        <v>46033</v>
      </c>
      <c r="CG124" s="194">
        <f>IFERROR(INDEX(Program_01!$AT:$AT,MATCH($B124,Program_01!$A:$A,0)),"")</f>
        <v>0</v>
      </c>
      <c r="CH124" s="194">
        <f>IFERROR(INDEX(Program_01!$AX:$AX,MATCH($B124,Program_01!$A:$A,0)),"")</f>
        <v>0</v>
      </c>
    </row>
    <row r="125" spans="1:86" s="187" customFormat="1" ht="255">
      <c r="A125" s="174" t="s">
        <v>1</v>
      </c>
      <c r="B125" s="175">
        <f t="shared" si="42"/>
        <v>107</v>
      </c>
      <c r="C125" s="176" t="str">
        <f>IFERROR(INDEX(Program_01!$B:$B,MATCH($B125,Program_01!$A:$A,0)),"")</f>
        <v>COST EAR</v>
      </c>
      <c r="D125" s="176" t="str">
        <f>IFERROR(INDEX(Program_01!$D:$D,MATCH($B125,Program_01!$A:$A,0)),"")</f>
        <v>1TB01005C26</v>
      </c>
      <c r="E125" s="176" t="str">
        <f>IFERROR(INDEX(Program_01!$E:$E,MATCH($B125,Program_01!$A:$A,0)),"")</f>
        <v>1.TB.01.005.01</v>
      </c>
      <c r="F125" s="176" t="str">
        <f>IFERROR(INDEX(Program_01!$F:$F,MATCH($B125,Program_01!$A:$A,0)),"")</f>
        <v>Red Sea Marine Life Institute</v>
      </c>
      <c r="G125" s="176" t="str">
        <f>IFERROR(INDEX(Program_01!$G:$G,MATCH($B125,Program_01!$A:$A,0)),"")</f>
        <v>Construction Contract - MEP including Tertiary Infrastructure, Grand Reveal Basin MEP, MEP Systems, Acclimation Areas Works</v>
      </c>
      <c r="H125" s="176" t="str">
        <f>IFERROR(INDEX(Program_01!$H:$H,MATCH($B125,Program_01!$A:$A,0)),"")</f>
        <v>Building Knowledge General Contracting Company LLC (BK Gulf)</v>
      </c>
      <c r="I125" s="176" t="str">
        <f t="shared" si="37"/>
        <v>Prolongation</v>
      </c>
      <c r="J125" s="176">
        <f>IFERROR(INDEX(Program_01!$I:$I,MATCH($B125,Program_01!$A:$A,0)),"")</f>
        <v>0</v>
      </c>
      <c r="K125" s="176">
        <f>IFERROR(INDEX(Program_01!$J:$J,MATCH($B125,Program_01!$A:$A,0)),"")</f>
        <v>1</v>
      </c>
      <c r="L125" s="176">
        <f>IFERROR(INDEX(Program_01!$K:$K,MATCH($B125,Program_01!$A:$A,0)),"")</f>
        <v>0</v>
      </c>
      <c r="M125" s="176">
        <f>IFERROR(INDEX(Program_01!$L:$L,MATCH($B125,Program_01!$A:$A,0)),"")</f>
        <v>0</v>
      </c>
      <c r="N125" s="176">
        <f>IFERROR(INDEX(Program_01!$L:$L,MATCH($B125,Program_01!$A:$A,0)),"")</f>
        <v>0</v>
      </c>
      <c r="O125" s="176">
        <f>IFERROR(INDEX(Program_01!$N:$N,MATCH($B125,Program_01!$A:$A,0)),"")</f>
        <v>0</v>
      </c>
      <c r="P125" s="178"/>
      <c r="Q125" s="179" t="str">
        <f>IFERROR(INDEX(Program_01!$C:$C,MATCH($B125,Program_01!$A:$A,0)),"")</f>
        <v>EXTENSION OF TIME CLAIM NO.01 - 384 CALENDAR DAYS - Cost</v>
      </c>
      <c r="R125" s="176" t="str">
        <f>IFERROR(INDEX(Program_01!$V:$V,MATCH($B125,Program_01!$A:$A,0)),"")</f>
        <v>1TB01005-005C26-BGC-LTR-0211</v>
      </c>
      <c r="S125" s="180">
        <f>IFERROR(INDEX(Program_01!$W:$W,MATCH($B125,Program_01!$A:$A,0)),"")</f>
        <v>45998</v>
      </c>
      <c r="T125" s="178"/>
      <c r="U125" s="176" t="str">
        <f>IFERROR(INDEX(Program_01!$Z:$Z,MATCH($B125,Program_01!$A:$A,0)),"")</f>
        <v>1TB01005-005C26-AMA-LTR-0119</v>
      </c>
      <c r="V125" s="181">
        <f>IFERROR(INDEX(Program_01!$AA:$AA,MATCH($B125,Program_01!$A:$A,0)),"")</f>
        <v>46013</v>
      </c>
      <c r="W125" s="182">
        <f t="shared" ca="1" si="0"/>
        <v>15</v>
      </c>
      <c r="X125" s="51"/>
      <c r="Y125" s="179">
        <f>IFERROR(INDEX(Program_01!$BD:$BD,MATCH($B125,Program_01!$A:$A,0)),"")</f>
        <v>0</v>
      </c>
      <c r="Z125" s="51"/>
      <c r="AA125" s="183" t="str">
        <f>IFERROR(IF((INDEX(Program_01!$AD:$AD,MATCH($B125,Program_01!$A:$A,0))=""),INDEX(Program_01!$V:$V,MATCH($B125,Program_01!$A:$A,0)),INDEX(Program_01!$AD:$AD,MATCH($B125,Program_01!$A:$A,0))),"")</f>
        <v>1TB01005-005C26-BGC-LTR-0226</v>
      </c>
      <c r="AB125" s="147">
        <f>IFERROR(IF((INDEX(Program_01!$AE:$AE,MATCH($B125,Program_01!$A:$A,0))=""),INDEX(Program_01!$W:$W,MATCH($B125,Program_01!$A:$A,0)),INDEX(Program_01!$AE:$AE,MATCH($B125,Program_01!$A:$A,0))),"")</f>
        <v>46029</v>
      </c>
      <c r="AC125" s="183">
        <f>IFERROR(IF($I125="EOT",INDEX(Program_01!$AN:$AN,MATCH($B125,Program_01!$A:$A,0)),INDEX(Program_01!$AY:$AY,MATCH($B125,Program_01!$A:$A,0))),"")</f>
        <v>0</v>
      </c>
      <c r="AD125" s="181">
        <f>IFERROR(IF($I125="EOT",INDEX(Program_01!$AO:$AO,MATCH($B125,Program_01!$A:$A,0)),INDEX(Program_01!$AZ:$AZ,MATCH($B125,Program_01!$A:$A,0))),"")</f>
        <v>0</v>
      </c>
      <c r="AE125" s="51"/>
      <c r="AF125" s="183"/>
      <c r="AG125" s="181"/>
      <c r="AH125" s="183" t="str">
        <f>IF(OR($D125="",$AS125="VO Issued",$AS125="Open"),"",IF(OR($AC125="Rejected",$AC125="Superseded",$AC125="Dealt Separately"),$AC125,IF($I125="EOT",INDEX(Program_01!$AR:$AR,MATCH($B125,Program_01!$A:$A,0)),INDEX(Program_01!$BB:$BB,MATCH($B125,Program_01!$A:$A,0)))))</f>
        <v/>
      </c>
      <c r="AI125" s="181" t="str">
        <f>IF(OR($A125="",$B125="",$I125="",$AS125="VO Issued",$AS125="Open"),"",IF(OR($AD125="N/A"),$AD125,IF($I125="EOT",INDEX(Program_01!$AS:$AS,MATCH($B125,Program_01!$A:$A,0)),INDEX(Program_01!$BC:$BC,MATCH($B125,Program_01!$A:$A,0)))))</f>
        <v/>
      </c>
      <c r="AJ125" s="183" t="str">
        <f>IF(OR($D125="",$I125="",$AS125="Determination Issued",$AS125="Rejected",$AS125="Open"),"",IF(OR($AH125="Rejected",$AH125="Dealt Separately",$AH125="Superseded",$AH125="Withdrawn"),"N/A",IF($I125="EOT",INDEX(Program_01!AR:AR,MATCH($B125,Program_01!A:A,0)),INDEX(Program_01!BB:BB,MATCH($B125,Program_01!A:A,0)))))</f>
        <v/>
      </c>
      <c r="AK125" s="181" t="str">
        <f>IF(OR($A125="",$B125="",$I125="",$AS125="Determination Issued",$AS125="Rejected",$AS125="Open"),"",IF($AJ125="N/A","N/A",IF($I125="EOT",INDEX(Program_01!AS:AS,MATCH($B125,Program_01!A:A,0)),INDEX(Program_01!BC:BC,MATCH($B125,Program_01!A:A,0)))))</f>
        <v/>
      </c>
      <c r="AL125" s="51"/>
      <c r="AM125" s="184">
        <f>IFERROR(INDEX(Program_01!$BT:$BT,MATCH($B125,Program_01!$A:$A,0)),"")</f>
        <v>0</v>
      </c>
      <c r="AN125" s="184">
        <f>IFERROR(INDEX(Program_01!$BU:$BU,MATCH($B125,Program_01!$A:$A,0)),"")</f>
        <v>0</v>
      </c>
      <c r="AO125" s="184">
        <f>IFERROR(INDEX(Program_01!$BV:$BV,MATCH($B125,Program_01!$A:$A,0)),"")</f>
        <v>0</v>
      </c>
      <c r="AP125" s="51" t="str">
        <f t="shared" si="46"/>
        <v/>
      </c>
      <c r="AQ125" s="184">
        <f>IFERROR(INDEX(Program_01!$BN:$BN,MATCH($B125,Program_01!$A:$A,0)),"")</f>
        <v>0</v>
      </c>
      <c r="AR125" s="184" t="str">
        <f>IFERROR(INDEX(Program_01!$BO:$BO,MATCH($B125,Program_01!$A:$A,0)),"")</f>
        <v>Pending</v>
      </c>
      <c r="AS125" s="184" t="str">
        <f>IFERROR(INDEX(Program_01!$BP:$BP,MATCH($B125,Program_01!$A:$A,0)),"")</f>
        <v>Open</v>
      </c>
      <c r="AT125" s="185" t="str">
        <f>IFERROR(INDEX(Program_01!$BQ:$BQ,MATCH($B125,Program_01!$A:$A,0)),"")</f>
        <v>Awaiting conclusion of EoT</v>
      </c>
      <c r="AU125" s="179" t="str">
        <f>IFERROR(INDEX(Program_01!$BR:$BR,MATCH($B125,Program_01!$A:$A,0)),"")</f>
        <v>09 Jan 26: EAR to be updated and issued to BK by 17 Jan 26.
26 Jan 26: Meeting held with Contractors Claim consultant on 15 Jan 26 and they will update the Claim so it is compliant with the Contract. Letter to confirm issued to WF for approvals 1TB01005-005C26-AMA-LTR-0122.
07 Feb 26: Letetr was issued to COntractor on 03 Feb 26 (Ref.1TB01005-005C26-AMA-LTR-0122)
08 March 26 : Ditto
06 Apr 26: Ditto
20 Apr 26: Ditto
04 May 26: Ditto
31 May 26: Ditto
04 Jun 26: Ditto
15 Jun 26: Ditto
12 Jul 26: Ditto
27 Jul 26: Ditto
10 Aug 26: Ditto
24 Aug 26: Ditto</v>
      </c>
      <c r="AV125" s="186" t="str">
        <f t="shared" si="32"/>
        <v/>
      </c>
      <c r="AW125" s="186" t="str">
        <f t="shared" si="47"/>
        <v>OPEN</v>
      </c>
      <c r="AX125" s="186" t="str">
        <f t="shared" si="33"/>
        <v>OPEN</v>
      </c>
      <c r="AY125" s="181">
        <f t="shared" si="38"/>
        <v>46029</v>
      </c>
      <c r="AZ125" s="181" t="str">
        <f t="shared" si="51"/>
        <v/>
      </c>
      <c r="BA125" s="181" t="str">
        <f t="shared" si="4"/>
        <v/>
      </c>
      <c r="BC125" s="181">
        <f>IFERROR(INDEX(Program_01!BF:BF,MATCH($B125,Program_01!$A:$A,0)),"")</f>
        <v>46029</v>
      </c>
      <c r="BD125" s="188">
        <f ca="1">IFERROR(INDEX(Program_01!BG:BG,MATCH($B125,Program_01!$A:$A,0)),"")</f>
        <v>0</v>
      </c>
      <c r="BE125" s="181">
        <f>IFERROR(INDEX(Program_01!BH:BH,MATCH($B125,Program_01!$A:$A,0)),"")</f>
        <v>0</v>
      </c>
      <c r="BF125" s="189" t="str">
        <f ca="1">IFERROR(INDEX(Program_01!BI:BI,MATCH($B125,Program_01!$A:$A,0)),"")</f>
        <v>N/A</v>
      </c>
      <c r="BG125" s="181">
        <f>IFERROR(INDEX(Program_01!BJ:BJ,MATCH($B125,Program_01!$A:$A,0)),"")</f>
        <v>0</v>
      </c>
      <c r="BH125" s="189">
        <f ca="1">IFERROR(INDEX(Program_01!BK:BK,MATCH($B125,Program_01!$A:$A,0)),"")</f>
        <v>0</v>
      </c>
      <c r="BI125" s="181">
        <f>IFERROR(INDEX(Program_01!BL:BL,MATCH($B125,Program_01!$A:$A,0)),"")</f>
        <v>0</v>
      </c>
      <c r="BK125" s="190" t="str">
        <f>IFERROR(IF(INDEX(Program_01!$BX:$BX,MATCH($B125,Program_01!$A:$A,0))=DATE(1900,1,0),"",INDEX(Program_01!$BX:$BX,MATCH($B125,Program_01!$A:$A,0))),"")</f>
        <v/>
      </c>
      <c r="BL125" s="190" t="str">
        <f>IFERROR(IF(INDEX(Program_01!$BY:$BY,MATCH($B125,Program_01!$A:$A,0))=DATE(1900,1,0),"",INDEX(Program_01!$BY:$BY,MATCH($B125,Program_01!$A:$A,0))),"")</f>
        <v/>
      </c>
      <c r="BM125" s="188" t="str">
        <f t="shared" ca="1" si="39"/>
        <v/>
      </c>
      <c r="BN125" s="191">
        <f t="shared" ca="1" si="40"/>
        <v>0</v>
      </c>
      <c r="BO125" s="188" t="str">
        <f t="shared" si="34"/>
        <v/>
      </c>
      <c r="BP125" s="188" t="str">
        <f t="shared" si="6"/>
        <v/>
      </c>
      <c r="BQ125" s="188" t="str">
        <f t="shared" ca="1" si="41"/>
        <v/>
      </c>
      <c r="BR125" s="181" t="str">
        <f t="shared" ca="1" si="52"/>
        <v/>
      </c>
      <c r="BT125" s="190" t="str">
        <f>IFERROR(IF(INDEX(Program_01!$BZ:$BZ,MATCH($B125,Program_01!$A:$A,0))=DATE(1900,1,0),"",INDEX(Program_01!$BZ:$BZ,MATCH($B125,Program_01!$A:$A,0))),"")</f>
        <v/>
      </c>
      <c r="BU125" s="182" t="str">
        <f t="shared" ca="1" si="48"/>
        <v/>
      </c>
      <c r="BV125" s="188" t="str">
        <f t="shared" si="35"/>
        <v/>
      </c>
      <c r="BW125" s="188" t="str">
        <f t="shared" si="8"/>
        <v/>
      </c>
      <c r="BX125" s="188" t="str">
        <f t="shared" ca="1" si="36"/>
        <v/>
      </c>
      <c r="BY125" s="181" t="str">
        <f t="shared" ca="1" si="53"/>
        <v/>
      </c>
      <c r="CA125" s="192" t="str">
        <f t="shared" si="49"/>
        <v>N</v>
      </c>
      <c r="CB125" s="192" t="str">
        <f t="shared" si="50"/>
        <v>N</v>
      </c>
      <c r="CC125" s="193">
        <f>IFERROR(INDEX(Program_01!$CE:$CE,MATCH($B125,Program_01!$A:$A,0)),"")</f>
        <v>46033</v>
      </c>
      <c r="CD125" s="193">
        <f t="shared" si="31"/>
        <v>46033</v>
      </c>
      <c r="CG125" s="194">
        <f>IFERROR(INDEX(Program_01!$AT:$AT,MATCH($B125,Program_01!$A:$A,0)),"")</f>
        <v>27106508</v>
      </c>
      <c r="CH125" s="194">
        <f>IFERROR(INDEX(Program_01!$AX:$AX,MATCH($B125,Program_01!$A:$A,0)),"")</f>
        <v>0</v>
      </c>
    </row>
    <row r="126" spans="1:86" s="187" customFormat="1" ht="265.5" customHeight="1">
      <c r="A126" s="174" t="s">
        <v>1</v>
      </c>
      <c r="B126" s="200">
        <f t="shared" si="42"/>
        <v>108</v>
      </c>
      <c r="C126" s="176" t="str">
        <f>IFERROR(INDEX(Program_01!$B:$B,MATCH($B126,Program_01!$A:$A,0)),"")</f>
        <v>FULL TIA EAR</v>
      </c>
      <c r="D126" s="176" t="str">
        <f>IFERROR(INDEX(Program_01!$D:$D,MATCH($B126,Program_01!$A:$A,0)),"")</f>
        <v>1TB01005C11</v>
      </c>
      <c r="E126" s="176" t="str">
        <f>IFERROR(INDEX(Program_01!$E:$E,MATCH($B126,Program_01!$A:$A,0)),"")</f>
        <v>1.TB.01.005.01</v>
      </c>
      <c r="F126" s="176" t="str">
        <f>IFERROR(INDEX(Program_01!$F:$F,MATCH($B126,Program_01!$A:$A,0)),"")</f>
        <v>Red Sea Marine Life Institute</v>
      </c>
      <c r="G126" s="176" t="str">
        <f>IFERROR(INDEX(Program_01!$G:$G,MATCH($B126,Program_01!$A:$A,0)),"")</f>
        <v>Fit Out Works for Red Sea Marine Life Institute</v>
      </c>
      <c r="H126" s="176" t="str">
        <f>IFERROR(INDEX(Program_01!$H:$H,MATCH($B126,Program_01!$A:$A,0)),"")</f>
        <v>Alec Saudi Engineering and Contracting Company</v>
      </c>
      <c r="I126" s="176" t="str">
        <f t="shared" si="37"/>
        <v>EOT</v>
      </c>
      <c r="J126" s="176">
        <f>IFERROR(INDEX(Program_01!$I:$I,MATCH($B126,Program_01!$A:$A,0)),"")</f>
        <v>1</v>
      </c>
      <c r="K126" s="176">
        <f>IFERROR(INDEX(Program_01!$J:$J,MATCH($B126,Program_01!$A:$A,0)),"")</f>
        <v>0</v>
      </c>
      <c r="L126" s="176">
        <f>IFERROR(INDEX(Program_01!$K:$K,MATCH($B126,Program_01!$A:$A,0)),"")</f>
        <v>0</v>
      </c>
      <c r="M126" s="176">
        <f>IFERROR(INDEX(Program_01!$L:$L,MATCH($B126,Program_01!$A:$A,0)),"")</f>
        <v>0</v>
      </c>
      <c r="N126" s="176">
        <f>IFERROR(INDEX(Program_01!$L:$L,MATCH($B126,Program_01!$A:$A,0)),"")</f>
        <v>0</v>
      </c>
      <c r="O126" s="176">
        <f>IFERROR(INDEX(Program_01!$N:$N,MATCH($B126,Program_01!$A:$A,0)),"")</f>
        <v>0</v>
      </c>
      <c r="P126" s="178"/>
      <c r="Q126" s="179" t="str">
        <f>IFERROR(INDEX(Program_01!$C:$C,MATCH($B126,Program_01!$A:$A,0)),"")</f>
        <v>Access delay events - Contractor's claim for an Extension of the Time for Completion and Additional Payment - Interim Claim No 2
with cut-off date 07 November 2025</v>
      </c>
      <c r="R126" s="176" t="str">
        <f>IFERROR(INDEX(Program_01!$V:$V,MATCH($B126,Program_01!$A:$A,0)),"")</f>
        <v>1TB01005-005C11-ALE-LTR-0236</v>
      </c>
      <c r="S126" s="180">
        <f>IFERROR(INDEX(Program_01!$W:$W,MATCH($B126,Program_01!$A:$A,0)),"")</f>
        <v>46008</v>
      </c>
      <c r="T126" s="178"/>
      <c r="U126" s="176">
        <f>IFERROR(INDEX(Program_01!$Z:$Z,MATCH($B126,Program_01!$A:$A,0)),"")</f>
        <v>0</v>
      </c>
      <c r="V126" s="181" t="str">
        <f>IFERROR(INDEX(Program_01!$AA:$AA,MATCH($B126,Program_01!$A:$A,0)),"")</f>
        <v>N/A</v>
      </c>
      <c r="W126" s="182" t="str">
        <f t="shared" ca="1" si="0"/>
        <v/>
      </c>
      <c r="X126" s="51"/>
      <c r="Y126" s="179">
        <f>IFERROR(INDEX(Program_01!$BD:$BD,MATCH($B126,Program_01!$A:$A,0)),"")</f>
        <v>0</v>
      </c>
      <c r="Z126" s="51"/>
      <c r="AA126" s="183" t="str">
        <f>IFERROR(IF((INDEX(Program_01!$AD:$AD,MATCH($B126,Program_01!$A:$A,0))=""),INDEX(Program_01!$V:$V,MATCH($B126,Program_01!$A:$A,0)),INDEX(Program_01!$AD:$AD,MATCH($B126,Program_01!$A:$A,0))),"")</f>
        <v>1TB01005-005C11-ALE-LTR-0236</v>
      </c>
      <c r="AB126" s="147">
        <f>IFERROR(IF((INDEX(Program_01!$AE:$AE,MATCH($B126,Program_01!$A:$A,0))=""),INDEX(Program_01!$W:$W,MATCH($B126,Program_01!$A:$A,0)),INDEX(Program_01!$AE:$AE,MATCH($B126,Program_01!$A:$A,0))),"")</f>
        <v>46008</v>
      </c>
      <c r="AC126" s="183" t="str">
        <f>IFERROR(IF($I126="EOT",INDEX(Program_01!$AN:$AN,MATCH($B126,Program_01!$A:$A,0)),INDEX(Program_01!$AY:$AY,MATCH($B126,Program_01!$A:$A,0))),"")</f>
        <v>1TB01005-005C11-AMA-RPT-PM-0002
WF-041060 initiated on 02 Mar 26
18 Mar 26: EAR issued to contractor via 1TB01005-005C11-AMA-LTR-0154</v>
      </c>
      <c r="AD126" s="181">
        <f>IFERROR(IF($I126="EOT",INDEX(Program_01!$AO:$AO,MATCH($B126,Program_01!$A:$A,0)),INDEX(Program_01!$AZ:$AZ,MATCH($B126,Program_01!$A:$A,0))),"")</f>
        <v>46090</v>
      </c>
      <c r="AE126" s="51"/>
      <c r="AF126" s="183"/>
      <c r="AG126" s="181"/>
      <c r="AH126" s="183">
        <f>IF(OR($D126="",$AS126="VO Issued",$AS126="Open"),"",IF(OR($AC126="Rejected",$AC126="Superseded",$AC126="Dealt Separately"),$AC126,IF($I126="EOT",INDEX(Program_01!$AR:$AR,MATCH($B126,Program_01!$A:$A,0)),INDEX(Program_01!$BB:$BB,MATCH($B126,Program_01!$A:$A,0)))))</f>
        <v>0</v>
      </c>
      <c r="AI126" s="181">
        <f>IF(OR($A126="",$B126="",$I126="",$AS126="VO Issued",$AS126="Open"),"",IF(OR($AD126="N/A"),$AD126,IF($I126="EOT",INDEX(Program_01!$AS:$AS,MATCH($B126,Program_01!$A:$A,0)),INDEX(Program_01!$BC:$BC,MATCH($B126,Program_01!$A:$A,0)))))</f>
        <v>0</v>
      </c>
      <c r="AJ126" s="183">
        <f>IF(OR($D126="",$I126="",$AS126="Determination Issued",$AS126="Rejected",$AS126="Open"),"",IF(OR($AH126="Rejected",$AH126="Dealt Separately",$AH126="Superseded",$AH126="Withdrawn"),"N/A",IF($I126="EOT",INDEX(Program_01!AR:AR,MATCH($B126,Program_01!A:A,0)),INDEX(Program_01!BB:BB,MATCH($B126,Program_01!A:A,0)))))</f>
        <v>0</v>
      </c>
      <c r="AK126" s="181">
        <f>IF(OR($A126="",$B126="",$I126="",$AS126="Determination Issued",$AS126="Rejected",$AS126="Open"),"",IF($AJ126="N/A","N/A",IF($I126="EOT",INDEX(Program_01!AS:AS,MATCH($B126,Program_01!A:A,0)),INDEX(Program_01!BC:BC,MATCH($B126,Program_01!A:A,0)))))</f>
        <v>0</v>
      </c>
      <c r="AL126" s="51"/>
      <c r="AM126" s="184">
        <f>IFERROR(INDEX(Program_01!$BT:$BT,MATCH($B126,Program_01!$A:$A,0)),"")</f>
        <v>0</v>
      </c>
      <c r="AN126" s="184">
        <f>IFERROR(INDEX(Program_01!$BU:$BU,MATCH($B126,Program_01!$A:$A,0)),"")</f>
        <v>0</v>
      </c>
      <c r="AO126" s="184">
        <f>IFERROR(INDEX(Program_01!$BV:$BV,MATCH($B126,Program_01!$A:$A,0)),"")</f>
        <v>0</v>
      </c>
      <c r="AP126" s="51" t="str">
        <f t="shared" si="46"/>
        <v/>
      </c>
      <c r="AQ126" s="184">
        <f>IFERROR(INDEX(Program_01!$BN:$BN,MATCH($B126,Program_01!$A:$A,0)),"")</f>
        <v>0</v>
      </c>
      <c r="AR126" s="184" t="str">
        <f>IFERROR(INDEX(Program_01!$BO:$BO,MATCH($B126,Program_01!$A:$A,0)),"")</f>
        <v>Assessment Report Issued</v>
      </c>
      <c r="AS126" s="184" t="str">
        <f>IFERROR(INDEX(Program_01!$BP:$BP,MATCH($B126,Program_01!$A:$A,0)),"")</f>
        <v>EI Issued</v>
      </c>
      <c r="AT126" s="185" t="str">
        <f>IFERROR(INDEX(Program_01!$BQ:$BQ,MATCH($B126,Program_01!$A:$A,0)),"")</f>
        <v>Closed</v>
      </c>
      <c r="AU126" s="179" t="str">
        <f>IFERROR(INDEX(Program_01!$BR:$BR,MATCH($B126,Program_01!$A:$A,0)),"")</f>
        <v>10 Jan 26: Under review.
26 Jan 26: Draft EAR issued to BK 22 Jan, targeted to submit the draft for claims team by 01 Feb 26
31 Jan 26: Draft EAR sent to claims for initial review
07 Feb 26: EAR sent back to commercial with comments, commercial to update and return to proceed with TIA
08 Feb 26: Updated EAR sent to claims for review
09 Feb 26: targeted to revert by 10 Feb 26
10 Feb 26: Draft EAR sent to planning for TIA
11 Feb 26: EAR sent back to claims with comments for review // EAR sent to commercial to address the comments // Updated draft EAR sent back to claims
13 Feb 26: Updated Draft EAR sent to Planning to proceed with TIA
16 Feb 26: TIA targeted to conclude by 26 Feb 26
24 Feb 26: Planning raised queries on the chronology
25 Feb 26: clarifications were provided, planning to proceed with TIA
26 Feb 26: TIA incorporated and sent to claims / commercial for finalisation
02 MAr 26: EAR approved and sent to commercial for formal WF approval
08 Mar 26: EAR on WF for approval (WF-041060) - Forecast approval date 11 Mar 26
11 Mar 26: Cover letter put in WF-041422
18 Mar 26: EAR issued to contractor via 1TB01005-005C11-AMA-LTR-0154
06 Apr 26: Awaiting acceptance from contractor
20 Apr 26: Ditto
01 May 26: No response from Contractor so determination 1TB01005-005C11-AMA-LTR-0165 and EI 1TB01005-005C11-AMA-LTR-0166 going through WF approvals to issue to Contractor, WF-042859, WF-042860
04 May 26: Ditto
15 May 26: EI and determination issued to Contractor on 04 May 26, AMA01005-WTRAN-081461</v>
      </c>
      <c r="AV126" s="186" t="str">
        <f t="shared" si="32"/>
        <v/>
      </c>
      <c r="AW126" s="186" t="str">
        <f t="shared" si="47"/>
        <v>CLOSED</v>
      </c>
      <c r="AX126" s="186" t="str">
        <f t="shared" si="33"/>
        <v>CLOSED</v>
      </c>
      <c r="AY126" s="181">
        <f t="shared" si="38"/>
        <v>46008</v>
      </c>
      <c r="AZ126" s="181">
        <f t="shared" si="51"/>
        <v>46090</v>
      </c>
      <c r="BA126" s="181">
        <f t="shared" si="4"/>
        <v>0</v>
      </c>
      <c r="BC126" s="181">
        <f>IFERROR(INDEX(Program_01!BF:BF,MATCH($B126,Program_01!$A:$A,0)),"")</f>
        <v>46008</v>
      </c>
      <c r="BD126" s="188" t="str">
        <f ca="1">IFERROR(INDEX(Program_01!BG:BG,MATCH($B126,Program_01!$A:$A,0)),"")</f>
        <v>N/A</v>
      </c>
      <c r="BE126" s="181">
        <f>IFERROR(INDEX(Program_01!BH:BH,MATCH($B126,Program_01!$A:$A,0)),"")</f>
        <v>46063</v>
      </c>
      <c r="BF126" s="189">
        <f ca="1">IFERROR(INDEX(Program_01!BI:BI,MATCH($B126,Program_01!$A:$A,0)),"")</f>
        <v>16</v>
      </c>
      <c r="BG126" s="181">
        <f>IFERROR(INDEX(Program_01!BJ:BJ,MATCH($B126,Program_01!$A:$A,0)),"")</f>
        <v>46079</v>
      </c>
      <c r="BH126" s="189">
        <f ca="1">IFERROR(INDEX(Program_01!BK:BK,MATCH($B126,Program_01!$A:$A,0)),"")</f>
        <v>4</v>
      </c>
      <c r="BI126" s="181">
        <f>IFERROR(INDEX(Program_01!BL:BL,MATCH($B126,Program_01!$A:$A,0)),"")</f>
        <v>46083</v>
      </c>
      <c r="BK126" s="190">
        <f>IFERROR(IF(INDEX(Program_01!$BX:$BX,MATCH($B126,Program_01!$A:$A,0))=DATE(1900,1,0),"",INDEX(Program_01!$BX:$BX,MATCH($B126,Program_01!$A:$A,0))),"")</f>
        <v>46082</v>
      </c>
      <c r="BL126" s="190" t="str">
        <f>IFERROR(IF(INDEX(Program_01!$BY:$BY,MATCH($B126,Program_01!$A:$A,0))=DATE(1900,1,0),"",INDEX(Program_01!$BY:$BY,MATCH($B126,Program_01!$A:$A,0))),"")</f>
        <v/>
      </c>
      <c r="BM126" s="188">
        <f t="shared" ca="1" si="39"/>
        <v>82</v>
      </c>
      <c r="BN126" s="191">
        <f t="shared" ca="1" si="40"/>
        <v>82</v>
      </c>
      <c r="BO126" s="188">
        <f t="shared" ca="1" si="34"/>
        <v>82</v>
      </c>
      <c r="BP126" s="188" t="str">
        <f t="shared" si="6"/>
        <v>1</v>
      </c>
      <c r="BQ126" s="188" t="str">
        <f t="shared" ca="1" si="41"/>
        <v/>
      </c>
      <c r="BR126" s="181" t="str">
        <f t="shared" ca="1" si="52"/>
        <v/>
      </c>
      <c r="BT126" s="190" t="str">
        <f>IFERROR(IF(INDEX(Program_01!$BZ:$BZ,MATCH($B126,Program_01!$A:$A,0))=DATE(1900,1,0),"",INDEX(Program_01!$BZ:$BZ,MATCH($B126,Program_01!$A:$A,0))),"")</f>
        <v/>
      </c>
      <c r="BU126" s="182" t="str">
        <f t="shared" ca="1" si="48"/>
        <v/>
      </c>
      <c r="BV126" s="188" t="str">
        <f t="shared" si="35"/>
        <v/>
      </c>
      <c r="BW126" s="188" t="str">
        <f t="shared" si="8"/>
        <v>1</v>
      </c>
      <c r="BX126" s="188" t="str">
        <f t="shared" ca="1" si="36"/>
        <v/>
      </c>
      <c r="BY126" s="181" t="str">
        <f t="shared" ca="1" si="53"/>
        <v/>
      </c>
      <c r="CA126" s="192" t="str">
        <f t="shared" si="49"/>
        <v>Y</v>
      </c>
      <c r="CB126" s="192" t="str">
        <f t="shared" si="50"/>
        <v>N</v>
      </c>
      <c r="CC126" s="193">
        <f>IFERROR(INDEX(Program_01!$CE:$CE,MATCH($B126,Program_01!$A:$A,0)),"")</f>
        <v>46033</v>
      </c>
      <c r="CD126" s="193">
        <f t="shared" si="31"/>
        <v>46033</v>
      </c>
      <c r="CG126" s="194">
        <f>IFERROR(INDEX(Program_01!$AT:$AT,MATCH($B126,Program_01!$A:$A,0)),"")</f>
        <v>0</v>
      </c>
      <c r="CH126" s="194">
        <f>IFERROR(INDEX(Program_01!$AX:$AX,MATCH($B126,Program_01!$A:$A,0)),"")</f>
        <v>0</v>
      </c>
    </row>
    <row r="127" spans="1:86" s="187" customFormat="1" ht="123" customHeight="1">
      <c r="A127" s="174" t="s">
        <v>1</v>
      </c>
      <c r="B127" s="175">
        <f t="shared" si="42"/>
        <v>109</v>
      </c>
      <c r="C127" s="176" t="str">
        <f>IFERROR(INDEX(Program_01!$B:$B,MATCH($B127,Program_01!$A:$A,0)),"")</f>
        <v>COST EAR</v>
      </c>
      <c r="D127" s="176" t="str">
        <f>IFERROR(INDEX(Program_01!$D:$D,MATCH($B127,Program_01!$A:$A,0)),"")</f>
        <v>1TB01009C12</v>
      </c>
      <c r="E127" s="176" t="str">
        <f>IFERROR(INDEX(Program_01!$E:$E,MATCH($B127,Program_01!$A:$A,0)),"")</f>
        <v>1.TB.01.009.01</v>
      </c>
      <c r="F127" s="176" t="str">
        <f>IFERROR(INDEX(Program_01!$F:$F,MATCH($B127,Program_01!$A:$A,0)),"")</f>
        <v>Marina Hotel 3</v>
      </c>
      <c r="G127" s="176" t="str">
        <f>IFERROR(INDEX(Program_01!$G:$G,MATCH($B127,Program_01!$A:$A,0)),"")</f>
        <v>Civil &amp; Concrete Works for Marina Hotel 3 - Phase 1</v>
      </c>
      <c r="H127" s="176" t="str">
        <f>IFERROR(INDEX(Program_01!$H:$H,MATCH($B127,Program_01!$A:$A,0)),"")</f>
        <v>MAS Engineering &amp; Construction Company LTD</v>
      </c>
      <c r="I127" s="176" t="str">
        <f t="shared" si="37"/>
        <v>Prolongation</v>
      </c>
      <c r="J127" s="176">
        <f>IFERROR(INDEX(Program_01!$I:$I,MATCH($B127,Program_01!$A:$A,0)),"")</f>
        <v>0</v>
      </c>
      <c r="K127" s="176">
        <f>IFERROR(INDEX(Program_01!$J:$J,MATCH($B127,Program_01!$A:$A,0)),"")</f>
        <v>1</v>
      </c>
      <c r="L127" s="176">
        <f>IFERROR(INDEX(Program_01!$K:$K,MATCH($B127,Program_01!$A:$A,0)),"")</f>
        <v>0</v>
      </c>
      <c r="M127" s="176">
        <f>IFERROR(INDEX(Program_01!$L:$L,MATCH($B127,Program_01!$A:$A,0)),"")</f>
        <v>0</v>
      </c>
      <c r="N127" s="176">
        <f>IFERROR(INDEX(Program_01!$L:$L,MATCH($B127,Program_01!$A:$A,0)),"")</f>
        <v>0</v>
      </c>
      <c r="O127" s="176">
        <f>IFERROR(INDEX(Program_01!$N:$N,MATCH($B127,Program_01!$A:$A,0)),"")</f>
        <v>0</v>
      </c>
      <c r="P127" s="178"/>
      <c r="Q127" s="179" t="str">
        <f>IFERROR(INDEX(Program_01!$C:$C,MATCH($B127,Program_01!$A:$A,0)),"")</f>
        <v>Extension of Time - EOT 01 &amp; 02 - Prolongation Cost</v>
      </c>
      <c r="R127" s="176" t="str">
        <f>IFERROR(INDEX(Program_01!$V:$V,MATCH($B127,Program_01!$A:$A,0)),"")</f>
        <v>1TB01009-009C12-MEC-LTR-0058</v>
      </c>
      <c r="S127" s="180">
        <f>IFERROR(INDEX(Program_01!$W:$W,MATCH($B127,Program_01!$A:$A,0)),"")</f>
        <v>46013</v>
      </c>
      <c r="T127" s="178"/>
      <c r="U127" s="176">
        <f>IFERROR(INDEX(Program_01!$Z:$Z,MATCH($B127,Program_01!$A:$A,0)),"")</f>
        <v>0</v>
      </c>
      <c r="V127" s="181" t="str">
        <f>IFERROR(INDEX(Program_01!$AA:$AA,MATCH($B127,Program_01!$A:$A,0)),"")</f>
        <v>N/A</v>
      </c>
      <c r="W127" s="182" t="str">
        <f t="shared" ca="1" si="0"/>
        <v/>
      </c>
      <c r="X127" s="51"/>
      <c r="Y127" s="179">
        <f>IFERROR(INDEX(Program_01!$BD:$BD,MATCH($B127,Program_01!$A:$A,0)),"")</f>
        <v>0</v>
      </c>
      <c r="Z127" s="51"/>
      <c r="AA127" s="183" t="str">
        <f>IFERROR(IF((INDEX(Program_01!$AD:$AD,MATCH($B127,Program_01!$A:$A,0))=""),INDEX(Program_01!$V:$V,MATCH($B127,Program_01!$A:$A,0)),INDEX(Program_01!$AD:$AD,MATCH($B127,Program_01!$A:$A,0))),"")</f>
        <v>1TB01009-009C12-MEC-LTR-0058</v>
      </c>
      <c r="AB127" s="147">
        <f>IFERROR(IF((INDEX(Program_01!$AE:$AE,MATCH($B127,Program_01!$A:$A,0))=""),INDEX(Program_01!$W:$W,MATCH($B127,Program_01!$A:$A,0)),INDEX(Program_01!$AE:$AE,MATCH($B127,Program_01!$A:$A,0))),"")</f>
        <v>46013</v>
      </c>
      <c r="AC127" s="183">
        <f>IFERROR(IF($I127="EOT",INDEX(Program_01!$AN:$AN,MATCH($B127,Program_01!$A:$A,0)),INDEX(Program_01!$AY:$AY,MATCH($B127,Program_01!$A:$A,0))),"")</f>
        <v>0</v>
      </c>
      <c r="AD127" s="181">
        <f>IFERROR(IF($I127="EOT",INDEX(Program_01!$AO:$AO,MATCH($B127,Program_01!$A:$A,0)),INDEX(Program_01!$AZ:$AZ,MATCH($B127,Program_01!$A:$A,0))),"")</f>
        <v>0</v>
      </c>
      <c r="AE127" s="51"/>
      <c r="AF127" s="183"/>
      <c r="AG127" s="181"/>
      <c r="AH127" s="183" t="str">
        <f>IF(OR($D127="",$AS127="VO Issued",$AS127="Open"),"",IF(OR($AC127="Rejected",$AC127="Superseded",$AC127="Dealt Separately"),$AC127,IF($I127="EOT",INDEX(Program_01!$AR:$AR,MATCH($B127,Program_01!$A:$A,0)),INDEX(Program_01!$BB:$BB,MATCH($B127,Program_01!$A:$A,0)))))</f>
        <v/>
      </c>
      <c r="AI127" s="181" t="str">
        <f>IF(OR($A127="",$B127="",$I127="",$AS127="VO Issued",$AS127="Open"),"",IF(OR($AD127="N/A"),$AD127,IF($I127="EOT",INDEX(Program_01!$AS:$AS,MATCH($B127,Program_01!$A:$A,0)),INDEX(Program_01!$BC:$BC,MATCH($B127,Program_01!$A:$A,0)))))</f>
        <v/>
      </c>
      <c r="AJ127" s="183" t="str">
        <f>IF(OR($D127="",$I127="",$AS127="Determination Issued",$AS127="Rejected",$AS127="Open"),"",IF(OR($AH127="Rejected",$AH127="Dealt Separately",$AH127="Superseded",$AH127="Withdrawn"),"N/A",IF($I127="EOT",INDEX(Program_01!AR:AR,MATCH($B127,Program_01!A:A,0)),INDEX(Program_01!BB:BB,MATCH($B127,Program_01!A:A,0)))))</f>
        <v/>
      </c>
      <c r="AK127" s="181" t="str">
        <f>IF(OR($A127="",$B127="",$I127="",$AS127="Determination Issued",$AS127="Rejected",$AS127="Open"),"",IF($AJ127="N/A","N/A",IF($I127="EOT",INDEX(Program_01!AS:AS,MATCH($B127,Program_01!A:A,0)),INDEX(Program_01!BC:BC,MATCH($B127,Program_01!A:A,0)))))</f>
        <v/>
      </c>
      <c r="AL127" s="51"/>
      <c r="AM127" s="184" t="str">
        <f>IFERROR(INDEX(Program_01!$BT:$BT,MATCH($B127,Program_01!$A:$A,0)),"")</f>
        <v>Revise &amp; resubmit</v>
      </c>
      <c r="AN127" s="184">
        <f>IFERROR(INDEX(Program_01!$BU:$BU,MATCH($B127,Program_01!$A:$A,0)),"")</f>
        <v>0</v>
      </c>
      <c r="AO127" s="184">
        <f>IFERROR(INDEX(Program_01!$BV:$BV,MATCH($B127,Program_01!$A:$A,0)),"")</f>
        <v>0</v>
      </c>
      <c r="AP127" s="51" t="str">
        <f t="shared" si="46"/>
        <v/>
      </c>
      <c r="AQ127" s="184">
        <f>IFERROR(INDEX(Program_01!$BN:$BN,MATCH($B127,Program_01!$A:$A,0)),"")</f>
        <v>0</v>
      </c>
      <c r="AR127" s="184" t="str">
        <f>IFERROR(INDEX(Program_01!$BO:$BO,MATCH($B127,Program_01!$A:$A,0)),"")</f>
        <v>Pending</v>
      </c>
      <c r="AS127" s="184" t="str">
        <f>IFERROR(INDEX(Program_01!$BP:$BP,MATCH($B127,Program_01!$A:$A,0)),"")</f>
        <v>Open</v>
      </c>
      <c r="AT127" s="185" t="str">
        <f>IFERROR(INDEX(Program_01!$BQ:$BQ,MATCH($B127,Program_01!$A:$A,0)),"")</f>
        <v>Contractor</v>
      </c>
      <c r="AU127" s="179" t="str">
        <f>IFERROR(INDEX(Program_01!$BR:$BR,MATCH($B127,Program_01!$A:$A,0)),"")</f>
        <v>10 Jan 26: Under Review, Comm team target Commercial review to Claims team on (TBC)
09 Feb 26: target to Claims team on 01 March 26
23 Feb 26: target to Claims team on 01 March 26
08 March 26:  Target to send EAR to claims team on 05 April 26
06 Apr 26: Ditto, discussions ongoing with contractor as the contractor may waive off all cost
20 Apr 26: Ditto
04 May 26: Ditto
18 May 26: Awaiting contractor's formal confirmation for the same
31 May 26: Ditto
04 June 26: Ditto
15 Jun 26: Ditto, Commercial to follow up with contractor
24 Jun 26: Kumar advised to hold, Contractor will issue Final Account Statments within 2 weeks. 
13 Jul 26: Ditto
26 July 26: Final Account Statement target to issue by 10 August 2026.
10 Aug 26: Ditto, target for FAS date moved to 20 Aug 26
24 Aug 26: Discharge letter closing all the claims is expected by 30 Aug 26
19 Sep 26: As of 24 August 2026, the Contractor submitted a Discharge Letter waiving all claims(1TB01009-009C12-MEC-LTR-0061)
@NE, can we close this claim or to keep until final account? any further action required from RSG?</v>
      </c>
      <c r="AV127" s="186" t="str">
        <f t="shared" si="32"/>
        <v/>
      </c>
      <c r="AW127" s="186" t="str">
        <f t="shared" si="47"/>
        <v>OPEN</v>
      </c>
      <c r="AX127" s="186" t="str">
        <f t="shared" si="33"/>
        <v>OPEN</v>
      </c>
      <c r="AY127" s="181">
        <f t="shared" si="38"/>
        <v>46013</v>
      </c>
      <c r="AZ127" s="181" t="str">
        <f t="shared" si="51"/>
        <v/>
      </c>
      <c r="BA127" s="181" t="str">
        <f t="shared" si="4"/>
        <v/>
      </c>
      <c r="BC127" s="181">
        <f>IFERROR(INDEX(Program_01!BF:BF,MATCH($B127,Program_01!$A:$A,0)),"")</f>
        <v>46013</v>
      </c>
      <c r="BD127" s="188">
        <f ca="1">IFERROR(INDEX(Program_01!BG:BG,MATCH($B127,Program_01!$A:$A,0)),"")</f>
        <v>0</v>
      </c>
      <c r="BE127" s="181">
        <f>IFERROR(INDEX(Program_01!BH:BH,MATCH($B127,Program_01!$A:$A,0)),"")</f>
        <v>0</v>
      </c>
      <c r="BF127" s="189" t="str">
        <f ca="1">IFERROR(INDEX(Program_01!BI:BI,MATCH($B127,Program_01!$A:$A,0)),"")</f>
        <v>N/A</v>
      </c>
      <c r="BG127" s="181">
        <f>IFERROR(INDEX(Program_01!BJ:BJ,MATCH($B127,Program_01!$A:$A,0)),"")</f>
        <v>0</v>
      </c>
      <c r="BH127" s="189">
        <f ca="1">IFERROR(INDEX(Program_01!BK:BK,MATCH($B127,Program_01!$A:$A,0)),"")</f>
        <v>0</v>
      </c>
      <c r="BI127" s="181">
        <f>IFERROR(INDEX(Program_01!BL:BL,MATCH($B127,Program_01!$A:$A,0)),"")</f>
        <v>0</v>
      </c>
      <c r="BK127" s="190" t="str">
        <f>IFERROR(IF(INDEX(Program_01!$BX:$BX,MATCH($B127,Program_01!$A:$A,0))=DATE(1900,1,0),"",INDEX(Program_01!$BX:$BX,MATCH($B127,Program_01!$A:$A,0))),"")</f>
        <v/>
      </c>
      <c r="BL127" s="190" t="str">
        <f>IFERROR(IF(INDEX(Program_01!$BY:$BY,MATCH($B127,Program_01!$A:$A,0))=DATE(1900,1,0),"",INDEX(Program_01!$BY:$BY,MATCH($B127,Program_01!$A:$A,0))),"")</f>
        <v/>
      </c>
      <c r="BM127" s="188" t="str">
        <f t="shared" ca="1" si="39"/>
        <v/>
      </c>
      <c r="BN127" s="191">
        <f t="shared" ca="1" si="40"/>
        <v>0</v>
      </c>
      <c r="BO127" s="188" t="str">
        <f t="shared" si="34"/>
        <v/>
      </c>
      <c r="BP127" s="188" t="str">
        <f t="shared" si="6"/>
        <v/>
      </c>
      <c r="BQ127" s="188" t="str">
        <f t="shared" ca="1" si="41"/>
        <v/>
      </c>
      <c r="BR127" s="181" t="str">
        <f t="shared" ca="1" si="52"/>
        <v/>
      </c>
      <c r="BT127" s="190" t="str">
        <f>IFERROR(IF(INDEX(Program_01!$BZ:$BZ,MATCH($B127,Program_01!$A:$A,0))=DATE(1900,1,0),"",INDEX(Program_01!$BZ:$BZ,MATCH($B127,Program_01!$A:$A,0))),"")</f>
        <v/>
      </c>
      <c r="BU127" s="182" t="str">
        <f t="shared" ca="1" si="48"/>
        <v/>
      </c>
      <c r="BV127" s="188" t="str">
        <f t="shared" si="35"/>
        <v/>
      </c>
      <c r="BW127" s="188" t="str">
        <f t="shared" si="8"/>
        <v/>
      </c>
      <c r="BX127" s="188" t="str">
        <f t="shared" ca="1" si="36"/>
        <v/>
      </c>
      <c r="BY127" s="181" t="str">
        <f t="shared" ca="1" si="53"/>
        <v/>
      </c>
      <c r="CA127" s="192" t="str">
        <f t="shared" si="49"/>
        <v>N</v>
      </c>
      <c r="CB127" s="192" t="str">
        <f t="shared" si="50"/>
        <v>N</v>
      </c>
      <c r="CC127" s="193">
        <f>IFERROR(INDEX(Program_01!$CE:$CE,MATCH($B127,Program_01!$A:$A,0)),"")</f>
        <v>46033</v>
      </c>
      <c r="CD127" s="193">
        <f t="shared" si="31"/>
        <v>46033</v>
      </c>
      <c r="CG127" s="194">
        <f>IFERROR(INDEX(Program_01!$AT:$AT,MATCH($B127,Program_01!$A:$A,0)),"")</f>
        <v>4464757.87</v>
      </c>
      <c r="CH127" s="194">
        <f>IFERROR(INDEX(Program_01!$AX:$AX,MATCH($B127,Program_01!$A:$A,0)),"")</f>
        <v>0</v>
      </c>
    </row>
    <row r="128" spans="1:86" s="187" customFormat="1" ht="405" customHeight="1">
      <c r="A128" s="174" t="s">
        <v>1</v>
      </c>
      <c r="B128" s="199">
        <f t="shared" si="42"/>
        <v>110</v>
      </c>
      <c r="C128" s="176" t="str">
        <f>IFERROR(INDEX(Program_01!$B:$B,MATCH($B128,Program_01!$A:$A,0)),"")</f>
        <v>FULL TIA EAR</v>
      </c>
      <c r="D128" s="176" t="str">
        <f>IFERROR(INDEX(Program_01!$D:$D,MATCH($B128,Program_01!$A:$A,0)),"")</f>
        <v>1TB01002C64</v>
      </c>
      <c r="E128" s="176" t="str">
        <f>IFERROR(INDEX(Program_01!$E:$E,MATCH($B128,Program_01!$A:$A,0)),"")</f>
        <v>1.TB.01.002.02</v>
      </c>
      <c r="F128" s="176" t="str">
        <f>IFERROR(INDEX(Program_01!$F:$F,MATCH($B128,Program_01!$A:$A,0)),"")</f>
        <v>Marina Lifestyle Hotel &amp; Village</v>
      </c>
      <c r="G128" s="176" t="str">
        <f>IFERROR(INDEX(Program_01!$G:$G,MATCH($B128,Program_01!$A:$A,0)),"")</f>
        <v>Fit Out &amp; MEP works for New Facilities</v>
      </c>
      <c r="H128" s="176" t="str">
        <f>IFERROR(INDEX(Program_01!$H:$H,MATCH($B128,Program_01!$A:$A,0)),"")</f>
        <v>Havelock One Interiors Company</v>
      </c>
      <c r="I128" s="176" t="str">
        <f t="shared" si="37"/>
        <v>EOT</v>
      </c>
      <c r="J128" s="176">
        <f>IFERROR(INDEX(Program_01!$I:$I,MATCH($B128,Program_01!$A:$A,0)),"")</f>
        <v>1</v>
      </c>
      <c r="K128" s="176">
        <f>IFERROR(INDEX(Program_01!$J:$J,MATCH($B128,Program_01!$A:$A,0)),"")</f>
        <v>0</v>
      </c>
      <c r="L128" s="176">
        <f>IFERROR(INDEX(Program_01!$K:$K,MATCH($B128,Program_01!$A:$A,0)),"")</f>
        <v>0</v>
      </c>
      <c r="M128" s="176">
        <f>IFERROR(INDEX(Program_01!$L:$L,MATCH($B128,Program_01!$A:$A,0)),"")</f>
        <v>0</v>
      </c>
      <c r="N128" s="176">
        <f>IFERROR(INDEX(Program_01!$L:$L,MATCH($B128,Program_01!$A:$A,0)),"")</f>
        <v>0</v>
      </c>
      <c r="O128" s="176">
        <f>IFERROR(INDEX(Program_01!$N:$N,MATCH($B128,Program_01!$A:$A,0)),"")</f>
        <v>0</v>
      </c>
      <c r="P128" s="178"/>
      <c r="Q128" s="179" t="str">
        <f>IFERROR(INDEX(Program_01!$C:$C,MATCH($B128,Program_01!$A:$A,0)),"")</f>
        <v>Extension of Time- EOT 1</v>
      </c>
      <c r="R128" s="176" t="str">
        <f>IFERROR(INDEX(Program_01!$V:$V,MATCH($B128,Program_01!$A:$A,0)),"")</f>
        <v>1TB01002-002C64-HOI-LTR-0006</v>
      </c>
      <c r="S128" s="180">
        <f>IFERROR(INDEX(Program_01!$W:$W,MATCH($B128,Program_01!$A:$A,0)),"")</f>
        <v>46004</v>
      </c>
      <c r="T128" s="178"/>
      <c r="U128" s="176">
        <f>IFERROR(INDEX(Program_01!$Z:$Z,MATCH($B128,Program_01!$A:$A,0)),"")</f>
        <v>0</v>
      </c>
      <c r="V128" s="181" t="str">
        <f>IFERROR(INDEX(Program_01!$AA:$AA,MATCH($B128,Program_01!$A:$A,0)),"")</f>
        <v>N/A</v>
      </c>
      <c r="W128" s="182" t="str">
        <f t="shared" ca="1" si="0"/>
        <v/>
      </c>
      <c r="X128" s="51"/>
      <c r="Y128" s="179">
        <f>IFERROR(INDEX(Program_01!$BD:$BD,MATCH($B128,Program_01!$A:$A,0)),"")</f>
        <v>0</v>
      </c>
      <c r="Z128" s="51"/>
      <c r="AA128" s="183" t="str">
        <f>IFERROR(IF((INDEX(Program_01!$AD:$AD,MATCH($B128,Program_01!$A:$A,0))=""),INDEX(Program_01!$V:$V,MATCH($B128,Program_01!$A:$A,0)),INDEX(Program_01!$AD:$AD,MATCH($B128,Program_01!$A:$A,0))),"")</f>
        <v>1TB01002-002C64-HOI-LTR-0006</v>
      </c>
      <c r="AB128" s="147">
        <f>IFERROR(IF((INDEX(Program_01!$AE:$AE,MATCH($B128,Program_01!$A:$A,0))=""),INDEX(Program_01!$W:$W,MATCH($B128,Program_01!$A:$A,0)),INDEX(Program_01!$AE:$AE,MATCH($B128,Program_01!$A:$A,0))),"")</f>
        <v>46004</v>
      </c>
      <c r="AC128" s="183" t="str">
        <f>IFERROR(IF($I128="EOT",INDEX(Program_01!$AN:$AN,MATCH($B128,Program_01!$A:$A,0)),INDEX(Program_01!$AY:$AY,MATCH($B128,Program_01!$A:$A,0))),"")</f>
        <v>AMA01002-WTRAN-152353
1TB01002-002C64-AMA-RPT-PM-0001
WF-039951 initiated on 11 May 26
16 Jun 26: EAR issued to contractor via 1TB01002-002C64-AMA-LTR-0007</v>
      </c>
      <c r="AD128" s="181">
        <f>IFERROR(IF($I128="EOT",INDEX(Program_01!$AO:$AO,MATCH($B128,Program_01!$A:$A,0)),INDEX(Program_01!$AZ:$AZ,MATCH($B128,Program_01!$A:$A,0))),"")</f>
        <v>46160</v>
      </c>
      <c r="AE128" s="51"/>
      <c r="AF128" s="183"/>
      <c r="AG128" s="181"/>
      <c r="AH128" s="183" t="str">
        <f>IF(OR($D128="",$AS128="VO Issued",$AS128="Open"),"",IF(OR($AC128="Rejected",$AC128="Superseded",$AC128="Dealt Separately"),$AC128,IF($I128="EOT",INDEX(Program_01!$AR:$AR,MATCH($B128,Program_01!$A:$A,0)),INDEX(Program_01!$BB:$BB,MATCH($B128,Program_01!$A:$A,0)))))</f>
        <v/>
      </c>
      <c r="AI128" s="181" t="str">
        <f>IF(OR($A128="",$B128="",$I128="",$AS128="VO Issued",$AS128="Open"),"",IF(OR($AD128="N/A"),$AD128,IF($I128="EOT",INDEX(Program_01!$AS:$AS,MATCH($B128,Program_01!$A:$A,0)),INDEX(Program_01!$BC:$BC,MATCH($B128,Program_01!$A:$A,0)))))</f>
        <v/>
      </c>
      <c r="AJ128" s="183" t="str">
        <f>IF(OR($D128="",$I128="",$AS128="Determination Issued",$AS128="Rejected",$AS128="Open"),"",IF(OR($AH128="Rejected",$AH128="Dealt Separately",$AH128="Superseded",$AH128="Withdrawn"),"N/A",IF($I128="EOT",INDEX(Program_01!AR:AR,MATCH($B128,Program_01!A:A,0)),INDEX(Program_01!BB:BB,MATCH($B128,Program_01!A:A,0)))))</f>
        <v/>
      </c>
      <c r="AK128" s="181" t="str">
        <f>IF(OR($A128="",$B128="",$I128="",$AS128="Determination Issued",$AS128="Rejected",$AS128="Open"),"",IF($AJ128="N/A","N/A",IF($I128="EOT",INDEX(Program_01!AS:AS,MATCH($B128,Program_01!A:A,0)),INDEX(Program_01!BC:BC,MATCH($B128,Program_01!A:A,0)))))</f>
        <v/>
      </c>
      <c r="AL128" s="51"/>
      <c r="AM128" s="184">
        <f>IFERROR(INDEX(Program_01!$BT:$BT,MATCH($B128,Program_01!$A:$A,0)),"")</f>
        <v>0</v>
      </c>
      <c r="AN128" s="184">
        <f>IFERROR(INDEX(Program_01!$BU:$BU,MATCH($B128,Program_01!$A:$A,0)),"")</f>
        <v>0</v>
      </c>
      <c r="AO128" s="184">
        <f>IFERROR(INDEX(Program_01!$BV:$BV,MATCH($B128,Program_01!$A:$A,0)),"")</f>
        <v>0</v>
      </c>
      <c r="AP128" s="51" t="str">
        <f t="shared" si="46"/>
        <v/>
      </c>
      <c r="AQ128" s="184">
        <f>IFERROR(INDEX(Program_01!$BN:$BN,MATCH($B128,Program_01!$A:$A,0)),"")</f>
        <v>0</v>
      </c>
      <c r="AR128" s="184" t="str">
        <f>IFERROR(INDEX(Program_01!$BO:$BO,MATCH($B128,Program_01!$A:$A,0)),"")</f>
        <v>Assessment Report Issued</v>
      </c>
      <c r="AS128" s="184" t="str">
        <f>IFERROR(INDEX(Program_01!$BP:$BP,MATCH($B128,Program_01!$A:$A,0)),"")</f>
        <v>Open</v>
      </c>
      <c r="AT128" s="185" t="str">
        <f>IFERROR(INDEX(Program_01!$BQ:$BQ,MATCH($B128,Program_01!$A:$A,0)),"")</f>
        <v>Contractor</v>
      </c>
      <c r="AU128" s="179" t="str">
        <f>IFERROR(INDEX(Program_01!$BR:$BR,MATCH($B128,Program_01!$A:$A,0)),"")</f>
        <v>04 May 26: Draft EAR sent to Planning for TIA, targeted to revert by 12 May 26
07 May 26: TIA incorporated and sent to commercial for finalisation
09 May 26: Final Draft EAR sent to claims team for pre-approval
10 May 26: EAR approved and sent back to commercial to initiate WF approval
11 May 26: EAR put in workflow for approva under ref WF-039951
18 May 26: Ditto
04 Jun 26: EAR approved by GCEO, Cover letter to be put in WF039951.  Commercial to issue to Contractor.
16 Jun 26: EAR issued to contractor via 1TB01002-002C64-AMA-LTR-0007
28 June 26: Awaiting Contractor's response to EAR
11 Jul 26: Contractor responsed to Employer's EAR for EOT 01 via 1TB01002-002C64-HOI-LTR-0016 dated 30 June 2026, and in disagreement with the Employer's assessment of concurrent delay. RSG Commercial forwarded letter to Planning for review and further comment on 30th June 2026
13 Jul 26: Targeted to revert by 14 Jul 26
20 Jul 26: Targeted to revert by 21 Jul 26
26 July 26: Awaiting Forensic Planning team input since the 30th June 2026, Commercial has sent follow up emails on the 12 July and 26 July 26.
27 Jul 26: Planning provided its input for the in response to contractor's disagreement
10 Aug 26: Commercial is drafting the reponse letter and will be uploaded in WF (09 AUg 26) .  WF reference to advise once done.
23 Aug 26 : Action with Commercial, draft letter under preparation
24 Aug 26:  With claims for review.
07 Sep 26: RSG's response issued via 1TB01002-002C64-AMA-LTR-0012  on 31 August 2026. In principle, initial EAR remains same. EI to be issued for granting the EOT #1, EAR for the Contractor's acceptance and sign-off.
21 Sep 26: No further concerns received from the Contractor. EI to grant the EOT is under preparation. Target to initiate the workflow on 21 Sep 26.</v>
      </c>
      <c r="AV128" s="186" t="str">
        <f t="shared" si="32"/>
        <v/>
      </c>
      <c r="AW128" s="186" t="str">
        <f t="shared" si="47"/>
        <v>OPEN</v>
      </c>
      <c r="AX128" s="186" t="str">
        <f t="shared" si="33"/>
        <v>OPEN</v>
      </c>
      <c r="AY128" s="181">
        <f t="shared" si="38"/>
        <v>46004</v>
      </c>
      <c r="AZ128" s="181">
        <f t="shared" si="51"/>
        <v>46160</v>
      </c>
      <c r="BA128" s="181" t="str">
        <f t="shared" si="4"/>
        <v/>
      </c>
      <c r="BC128" s="181">
        <f>IFERROR(INDEX(Program_01!BF:BF,MATCH($B128,Program_01!$A:$A,0)),"")</f>
        <v>46004</v>
      </c>
      <c r="BD128" s="188">
        <f ca="1">IFERROR(INDEX(Program_01!BG:BG,MATCH($B128,Program_01!$A:$A,0)),"")</f>
        <v>142</v>
      </c>
      <c r="BE128" s="181">
        <f>IFERROR(INDEX(Program_01!BH:BH,MATCH($B128,Program_01!$A:$A,0)),"")</f>
        <v>46146</v>
      </c>
      <c r="BF128" s="189">
        <f ca="1">IFERROR(INDEX(Program_01!BI:BI,MATCH($B128,Program_01!$A:$A,0)),"")</f>
        <v>3</v>
      </c>
      <c r="BG128" s="181">
        <f>IFERROR(INDEX(Program_01!BJ:BJ,MATCH($B128,Program_01!$A:$A,0)),"")</f>
        <v>46149</v>
      </c>
      <c r="BH128" s="189">
        <f ca="1">IFERROR(INDEX(Program_01!BK:BK,MATCH($B128,Program_01!$A:$A,0)),"")</f>
        <v>151</v>
      </c>
      <c r="BI128" s="181">
        <f>IFERROR(INDEX(Program_01!BL:BL,MATCH($B128,Program_01!$A:$A,0)),"")</f>
        <v>0</v>
      </c>
      <c r="BK128" s="190">
        <f>IFERROR(IF(INDEX(Program_01!$BX:$BX,MATCH($B128,Program_01!$A:$A,0))=DATE(1900,1,0),"",INDEX(Program_01!$BX:$BX,MATCH($B128,Program_01!$A:$A,0))),"")</f>
        <v>46143</v>
      </c>
      <c r="BL128" s="190" t="str">
        <f>IFERROR(IF(INDEX(Program_01!$BY:$BY,MATCH($B128,Program_01!$A:$A,0))=DATE(1900,1,0),"",INDEX(Program_01!$BY:$BY,MATCH($B128,Program_01!$A:$A,0))),"")</f>
        <v/>
      </c>
      <c r="BM128" s="188">
        <f t="shared" ca="1" si="39"/>
        <v>156</v>
      </c>
      <c r="BN128" s="191">
        <f t="shared" ca="1" si="40"/>
        <v>156</v>
      </c>
      <c r="BO128" s="188">
        <f t="shared" ca="1" si="34"/>
        <v>156</v>
      </c>
      <c r="BP128" s="188" t="str">
        <f t="shared" si="6"/>
        <v>1</v>
      </c>
      <c r="BQ128" s="188" t="str">
        <f t="shared" ca="1" si="41"/>
        <v/>
      </c>
      <c r="BR128" s="181" t="str">
        <f t="shared" ca="1" si="52"/>
        <v/>
      </c>
      <c r="BT128" s="190" t="str">
        <f>IFERROR(IF(INDEX(Program_01!$BZ:$BZ,MATCH($B128,Program_01!$A:$A,0))=DATE(1900,1,0),"",INDEX(Program_01!$BZ:$BZ,MATCH($B128,Program_01!$A:$A,0))),"")</f>
        <v/>
      </c>
      <c r="BU128" s="182" t="str">
        <f t="shared" ca="1" si="48"/>
        <v/>
      </c>
      <c r="BV128" s="188" t="str">
        <f t="shared" si="35"/>
        <v/>
      </c>
      <c r="BW128" s="188" t="str">
        <f t="shared" si="8"/>
        <v/>
      </c>
      <c r="BX128" s="188" t="str">
        <f t="shared" ca="1" si="36"/>
        <v/>
      </c>
      <c r="BY128" s="181" t="str">
        <f t="shared" ca="1" si="53"/>
        <v/>
      </c>
      <c r="CA128" s="192" t="str">
        <f t="shared" si="49"/>
        <v>Y</v>
      </c>
      <c r="CB128" s="192" t="str">
        <f t="shared" si="50"/>
        <v>N</v>
      </c>
      <c r="CC128" s="193">
        <f>IFERROR(INDEX(Program_01!$CE:$CE,MATCH($B128,Program_01!$A:$A,0)),"")</f>
        <v>46033</v>
      </c>
      <c r="CD128" s="193">
        <f t="shared" si="31"/>
        <v>46033</v>
      </c>
      <c r="CG128" s="194">
        <f>IFERROR(INDEX(Program_01!$AT:$AT,MATCH($B128,Program_01!$A:$A,0)),"")</f>
        <v>0</v>
      </c>
      <c r="CH128" s="194">
        <f>IFERROR(INDEX(Program_01!$AX:$AX,MATCH($B128,Program_01!$A:$A,0)),"")</f>
        <v>0</v>
      </c>
    </row>
    <row r="129" spans="1:86" s="187" customFormat="1" ht="365.25" customHeight="1">
      <c r="A129" s="174" t="s">
        <v>1</v>
      </c>
      <c r="B129" s="175">
        <f t="shared" si="42"/>
        <v>111</v>
      </c>
      <c r="C129" s="176" t="str">
        <f>IFERROR(INDEX(Program_01!$B:$B,MATCH($B129,Program_01!$A:$A,0)),"")</f>
        <v>FULL TIA EAR</v>
      </c>
      <c r="D129" s="176" t="str">
        <f>IFERROR(INDEX(Program_01!$D:$D,MATCH($B129,Program_01!$A:$A,0)),"")</f>
        <v>1TB01002C03</v>
      </c>
      <c r="E129" s="176" t="str">
        <f>IFERROR(INDEX(Program_01!$E:$E,MATCH($B129,Program_01!$A:$A,0)),"")</f>
        <v>1.TB.01.002.03</v>
      </c>
      <c r="F129" s="176" t="str">
        <f>IFERROR(INDEX(Program_01!$F:$F,MATCH($B129,Program_01!$A:$A,0)),"")</f>
        <v>Marina Lifestyle Hotel &amp; Village</v>
      </c>
      <c r="G129" s="176" t="str">
        <f>IFERROR(INDEX(Program_01!$G:$G,MATCH($B129,Program_01!$A:$A,0)),"")</f>
        <v>Concrete Structure and Civil Works for Marina Lifestyle Hotel</v>
      </c>
      <c r="H129" s="176" t="str">
        <f>IFERROR(INDEX(Program_01!$H:$H,MATCH($B129,Program_01!$A:$A,0)),"")</f>
        <v>MAS Engineering &amp; Construction Company LTD</v>
      </c>
      <c r="I129" s="176" t="str">
        <f t="shared" si="37"/>
        <v>EOT</v>
      </c>
      <c r="J129" s="176">
        <f>IFERROR(INDEX(Program_01!$I:$I,MATCH($B129,Program_01!$A:$A,0)),"")</f>
        <v>1</v>
      </c>
      <c r="K129" s="176">
        <f>IFERROR(INDEX(Program_01!$J:$J,MATCH($B129,Program_01!$A:$A,0)),"")</f>
        <v>0</v>
      </c>
      <c r="L129" s="176">
        <f>IFERROR(INDEX(Program_01!$K:$K,MATCH($B129,Program_01!$A:$A,0)),"")</f>
        <v>0</v>
      </c>
      <c r="M129" s="176">
        <f>IFERROR(INDEX(Program_01!$L:$L,MATCH($B129,Program_01!$A:$A,0)),"")</f>
        <v>0</v>
      </c>
      <c r="N129" s="176">
        <f>IFERROR(INDEX(Program_01!$L:$L,MATCH($B129,Program_01!$A:$A,0)),"")</f>
        <v>0</v>
      </c>
      <c r="O129" s="176">
        <f>IFERROR(INDEX(Program_01!$N:$N,MATCH($B129,Program_01!$A:$A,0)),"")</f>
        <v>0</v>
      </c>
      <c r="P129" s="178"/>
      <c r="Q129" s="179" t="str">
        <f>IFERROR(INDEX(Program_01!$C:$C,MATCH($B129,Program_01!$A:$A,0)),"")</f>
        <v>Extension of Time- EOT 2</v>
      </c>
      <c r="R129" s="176" t="str">
        <f>IFERROR(INDEX(Program_01!$V:$V,MATCH($B129,Program_01!$A:$A,0)),"")</f>
        <v xml:space="preserve">1TB01002-002C03-MEC-LTR-0084 </v>
      </c>
      <c r="S129" s="180">
        <f>IFERROR(INDEX(Program_01!$W:$W,MATCH($B129,Program_01!$A:$A,0)),"")</f>
        <v>46040</v>
      </c>
      <c r="T129" s="178"/>
      <c r="U129" s="176" t="str">
        <f>IFERROR(INDEX(Program_01!$Z:$Z,MATCH($B129,Program_01!$A:$A,0)),"")</f>
        <v>AMA01002-GENCORR-003125</v>
      </c>
      <c r="V129" s="181">
        <f>IFERROR(INDEX(Program_01!$AA:$AA,MATCH($B129,Program_01!$A:$A,0)),"")</f>
        <v>46072</v>
      </c>
      <c r="W129" s="182">
        <f t="shared" ca="1" si="0"/>
        <v>32</v>
      </c>
      <c r="X129" s="51"/>
      <c r="Y129" s="179">
        <f>IFERROR(INDEX(Program_01!$BD:$BD,MATCH($B129,Program_01!$A:$A,0)),"")</f>
        <v>0</v>
      </c>
      <c r="Z129" s="51"/>
      <c r="AA129" s="183" t="str">
        <f>IFERROR(IF((INDEX(Program_01!$AD:$AD,MATCH($B129,Program_01!$A:$A,0))=""),INDEX(Program_01!$V:$V,MATCH($B129,Program_01!$A:$A,0)),INDEX(Program_01!$AD:$AD,MATCH($B129,Program_01!$A:$A,0))),"")</f>
        <v>1TB01002-002C03-MEC-LTR-0089  on 11-Mar-26
1TB01002-002C03-MEC-LTR-0091 dated 18-Mar-26</v>
      </c>
      <c r="AB129" s="147">
        <f>IFERROR(IF((INDEX(Program_01!$AE:$AE,MATCH($B129,Program_01!$A:$A,0))=""),INDEX(Program_01!$W:$W,MATCH($B129,Program_01!$A:$A,0)),INDEX(Program_01!$AE:$AE,MATCH($B129,Program_01!$A:$A,0))),"")</f>
        <v>46099</v>
      </c>
      <c r="AC129" s="183">
        <f>IFERROR(IF($I129="EOT",INDEX(Program_01!$AN:$AN,MATCH($B129,Program_01!$A:$A,0)),INDEX(Program_01!$AY:$AY,MATCH($B129,Program_01!$A:$A,0))),"")</f>
        <v>0</v>
      </c>
      <c r="AD129" s="181">
        <f>IFERROR(IF($I129="EOT",INDEX(Program_01!$AO:$AO,MATCH($B129,Program_01!$A:$A,0)),INDEX(Program_01!$AZ:$AZ,MATCH($B129,Program_01!$A:$A,0))),"")</f>
        <v>0</v>
      </c>
      <c r="AE129" s="51"/>
      <c r="AF129" s="183"/>
      <c r="AG129" s="181"/>
      <c r="AH129" s="183" t="str">
        <f>IF(OR($D129="",$AS129="VO Issued",$AS129="Open"),"",IF(OR($AC129="Rejected",$AC129="Superseded",$AC129="Dealt Separately"),$AC129,IF($I129="EOT",INDEX(Program_01!$AR:$AR,MATCH($B129,Program_01!$A:$A,0)),INDEX(Program_01!$BB:$BB,MATCH($B129,Program_01!$A:$A,0)))))</f>
        <v/>
      </c>
      <c r="AI129" s="181" t="str">
        <f>IF(OR($A129="",$B129="",$I129="",$AS129="VO Issued",$AS129="Open"),"",IF(OR($AD129="N/A"),$AD129,IF($I129="EOT",INDEX(Program_01!$AS:$AS,MATCH($B129,Program_01!$A:$A,0)),INDEX(Program_01!$BC:$BC,MATCH($B129,Program_01!$A:$A,0)))))</f>
        <v/>
      </c>
      <c r="AJ129" s="183" t="str">
        <f>IF(OR($D129="",$I129="",$AS129="Determination Issued",$AS129="Rejected",$AS129="Open"),"",IF(OR($AH129="Rejected",$AH129="Dealt Separately",$AH129="Superseded",$AH129="Withdrawn"),"N/A",IF($I129="EOT",INDEX(Program_01!AR:AR,MATCH($B129,Program_01!A:A,0)),INDEX(Program_01!BB:BB,MATCH($B129,Program_01!A:A,0)))))</f>
        <v/>
      </c>
      <c r="AK129" s="181" t="str">
        <f>IF(OR($A129="",$B129="",$I129="",$AS129="Determination Issued",$AS129="Rejected",$AS129="Open"),"",IF($AJ129="N/A","N/A",IF($I129="EOT",INDEX(Program_01!AS:AS,MATCH($B129,Program_01!A:A,0)),INDEX(Program_01!BC:BC,MATCH($B129,Program_01!A:A,0)))))</f>
        <v/>
      </c>
      <c r="AL129" s="51"/>
      <c r="AM129" s="184">
        <f>IFERROR(INDEX(Program_01!$BT:$BT,MATCH($B129,Program_01!$A:$A,0)),"")</f>
        <v>0</v>
      </c>
      <c r="AN129" s="184">
        <f>IFERROR(INDEX(Program_01!$BU:$BU,MATCH($B129,Program_01!$A:$A,0)),"")</f>
        <v>0</v>
      </c>
      <c r="AO129" s="184">
        <f>IFERROR(INDEX(Program_01!$BV:$BV,MATCH($B129,Program_01!$A:$A,0)),"")</f>
        <v>0</v>
      </c>
      <c r="AP129" s="51" t="str">
        <f t="shared" si="46"/>
        <v/>
      </c>
      <c r="AQ129" s="184">
        <f>IFERROR(INDEX(Program_01!$BN:$BN,MATCH($B129,Program_01!$A:$A,0)),"")</f>
        <v>0</v>
      </c>
      <c r="AR129" s="184" t="str">
        <f>IFERROR(INDEX(Program_01!$BO:$BO,MATCH($B129,Program_01!$A:$A,0)),"")</f>
        <v>Pending</v>
      </c>
      <c r="AS129" s="184" t="str">
        <f>IFERROR(INDEX(Program_01!$BP:$BP,MATCH($B129,Program_01!$A:$A,0)),"")</f>
        <v>Open</v>
      </c>
      <c r="AT129" s="185" t="str">
        <f>IFERROR(INDEX(Program_01!$BQ:$BQ,MATCH($B129,Program_01!$A:$A,0)),"")</f>
        <v>Commercial Team</v>
      </c>
      <c r="AU129" s="179" t="str">
        <f>IFERROR(INDEX(Program_01!$BR:$BR,MATCH($B129,Program_01!$A:$A,0)),"")</f>
        <v>19-01-2026: Planning confirmed the TIA methadology used by the contractor, commercial to proceed with EAR draft
27 Jan 26: Targeted to submit by (TBC)
09 Feb 26: Initial response to be issued to the Contractor by 10-Feb-26
23 Feb 26: Response issued to the Contractor  on 19-Feb-26 via AMA01002-GENCORR-003125,instructing the Contractor to revise and resubmit in compliance to RSG's comments.
08 Mar 26: Awaiting response from the Contractor.
11 Mar 26: The Contractor issued a response   via letter ref:  1TB01002-002C03-MEC-LTR-0089  dated 11-Mar-26. 
12 Mar 26: RSG responded to Contractor's letter  via letter ref 1TB01002-002C03-AMA-LTR-0129 dated  12-Mar-26,requesting the Contarctor to provide a separate submission for new events. 
18 Mar 26: The Contractor submitted a separate  EOT claim via letter ref:  1TB01002-002C03-MEC-LTR-0091 dated 18-Mar-26. 
06 Apr 26: Under Review by Commercial team. Targeted to submit EAR for claims review by 26 Apr 26
20 Apr 26: Ditto
04 May 26: Under Review by Commercial team. Targeted to submit EAR for claims review TBC.
18 May 26:Under Review by Commercial team. Targeted to submit EAR for claims review 20 May 2026.
31 May 26: Draft EAR will be shared with the Claims team on 4 June 2026.
15 Jun 26: EAR under process with commercial, target date TBC
28 June 26: EAR target to complete by 01 July 26
11 July 26: Draft EAR issued to Rufino for review on 8th July 26. under review with Commercial, targeted to be submitted to claims for review by 21 Jul 26
26 July 26: under process with commercial, target to complete EAR on 04 Aug 2026
10 Aug 26:  under review with Rufino, target to complete EAR on 13 Aug 2026
23 Aug 26: Queries to be incorporated and share with the Claims team. Target date to issue 24 Aug 2026.
24 Aug 26: EAR sent to claims team for review
01 Sep 26: EAR sent back to commercial with comments to update &amp; resubmit
07 Sep 26: Commercial team will revise the EAR and reissue for Pieter review 09-Sep-26.
21 Sep 26: Action remain with the Commercial team. Target date to issue the updated EAR 28 Sep 26
04 Oct 26: Revised Target date to submit the EAR to claims team is 9 October 2026</v>
      </c>
      <c r="AV129" s="186" t="str">
        <f t="shared" si="32"/>
        <v/>
      </c>
      <c r="AW129" s="186" t="str">
        <f t="shared" si="47"/>
        <v>OPEN</v>
      </c>
      <c r="AX129" s="186" t="str">
        <f t="shared" si="33"/>
        <v>OPEN</v>
      </c>
      <c r="AY129" s="181">
        <f t="shared" si="38"/>
        <v>46099</v>
      </c>
      <c r="AZ129" s="181" t="str">
        <f>IF($AD129=0,"",AD129)</f>
        <v/>
      </c>
      <c r="BA129" s="181" t="str">
        <f t="shared" si="4"/>
        <v/>
      </c>
      <c r="BC129" s="181">
        <f>IFERROR(INDEX(Program_01!BF:BF,MATCH($B129,Program_01!$A:$A,0)),"")</f>
        <v>46099</v>
      </c>
      <c r="BD129" s="188">
        <f ca="1">IFERROR(INDEX(Program_01!BG:BG,MATCH($B129,Program_01!$A:$A,0)),"")</f>
        <v>201</v>
      </c>
      <c r="BE129" s="181">
        <f>IFERROR(INDEX(Program_01!BH:BH,MATCH($B129,Program_01!$A:$A,0)),"")</f>
        <v>0</v>
      </c>
      <c r="BF129" s="189">
        <f ca="1">IFERROR(INDEX(Program_01!BI:BI,MATCH($B129,Program_01!$A:$A,0)),"")</f>
        <v>0</v>
      </c>
      <c r="BG129" s="181">
        <f>IFERROR(INDEX(Program_01!BJ:BJ,MATCH($B129,Program_01!$A:$A,0)),"")</f>
        <v>0</v>
      </c>
      <c r="BH129" s="189">
        <f ca="1">IFERROR(INDEX(Program_01!BK:BK,MATCH($B129,Program_01!$A:$A,0)),"")</f>
        <v>0</v>
      </c>
      <c r="BI129" s="181">
        <f>IFERROR(INDEX(Program_01!BL:BL,MATCH($B129,Program_01!$A:$A,0)),"")</f>
        <v>0</v>
      </c>
      <c r="BK129" s="190" t="str">
        <f>IFERROR(IF(INDEX(Program_01!$BX:$BX,MATCH($B129,Program_01!$A:$A,0))=DATE(1900,1,0),"",INDEX(Program_01!$BX:$BX,MATCH($B129,Program_01!$A:$A,0))),"")</f>
        <v/>
      </c>
      <c r="BL129" s="190" t="str">
        <f>IFERROR(IF(INDEX(Program_01!$BY:$BY,MATCH($B129,Program_01!$A:$A,0))=DATE(1900,1,0),"",INDEX(Program_01!$BY:$BY,MATCH($B129,Program_01!$A:$A,0))),"")</f>
        <v/>
      </c>
      <c r="BM129" s="188" t="str">
        <f t="shared" ca="1" si="39"/>
        <v/>
      </c>
      <c r="BN129" s="191">
        <f t="shared" ca="1" si="40"/>
        <v>201</v>
      </c>
      <c r="BO129" s="188" t="str">
        <f t="shared" si="34"/>
        <v/>
      </c>
      <c r="BP129" s="188" t="str">
        <f t="shared" si="6"/>
        <v/>
      </c>
      <c r="BQ129" s="188">
        <f t="shared" ca="1" si="41"/>
        <v>201</v>
      </c>
      <c r="BR129" s="181" t="str">
        <f ca="1">IF(BQ129="","","1")</f>
        <v>1</v>
      </c>
      <c r="BT129" s="190" t="str">
        <f>IFERROR(IF(INDEX(Program_01!$BZ:$BZ,MATCH($B129,Program_01!$A:$A,0))=DATE(1900,1,0),"",INDEX(Program_01!$BZ:$BZ,MATCH($B129,Program_01!$A:$A,0))),"")</f>
        <v/>
      </c>
      <c r="BU129" s="182" t="str">
        <f t="shared" ca="1" si="48"/>
        <v/>
      </c>
      <c r="BV129" s="188" t="str">
        <f t="shared" si="35"/>
        <v/>
      </c>
      <c r="BW129" s="188" t="str">
        <f t="shared" si="8"/>
        <v/>
      </c>
      <c r="BX129" s="188" t="str">
        <f t="shared" ca="1" si="36"/>
        <v/>
      </c>
      <c r="BY129" s="181" t="str">
        <f ca="1">IF(BX129="","","1")</f>
        <v/>
      </c>
      <c r="CA129" s="192" t="str">
        <f t="shared" si="49"/>
        <v>N</v>
      </c>
      <c r="CB129" s="192" t="str">
        <f t="shared" si="50"/>
        <v>N</v>
      </c>
      <c r="CC129" s="193">
        <f>IFERROR(INDEX(Program_01!$CE:$CE,MATCH($B129,Program_01!$A:$A,0)),"")</f>
        <v>46041</v>
      </c>
      <c r="CD129" s="193">
        <f>MAX(S129,CC129)</f>
        <v>46041</v>
      </c>
      <c r="CG129" s="194">
        <f>IFERROR(INDEX(Program_01!$AT:$AT,MATCH($B129,Program_01!$A:$A,0)),"")</f>
        <v>0</v>
      </c>
      <c r="CH129" s="194">
        <f>IFERROR(INDEX(Program_01!$AX:$AX,MATCH($B129,Program_01!$A:$A,0)),"")</f>
        <v>0</v>
      </c>
    </row>
    <row r="130" spans="1:86" s="187" customFormat="1" ht="409" customHeight="1">
      <c r="A130" s="174" t="s">
        <v>1</v>
      </c>
      <c r="B130" s="175">
        <f t="shared" si="42"/>
        <v>112</v>
      </c>
      <c r="C130" s="176" t="str">
        <f>IFERROR(INDEX(Program_01!$B:$B,MATCH($B130,Program_01!$A:$A,0)),"")</f>
        <v>FULL TIA EAR</v>
      </c>
      <c r="D130" s="176" t="str">
        <f>IFERROR(INDEX(Program_01!$D:$D,MATCH($B130,Program_01!$A:$A,0)),"")</f>
        <v>1TB01100C01</v>
      </c>
      <c r="E130" s="176" t="str">
        <f>IFERROR(INDEX(Program_01!$E:$E,MATCH($B130,Program_01!$A:$A,0)),"")</f>
        <v>1.TB.01.100.00</v>
      </c>
      <c r="F130" s="176" t="str">
        <f>IFERROR(INDEX(Program_01!$F:$F,MATCH($B130,Program_01!$A:$A,0)),"")</f>
        <v>Marina Village - Wide</v>
      </c>
      <c r="G130" s="176" t="str">
        <f>IFERROR(INDEX(Program_01!$G:$G,MATCH($B130,Program_01!$A:$A,0)),"")</f>
        <v>Hard Landscape Works for a Triple Bay - Marina Precinct</v>
      </c>
      <c r="H130" s="176" t="str">
        <f>IFERROR(INDEX(Program_01!$H:$H,MATCH($B130,Program_01!$A:$A,0)),"")</f>
        <v>Saudi SALCO Contracting Co</v>
      </c>
      <c r="I130" s="176" t="str">
        <f t="shared" si="37"/>
        <v>EOT</v>
      </c>
      <c r="J130" s="176">
        <f>IFERROR(INDEX(Program_01!$I:$I,MATCH($B130,Program_01!$A:$A,0)),"")</f>
        <v>1</v>
      </c>
      <c r="K130" s="176">
        <f>IFERROR(INDEX(Program_01!$J:$J,MATCH($B130,Program_01!$A:$A,0)),"")</f>
        <v>0</v>
      </c>
      <c r="L130" s="176">
        <f>IFERROR(INDEX(Program_01!$K:$K,MATCH($B130,Program_01!$A:$A,0)),"")</f>
        <v>0</v>
      </c>
      <c r="M130" s="176">
        <f>IFERROR(INDEX(Program_01!$L:$L,MATCH($B130,Program_01!$A:$A,0)),"")</f>
        <v>0</v>
      </c>
      <c r="N130" s="176">
        <f>IFERROR(INDEX(Program_01!$L:$L,MATCH($B130,Program_01!$A:$A,0)),"")</f>
        <v>0</v>
      </c>
      <c r="O130" s="176">
        <f>IFERROR(INDEX(Program_01!$N:$N,MATCH($B130,Program_01!$A:$A,0)),"")</f>
        <v>0</v>
      </c>
      <c r="P130" s="178"/>
      <c r="Q130" s="179" t="str">
        <f>IFERROR(INDEX(Program_01!$C:$C,MATCH($B130,Program_01!$A:$A,0)),"")</f>
        <v>Extension 0f Time Claim No. 1 - Rev 1</v>
      </c>
      <c r="R130" s="176" t="str">
        <f>IFERROR(INDEX(Program_01!$V:$V,MATCH($B130,Program_01!$A:$A,0)),"")</f>
        <v>1TB01100-100C01-SSC-LTR-0024-C1 on 13 Jan 26
SSC01100-GENCORR-000048</v>
      </c>
      <c r="S130" s="180">
        <f>IFERROR(INDEX(Program_01!$W:$W,MATCH($B130,Program_01!$A:$A,0)),"")</f>
        <v>46074</v>
      </c>
      <c r="T130" s="178"/>
      <c r="U130" s="176">
        <f>IFERROR(INDEX(Program_01!$Z:$Z,MATCH($B130,Program_01!$A:$A,0)),"")</f>
        <v>0</v>
      </c>
      <c r="V130" s="181" t="str">
        <f>IFERROR(INDEX(Program_01!$AA:$AA,MATCH($B130,Program_01!$A:$A,0)),"")</f>
        <v>N/A</v>
      </c>
      <c r="W130" s="182" t="str">
        <f t="shared" ca="1" si="0"/>
        <v/>
      </c>
      <c r="X130" s="51"/>
      <c r="Y130" s="179">
        <f>IFERROR(INDEX(Program_01!$BD:$BD,MATCH($B130,Program_01!$A:$A,0)),"")</f>
        <v>0</v>
      </c>
      <c r="Z130" s="51"/>
      <c r="AA130" s="183" t="str">
        <f>IFERROR(IF((INDEX(Program_01!$AD:$AD,MATCH($B130,Program_01!$A:$A,0))=""),INDEX(Program_01!$V:$V,MATCH($B130,Program_01!$A:$A,0)),INDEX(Program_01!$AD:$AD,MATCH($B130,Program_01!$A:$A,0))),"")</f>
        <v>1TB01100-100C01-SSC-LTR-0024-1 on 22 Aug 2026</v>
      </c>
      <c r="AB130" s="147">
        <f>IFERROR(IF((INDEX(Program_01!$AE:$AE,MATCH($B130,Program_01!$A:$A,0))=""),INDEX(Program_01!$W:$W,MATCH($B130,Program_01!$A:$A,0)),INDEX(Program_01!$AE:$AE,MATCH($B130,Program_01!$A:$A,0))),"")</f>
        <v>46256</v>
      </c>
      <c r="AC130" s="183">
        <f>IFERROR(IF($I130="EOT",INDEX(Program_01!$AN:$AN,MATCH($B130,Program_01!$A:$A,0)),INDEX(Program_01!$AY:$AY,MATCH($B130,Program_01!$A:$A,0))),"")</f>
        <v>0</v>
      </c>
      <c r="AD130" s="181">
        <f>IFERROR(IF($I130="EOT",INDEX(Program_01!$AO:$AO,MATCH($B130,Program_01!$A:$A,0)),INDEX(Program_01!$AZ:$AZ,MATCH($B130,Program_01!$A:$A,0))),"")</f>
        <v>0</v>
      </c>
      <c r="AE130" s="51"/>
      <c r="AF130" s="183"/>
      <c r="AG130" s="181"/>
      <c r="AH130" s="183" t="str">
        <f>IF(OR($D130="",$AS130="VO Issued",$AS130="Open"),"",IF(OR($AC130="Rejected",$AC130="Superseded",$AC130="Dealt Separately"),$AC130,IF($I130="EOT",INDEX(Program_01!$AR:$AR,MATCH($B130,Program_01!$A:$A,0)),INDEX(Program_01!$BB:$BB,MATCH($B130,Program_01!$A:$A,0)))))</f>
        <v/>
      </c>
      <c r="AI130" s="181" t="str">
        <f>IF(OR($A130="",$B130="",$I130="",$AS130="VO Issued",$AS130="Open"),"",IF(OR($AD130="N/A"),$AD130,IF($I130="EOT",INDEX(Program_01!$AS:$AS,MATCH($B130,Program_01!$A:$A,0)),INDEX(Program_01!$BC:$BC,MATCH($B130,Program_01!$A:$A,0)))))</f>
        <v/>
      </c>
      <c r="AJ130" s="183" t="str">
        <f>IF(OR($D130="",$I130="",$AS130="Determination Issued",$AS130="Rejected",$AS130="Open"),"",IF(OR($AH130="Rejected",$AH130="Dealt Separately",$AH130="Superseded",$AH130="Withdrawn"),"N/A",IF($I130="EOT",INDEX(Program_01!AR:AR,MATCH($B130,Program_01!A:A,0)),INDEX(Program_01!BB:BB,MATCH($B130,Program_01!A:A,0)))))</f>
        <v/>
      </c>
      <c r="AK130" s="181" t="str">
        <f>IF(OR($A130="",$B130="",$I130="",$AS130="Determination Issued",$AS130="Rejected",$AS130="Open"),"",IF($AJ130="N/A","N/A",IF($I130="EOT",INDEX(Program_01!AS:AS,MATCH($B130,Program_01!A:A,0)),INDEX(Program_01!BC:BC,MATCH($B130,Program_01!A:A,0)))))</f>
        <v/>
      </c>
      <c r="AL130" s="51"/>
      <c r="AM130" s="184">
        <f>IFERROR(INDEX(Program_01!$BT:$BT,MATCH($B130,Program_01!$A:$A,0)),"")</f>
        <v>0</v>
      </c>
      <c r="AN130" s="184">
        <f>IFERROR(INDEX(Program_01!$BU:$BU,MATCH($B130,Program_01!$A:$A,0)),"")</f>
        <v>0</v>
      </c>
      <c r="AO130" s="184">
        <f>IFERROR(INDEX(Program_01!$BV:$BV,MATCH($B130,Program_01!$A:$A,0)),"")</f>
        <v>0</v>
      </c>
      <c r="AP130" s="51" t="str">
        <f t="shared" si="46"/>
        <v/>
      </c>
      <c r="AQ130" s="184">
        <f>IFERROR(INDEX(Program_01!$BN:$BN,MATCH($B130,Program_01!$A:$A,0)),"")</f>
        <v>0</v>
      </c>
      <c r="AR130" s="184" t="str">
        <f>IFERROR(INDEX(Program_01!$BO:$BO,MATCH($B130,Program_01!$A:$A,0)),"")</f>
        <v>Pending</v>
      </c>
      <c r="AS130" s="184" t="str">
        <f>IFERROR(INDEX(Program_01!$BP:$BP,MATCH($B130,Program_01!$A:$A,0)),"")</f>
        <v>Open</v>
      </c>
      <c r="AT130" s="185" t="str">
        <f>IFERROR(INDEX(Program_01!$BQ:$BQ,MATCH($B130,Program_01!$A:$A,0)),"")</f>
        <v>Planning Team</v>
      </c>
      <c r="AU130" s="179" t="str">
        <f>IFERROR(INDEX(Program_01!$BR:$BR,MATCH($B130,Program_01!$A:$A,0)),"")</f>
        <v>27 Apr 26: TIA under process and targetd to revert by 05 May 26
04 May 26: Ditto
11 May 26: EAR sent to commercial team with comments &amp; queries on the IFC event 
18 May 26 : With Comm team to sort it. Target date 04 June 2026.
04 Jun 26: Commercvial issued query to Claims
07 Jun 26: Draft EAR sent to claims team for review
15 Jun 26: Targeted to revert by 18 Jun 26
23 Jun 26: EAR sent to Planning for TIA 
29 Jun 26: (Shaju to update)
06 Jul 26: planning team targeted to conclude TIA by 16 Jul 26
13 Jul 26: Ditto
20 Jul 26: Targeted to revert by 26 Jul 26
25 Jul 26: Ditto
03 Aug 26: TIA targeted to be concluded by 03 Aug 26
10 Aug 26: Ditto | Meeting held with Salco &amp; RSG Planning team on 09 Aug 2026 highlighting the deficiencies in Salco chronology for access delays. Salco stated that they will submit updated chronology and particulars within this week. This is essential to meaningfully assess the TIA.
24 Aug 26: Ditto (check with planning team to see if recorded formally)
07 Sep 26: The Contractor submitted additional info to Planners ref. 1TB01100-100C01-SSC-LTR-0024-1 on 22 Aug 2026
07 Sep 26: Contractor submitted additional info to Planning
14 Sep 26: TIA under process, planning team targeted to revert by 20 Sep 26
17 Sep 26: TIA incorporated and sent to claims team for finalisation
26 Sep 26: EAR sent back to planning team to provide a summary table of teh delay analysis</v>
      </c>
      <c r="AV130" s="186" t="str">
        <f t="shared" si="32"/>
        <v/>
      </c>
      <c r="AW130" s="186" t="str">
        <f t="shared" si="47"/>
        <v>OPEN</v>
      </c>
      <c r="AX130" s="186" t="str">
        <f t="shared" si="33"/>
        <v>OPEN</v>
      </c>
      <c r="AY130" s="181">
        <f t="shared" si="38"/>
        <v>46256</v>
      </c>
      <c r="AZ130" s="181" t="str">
        <f t="shared" ref="AZ130:AZ145" si="54">IF($AD130=0,"",AD130)</f>
        <v/>
      </c>
      <c r="BA130" s="181" t="str">
        <f t="shared" si="4"/>
        <v/>
      </c>
      <c r="BC130" s="181">
        <f>IFERROR(INDEX(Program_01!BF:BF,MATCH($B130,Program_01!$A:$A,0)),"")</f>
        <v>46256</v>
      </c>
      <c r="BD130" s="188">
        <f ca="1">IFERROR(INDEX(Program_01!BG:BG,MATCH($B130,Program_01!$A:$A,0)),"")</f>
        <v>-144</v>
      </c>
      <c r="BE130" s="181">
        <f>IFERROR(INDEX(Program_01!BH:BH,MATCH($B130,Program_01!$A:$A,0)),"")</f>
        <v>46112</v>
      </c>
      <c r="BF130" s="189">
        <f ca="1">IFERROR(INDEX(Program_01!BI:BI,MATCH($B130,Program_01!$A:$A,0)),"")</f>
        <v>188</v>
      </c>
      <c r="BG130" s="181">
        <f>IFERROR(INDEX(Program_01!BJ:BJ,MATCH($B130,Program_01!$A:$A,0)),"")</f>
        <v>0</v>
      </c>
      <c r="BH130" s="189">
        <f ca="1">IFERROR(INDEX(Program_01!BK:BK,MATCH($B130,Program_01!$A:$A,0)),"")</f>
        <v>0</v>
      </c>
      <c r="BI130" s="181">
        <f>IFERROR(INDEX(Program_01!BL:BL,MATCH($B130,Program_01!$A:$A,0)),"")</f>
        <v>0</v>
      </c>
      <c r="BK130" s="190">
        <f>IFERROR(IF(INDEX(Program_01!$BX:$BX,MATCH($B130,Program_01!$A:$A,0))=DATE(1900,1,0),"",INDEX(Program_01!$BX:$BX,MATCH($B130,Program_01!$A:$A,0))),"")</f>
        <v>46296</v>
      </c>
      <c r="BL130" s="190" t="str">
        <f>IFERROR(IF(INDEX(Program_01!$BY:$BY,MATCH($B130,Program_01!$A:$A,0))=DATE(1900,1,0),"",INDEX(Program_01!$BY:$BY,MATCH($B130,Program_01!$A:$A,0))),"")</f>
        <v/>
      </c>
      <c r="BM130" s="188" t="str">
        <f t="shared" ca="1" si="39"/>
        <v/>
      </c>
      <c r="BN130" s="191">
        <f t="shared" ca="1" si="40"/>
        <v>44</v>
      </c>
      <c r="BO130" s="188" t="str">
        <f t="shared" si="34"/>
        <v/>
      </c>
      <c r="BP130" s="188" t="str">
        <f t="shared" si="6"/>
        <v/>
      </c>
      <c r="BQ130" s="188" t="str">
        <f t="shared" ca="1" si="41"/>
        <v/>
      </c>
      <c r="BR130" s="181" t="str">
        <f t="shared" ref="BR130:BR145" ca="1" si="55">IF(BQ130="","","1")</f>
        <v/>
      </c>
      <c r="BT130" s="190" t="str">
        <f>IFERROR(IF(INDEX(Program_01!$BZ:$BZ,MATCH($B130,Program_01!$A:$A,0))=DATE(1900,1,0),"",INDEX(Program_01!$BZ:$BZ,MATCH($B130,Program_01!$A:$A,0))),"")</f>
        <v/>
      </c>
      <c r="BU130" s="182" t="str">
        <f t="shared" ca="1" si="48"/>
        <v/>
      </c>
      <c r="BV130" s="188" t="str">
        <f t="shared" si="35"/>
        <v/>
      </c>
      <c r="BW130" s="188" t="str">
        <f t="shared" si="8"/>
        <v/>
      </c>
      <c r="BX130" s="188" t="str">
        <f t="shared" ca="1" si="36"/>
        <v/>
      </c>
      <c r="BY130" s="181" t="str">
        <f t="shared" ref="BY130:BY145" ca="1" si="56">IF(BX130="","","1")</f>
        <v/>
      </c>
      <c r="CA130" s="192" t="str">
        <f t="shared" si="49"/>
        <v>N</v>
      </c>
      <c r="CB130" s="192" t="str">
        <f t="shared" si="50"/>
        <v>N</v>
      </c>
      <c r="CC130" s="193">
        <f>IFERROR(INDEX(Program_01!$CE:$CE,MATCH($B130,Program_01!$A:$A,0)),"")</f>
        <v>46047</v>
      </c>
      <c r="CD130" s="193">
        <f t="shared" ref="CD130:CD145" si="57">MAX(S130,CC130)</f>
        <v>46074</v>
      </c>
      <c r="CG130" s="194">
        <f>IFERROR(INDEX(Program_01!$AT:$AT,MATCH($B130,Program_01!$A:$A,0)),"")</f>
        <v>0</v>
      </c>
      <c r="CH130" s="194">
        <f>IFERROR(INDEX(Program_01!$AX:$AX,MATCH($B130,Program_01!$A:$A,0)),"")</f>
        <v>0</v>
      </c>
    </row>
    <row r="131" spans="1:86" s="187" customFormat="1" ht="372">
      <c r="A131" s="174" t="s">
        <v>1</v>
      </c>
      <c r="B131" s="175">
        <f t="shared" si="42"/>
        <v>113</v>
      </c>
      <c r="C131" s="176" t="str">
        <f>IFERROR(INDEX(Program_01!$B:$B,MATCH($B131,Program_01!$A:$A,0)),"")</f>
        <v>FULL TIA EAR</v>
      </c>
      <c r="D131" s="176" t="str">
        <f>IFERROR(INDEX(Program_01!$D:$D,MATCH($B131,Program_01!$A:$A,0)),"")</f>
        <v>1TB01005C24</v>
      </c>
      <c r="E131" s="176" t="str">
        <f>IFERROR(INDEX(Program_01!$E:$E,MATCH($B131,Program_01!$A:$A,0)),"")</f>
        <v>1.TB.01.005.01</v>
      </c>
      <c r="F131" s="176" t="str">
        <f>IFERROR(INDEX(Program_01!$F:$F,MATCH($B131,Program_01!$A:$A,0)),"")</f>
        <v>Red Sea Marine Life Institute</v>
      </c>
      <c r="G131" s="176" t="str">
        <f>IFERROR(INDEX(Program_01!$G:$G,MATCH($B131,Program_01!$A:$A,0)),"")</f>
        <v>Grand Reveal Basin Fitout (Rock Theming)</v>
      </c>
      <c r="H131" s="176" t="str">
        <f>IFERROR(INDEX(Program_01!$H:$H,MATCH($B131,Program_01!$A:$A,0)),"")</f>
        <v>Pangea Rocks A/S</v>
      </c>
      <c r="I131" s="176" t="str">
        <f t="shared" si="37"/>
        <v>EOT</v>
      </c>
      <c r="J131" s="176">
        <f>IFERROR(INDEX(Program_01!$I:$I,MATCH($B131,Program_01!$A:$A,0)),"")</f>
        <v>1</v>
      </c>
      <c r="K131" s="176">
        <f>IFERROR(INDEX(Program_01!$J:$J,MATCH($B131,Program_01!$A:$A,0)),"")</f>
        <v>0</v>
      </c>
      <c r="L131" s="176">
        <f>IFERROR(INDEX(Program_01!$K:$K,MATCH($B131,Program_01!$A:$A,0)),"")</f>
        <v>0</v>
      </c>
      <c r="M131" s="176">
        <f>IFERROR(INDEX(Program_01!$L:$L,MATCH($B131,Program_01!$A:$A,0)),"")</f>
        <v>0</v>
      </c>
      <c r="N131" s="176">
        <f>IFERROR(INDEX(Program_01!$L:$L,MATCH($B131,Program_01!$A:$A,0)),"")</f>
        <v>0</v>
      </c>
      <c r="O131" s="176">
        <f>IFERROR(INDEX(Program_01!$N:$N,MATCH($B131,Program_01!$A:$A,0)),"")</f>
        <v>0</v>
      </c>
      <c r="P131" s="178"/>
      <c r="Q131" s="179" t="str">
        <f>IFERROR(INDEX(Program_01!$C:$C,MATCH($B131,Program_01!$A:$A,0)),"")</f>
        <v>Extension of Time - Claim No. 01 - Reassessment of Item No. 48 Above  EOT-01 Rev</v>
      </c>
      <c r="R131" s="176" t="str">
        <f>IFERROR(INDEX(Program_01!$V:$V,MATCH($B131,Program_01!$A:$A,0)),"")</f>
        <v>1TB01005-005C24-PRA-LTR-0020</v>
      </c>
      <c r="S131" s="180">
        <f>IFERROR(INDEX(Program_01!$W:$W,MATCH($B131,Program_01!$A:$A,0)),"")</f>
        <v>46031</v>
      </c>
      <c r="T131" s="178"/>
      <c r="U131" s="176">
        <f>IFERROR(INDEX(Program_01!$Z:$Z,MATCH($B131,Program_01!$A:$A,0)),"")</f>
        <v>0</v>
      </c>
      <c r="V131" s="181" t="str">
        <f>IFERROR(INDEX(Program_01!$AA:$AA,MATCH($B131,Program_01!$A:$A,0)),"")</f>
        <v>N/A</v>
      </c>
      <c r="W131" s="182" t="str">
        <f t="shared" ca="1" si="0"/>
        <v/>
      </c>
      <c r="X131" s="51"/>
      <c r="Y131" s="179">
        <f>IFERROR(INDEX(Program_01!$BD:$BD,MATCH($B131,Program_01!$A:$A,0)),"")</f>
        <v>0</v>
      </c>
      <c r="Z131" s="51"/>
      <c r="AA131" s="183" t="str">
        <f>IFERROR(IF((INDEX(Program_01!$AD:$AD,MATCH($B131,Program_01!$A:$A,0))=""),INDEX(Program_01!$V:$V,MATCH($B131,Program_01!$A:$A,0)),INDEX(Program_01!$AD:$AD,MATCH($B131,Program_01!$A:$A,0))),"")</f>
        <v>1TB01005-005C24-PRA-LTR-0020</v>
      </c>
      <c r="AB131" s="147">
        <f>IFERROR(IF((INDEX(Program_01!$AE:$AE,MATCH($B131,Program_01!$A:$A,0))=""),INDEX(Program_01!$W:$W,MATCH($B131,Program_01!$A:$A,0)),INDEX(Program_01!$AE:$AE,MATCH($B131,Program_01!$A:$A,0))),"")</f>
        <v>46031</v>
      </c>
      <c r="AC131" s="183" t="str">
        <f>IFERROR(IF($I131="EOT",INDEX(Program_01!$AN:$AN,MATCH($B131,Program_01!$A:$A,0)),INDEX(Program_01!$AY:$AY,MATCH($B131,Program_01!$A:$A,0))),"")</f>
        <v>1TB01005-005C24-AMA-RPT-PM-0003
WF-040009  initiated on 05 Feb 26
1TB01005-005C24-AMA-LTR-0047  issued on 01 Mar 26</v>
      </c>
      <c r="AD131" s="181">
        <f>IFERROR(IF($I131="EOT",INDEX(Program_01!$AO:$AO,MATCH($B131,Program_01!$A:$A,0)),INDEX(Program_01!$AZ:$AZ,MATCH($B131,Program_01!$A:$A,0))),"")</f>
        <v>46065</v>
      </c>
      <c r="AE131" s="51"/>
      <c r="AF131" s="183"/>
      <c r="AG131" s="181"/>
      <c r="AH131" s="183">
        <f>IF(OR($D131="",$AS131="VO Issued",$AS131="Open"),"",IF(OR($AC131="Rejected",$AC131="Superseded",$AC131="Dealt Separately"),$AC131,IF($I131="EOT",INDEX(Program_01!$AR:$AR,MATCH($B131,Program_01!$A:$A,0)),INDEX(Program_01!$BB:$BB,MATCH($B131,Program_01!$A:$A,0)))))</f>
        <v>0</v>
      </c>
      <c r="AI131" s="181">
        <f>IF(OR($A131="",$B131="",$I131="",$AS131="VO Issued",$AS131="Open"),"",IF(OR($AD131="N/A"),$AD131,IF($I131="EOT",INDEX(Program_01!$AS:$AS,MATCH($B131,Program_01!$A:$A,0)),INDEX(Program_01!$BC:$BC,MATCH($B131,Program_01!$A:$A,0)))))</f>
        <v>0</v>
      </c>
      <c r="AJ131" s="183" t="str">
        <f>IF(OR($D131="",$I131="",$AS131="Determination Issued",$AS131="Rejected",$AS131="Open"),"",IF(OR($AH131="Rejected",$AH131="Dealt Separately",$AH131="Superseded",$AH131="Withdrawn"),"N/A",IF($I131="EOT",INDEX(Program_01!AR:AR,MATCH($B131,Program_01!A:A,0)),INDEX(Program_01!BB:BB,MATCH($B131,Program_01!A:A,0)))))</f>
        <v/>
      </c>
      <c r="AK131" s="181" t="str">
        <f>IF(OR($A131="",$B131="",$I131="",$AS131="Determination Issued",$AS131="Rejected",$AS131="Open"),"",IF($AJ131="N/A","N/A",IF($I131="EOT",INDEX(Program_01!AS:AS,MATCH($B131,Program_01!A:A,0)),INDEX(Program_01!BC:BC,MATCH($B131,Program_01!A:A,0)))))</f>
        <v/>
      </c>
      <c r="AL131" s="51"/>
      <c r="AM131" s="184">
        <f>IFERROR(INDEX(Program_01!$BT:$BT,MATCH($B131,Program_01!$A:$A,0)),"")</f>
        <v>0</v>
      </c>
      <c r="AN131" s="184">
        <f>IFERROR(INDEX(Program_01!$BU:$BU,MATCH($B131,Program_01!$A:$A,0)),"")</f>
        <v>0</v>
      </c>
      <c r="AO131" s="184">
        <f>IFERROR(INDEX(Program_01!$BV:$BV,MATCH($B131,Program_01!$A:$A,0)),"")</f>
        <v>0</v>
      </c>
      <c r="AP131" s="51" t="str">
        <f t="shared" si="46"/>
        <v/>
      </c>
      <c r="AQ131" s="184">
        <f>IFERROR(INDEX(Program_01!$BN:$BN,MATCH($B131,Program_01!$A:$A,0)),"")</f>
        <v>0</v>
      </c>
      <c r="AR131" s="184" t="str">
        <f>IFERROR(INDEX(Program_01!$BO:$BO,MATCH($B131,Program_01!$A:$A,0)),"")</f>
        <v>Assessment Report Issued</v>
      </c>
      <c r="AS131" s="184" t="str">
        <f>IFERROR(INDEX(Program_01!$BP:$BP,MATCH($B131,Program_01!$A:$A,0)),"")</f>
        <v>Determination Issued</v>
      </c>
      <c r="AT131" s="185" t="str">
        <f>IFERROR(INDEX(Program_01!$BQ:$BQ,MATCH($B131,Program_01!$A:$A,0)),"")</f>
        <v>Closed</v>
      </c>
      <c r="AU131" s="179" t="str">
        <f>IFERROR(INDEX(Program_01!$BR:$BR,MATCH($B131,Program_01!$A:$A,0)),"")</f>
        <v>09 Mar 26: Draft response sent to claims team for review &amp; was sent back to commercial for issuance
06 Apr 26: Contractor has confirmed they do not agree with EAR as 1TB01005-005C24-PRA-LTR-0023 issued 14 Mar 26. It has requested a meeting to discuss and this will be arranged by end April. Following the meeting, formal determination to be issued.
17 Apr 26: Commercial &amp; Planning to have a meeting with the contractor to discuss &amp; explain the employer's assessment directly and move forward towards determination
20 Apr 26: Ditto
01 May 26: Planning to confirm there availability to meet with the Contractor
11 May 26: meeting to be arranged on the WC 17 May 26 (NE to speak with BK)
15 May 26: Site team awaiting confirmation on when to arrange meeting with Pangea
17 May 26: Planning team advised that the contractor should be requested to submit a single consolidated claim covering all relevant delay events up to the latest cut-off date, and a workshop meeting to be arranged to clarify the Employer’s requirements for a more efficient and comprehensive assessment of EOT and its concurrent delays
18 May 26: Comm to draft a letter reg the same and submit to claims team for review
31 May 26:Employer attended a meeting with the contractor on May 19, 2026 and explain the basis of its assessment. Subsequently, a letter ref. 1TB01005-005C24-AMA-LTR-0054 dated  27, May 2026 confirming the Contractor's entitlement as per our letter ref. 1TB01005-005C24-AMA-LTR-0047 dated 01 March 2026.
04 jun 26: Ditto
15 Jun 26: EAR to be revised based on the letter from contractor, comm to check if any additional info / particulars were provided
28 Jun 26: EAR determined 1TB01005-005C24-AMA-LTR-0054 and EI awarding time issued 1TB01005-005C24-AMA-LTR-0055. We now await Pangeas next Claim.
29 Jun 26: Rufino to clarify the diff in comments between 15 Jun and 28 jun
30 Jun 26: Contractor is still in disagreement and the employer issued determination &amp; EI accordingly</v>
      </c>
      <c r="AV131" s="186" t="str">
        <f t="shared" si="32"/>
        <v/>
      </c>
      <c r="AW131" s="186" t="str">
        <f t="shared" si="47"/>
        <v>CLOSED</v>
      </c>
      <c r="AX131" s="186" t="str">
        <f t="shared" si="33"/>
        <v>CLOSED</v>
      </c>
      <c r="AY131" s="181">
        <f t="shared" si="38"/>
        <v>46031</v>
      </c>
      <c r="AZ131" s="181">
        <f t="shared" si="54"/>
        <v>46065</v>
      </c>
      <c r="BA131" s="181">
        <f t="shared" si="4"/>
        <v>0</v>
      </c>
      <c r="BC131" s="181">
        <f>IFERROR(INDEX(Program_01!BF:BF,MATCH($B131,Program_01!$A:$A,0)),"")</f>
        <v>46031</v>
      </c>
      <c r="BD131" s="188">
        <f ca="1">IFERROR(INDEX(Program_01!BG:BG,MATCH($B131,Program_01!$A:$A,0)),"")</f>
        <v>269</v>
      </c>
      <c r="BE131" s="181">
        <f>IFERROR(INDEX(Program_01!BH:BH,MATCH($B131,Program_01!$A:$A,0)),"")</f>
        <v>0</v>
      </c>
      <c r="BF131" s="189">
        <f ca="1">IFERROR(INDEX(Program_01!BI:BI,MATCH($B131,Program_01!$A:$A,0)),"")</f>
        <v>0</v>
      </c>
      <c r="BG131" s="181">
        <f>IFERROR(INDEX(Program_01!BJ:BJ,MATCH($B131,Program_01!$A:$A,0)),"")</f>
        <v>0</v>
      </c>
      <c r="BH131" s="189">
        <f ca="1">IFERROR(INDEX(Program_01!BK:BK,MATCH($B131,Program_01!$A:$A,0)),"")</f>
        <v>0</v>
      </c>
      <c r="BI131" s="181">
        <f>IFERROR(INDEX(Program_01!BL:BL,MATCH($B131,Program_01!$A:$A,0)),"")</f>
        <v>0</v>
      </c>
      <c r="BK131" s="190">
        <f>IFERROR(IF(INDEX(Program_01!$BX:$BX,MATCH($B131,Program_01!$A:$A,0))=DATE(1900,1,0),"",INDEX(Program_01!$BX:$BX,MATCH($B131,Program_01!$A:$A,0))),"")</f>
        <v>46054</v>
      </c>
      <c r="BL131" s="190" t="str">
        <f>IFERROR(IF(INDEX(Program_01!$BY:$BY,MATCH($B131,Program_01!$A:$A,0))=DATE(1900,1,0),"",INDEX(Program_01!$BY:$BY,MATCH($B131,Program_01!$A:$A,0))),"")</f>
        <v/>
      </c>
      <c r="BM131" s="188">
        <f t="shared" ca="1" si="39"/>
        <v>34</v>
      </c>
      <c r="BN131" s="191">
        <f t="shared" ca="1" si="40"/>
        <v>34</v>
      </c>
      <c r="BO131" s="188">
        <f t="shared" ca="1" si="34"/>
        <v>34</v>
      </c>
      <c r="BP131" s="188" t="str">
        <f t="shared" si="6"/>
        <v>1</v>
      </c>
      <c r="BQ131" s="188" t="str">
        <f t="shared" ca="1" si="41"/>
        <v/>
      </c>
      <c r="BR131" s="181" t="str">
        <f t="shared" ca="1" si="55"/>
        <v/>
      </c>
      <c r="BT131" s="190" t="str">
        <f>IFERROR(IF(INDEX(Program_01!$BZ:$BZ,MATCH($B131,Program_01!$A:$A,0))=DATE(1900,1,0),"",INDEX(Program_01!$BZ:$BZ,MATCH($B131,Program_01!$A:$A,0))),"")</f>
        <v/>
      </c>
      <c r="BU131" s="182" t="str">
        <f t="shared" ca="1" si="48"/>
        <v/>
      </c>
      <c r="BV131" s="188" t="str">
        <f t="shared" ca="1" si="35"/>
        <v/>
      </c>
      <c r="BW131" s="188" t="str">
        <f t="shared" si="8"/>
        <v>1</v>
      </c>
      <c r="BX131" s="188" t="str">
        <f t="shared" ca="1" si="36"/>
        <v/>
      </c>
      <c r="BY131" s="181" t="str">
        <f t="shared" ca="1" si="56"/>
        <v/>
      </c>
      <c r="CA131" s="192" t="str">
        <f t="shared" si="49"/>
        <v>Y</v>
      </c>
      <c r="CB131" s="192" t="str">
        <f t="shared" si="50"/>
        <v>Y</v>
      </c>
      <c r="CC131" s="193">
        <f>IFERROR(INDEX(Program_01!$CE:$CE,MATCH($B131,Program_01!$A:$A,0)),"")</f>
        <v>46051</v>
      </c>
      <c r="CD131" s="193">
        <f t="shared" si="57"/>
        <v>46051</v>
      </c>
      <c r="CG131" s="194">
        <f>IFERROR(INDEX(Program_01!$AT:$AT,MATCH($B131,Program_01!$A:$A,0)),"")</f>
        <v>0</v>
      </c>
      <c r="CH131" s="194">
        <f>IFERROR(INDEX(Program_01!$AX:$AX,MATCH($B131,Program_01!$A:$A,0)),"")</f>
        <v>0</v>
      </c>
    </row>
    <row r="132" spans="1:86" s="187" customFormat="1" ht="219" customHeight="1">
      <c r="A132" s="174" t="s">
        <v>1</v>
      </c>
      <c r="B132" s="175">
        <f t="shared" si="42"/>
        <v>114</v>
      </c>
      <c r="C132" s="176" t="str">
        <f>IFERROR(INDEX(Program_01!$B:$B,MATCH($B132,Program_01!$A:$A,0)),"")</f>
        <v>FULL TIA EAR</v>
      </c>
      <c r="D132" s="176" t="str">
        <f>IFERROR(INDEX(Program_01!$D:$D,MATCH($B132,Program_01!$A:$A,0)),"")</f>
        <v>1TB01006C72</v>
      </c>
      <c r="E132" s="176" t="str">
        <f>IFERROR(INDEX(Program_01!$E:$E,MATCH($B132,Program_01!$A:$A,0)),"")</f>
        <v>1.TB.01.006.99</v>
      </c>
      <c r="F132" s="176" t="str">
        <f>IFERROR(INDEX(Program_01!$F:$F,MATCH($B132,Program_01!$A:$A,0)),"")</f>
        <v>Village Boutique Hotel</v>
      </c>
      <c r="G132" s="176" t="str">
        <f>IFERROR(INDEX(Program_01!$G:$G,MATCH($B132,Program_01!$A:$A,0)),"")</f>
        <v>Hard and Soft Landscape Works</v>
      </c>
      <c r="H132" s="176" t="str">
        <f>IFERROR(INDEX(Program_01!$H:$H,MATCH($B132,Program_01!$A:$A,0)),"")</f>
        <v>Nesma United Industries Co. Ltd.</v>
      </c>
      <c r="I132" s="176" t="str">
        <f t="shared" si="37"/>
        <v>EOT</v>
      </c>
      <c r="J132" s="176">
        <f>IFERROR(INDEX(Program_01!$I:$I,MATCH($B132,Program_01!$A:$A,0)),"")</f>
        <v>1</v>
      </c>
      <c r="K132" s="176">
        <f>IFERROR(INDEX(Program_01!$J:$J,MATCH($B132,Program_01!$A:$A,0)),"")</f>
        <v>0</v>
      </c>
      <c r="L132" s="176">
        <f>IFERROR(INDEX(Program_01!$K:$K,MATCH($B132,Program_01!$A:$A,0)),"")</f>
        <v>0</v>
      </c>
      <c r="M132" s="176">
        <f>IFERROR(INDEX(Program_01!$L:$L,MATCH($B132,Program_01!$A:$A,0)),"")</f>
        <v>0</v>
      </c>
      <c r="N132" s="176">
        <f>IFERROR(INDEX(Program_01!$L:$L,MATCH($B132,Program_01!$A:$A,0)),"")</f>
        <v>0</v>
      </c>
      <c r="O132" s="176">
        <f>IFERROR(INDEX(Program_01!$N:$N,MATCH($B132,Program_01!$A:$A,0)),"")</f>
        <v>0</v>
      </c>
      <c r="P132" s="178"/>
      <c r="Q132" s="179" t="str">
        <f>IFERROR(INDEX(Program_01!$C:$C,MATCH($B132,Program_01!$A:$A,0)),"")</f>
        <v xml:space="preserve">006C72 - Application for Extension of Time No.1 </v>
      </c>
      <c r="R132" s="176" t="str">
        <f>IFERROR(INDEX(Program_01!$V:$V,MATCH($B132,Program_01!$A:$A,0)),"")</f>
        <v>1TB01006-006C72-NUI-LTR-0005 
NUI01006-GENCORR-000010</v>
      </c>
      <c r="S132" s="180">
        <f>IFERROR(INDEX(Program_01!$W:$W,MATCH($B132,Program_01!$A:$A,0)),"")</f>
        <v>46055</v>
      </c>
      <c r="T132" s="178"/>
      <c r="U132" s="176">
        <f>IFERROR(INDEX(Program_01!$Z:$Z,MATCH($B132,Program_01!$A:$A,0)),"")</f>
        <v>0</v>
      </c>
      <c r="V132" s="181" t="str">
        <f>IFERROR(INDEX(Program_01!$AA:$AA,MATCH($B132,Program_01!$A:$A,0)),"")</f>
        <v>N/A</v>
      </c>
      <c r="W132" s="182" t="str">
        <f t="shared" ca="1" si="0"/>
        <v/>
      </c>
      <c r="X132" s="51"/>
      <c r="Y132" s="179">
        <f>IFERROR(INDEX(Program_01!$BD:$BD,MATCH($B132,Program_01!$A:$A,0)),"")</f>
        <v>0</v>
      </c>
      <c r="Z132" s="51"/>
      <c r="AA132" s="183" t="str">
        <f>IFERROR(IF((INDEX(Program_01!$AD:$AD,MATCH($B132,Program_01!$A:$A,0))=""),INDEX(Program_01!$V:$V,MATCH($B132,Program_01!$A:$A,0)),INDEX(Program_01!$AD:$AD,MATCH($B132,Program_01!$A:$A,0))),"")</f>
        <v>1TB01006-006C72-NUI-LTR-0005 
NUI01006-GENCORR-000010</v>
      </c>
      <c r="AB132" s="147">
        <f>IFERROR(IF((INDEX(Program_01!$AE:$AE,MATCH($B132,Program_01!$A:$A,0))=""),INDEX(Program_01!$W:$W,MATCH($B132,Program_01!$A:$A,0)),INDEX(Program_01!$AE:$AE,MATCH($B132,Program_01!$A:$A,0))),"")</f>
        <v>46055</v>
      </c>
      <c r="AC132" s="183" t="str">
        <f>IFERROR(IF($I132="EOT",INDEX(Program_01!$AN:$AN,MATCH($B132,Program_01!$A:$A,0)),INDEX(Program_01!$AY:$AY,MATCH($B132,Program_01!$A:$A,0))),"")</f>
        <v>AMA01006-WTRAN-138570
WF initiated in 18 May 2026 via WF-044184
KPI date +7 days
14 Jun 26: EAR issued to contractor via 1TB01-0006-006C72-AMA-LTR-00018</v>
      </c>
      <c r="AD132" s="181">
        <f>IFERROR(IF($I132="EOT",INDEX(Program_01!$AO:$AO,MATCH($B132,Program_01!$A:$A,0)),INDEX(Program_01!$AZ:$AZ,MATCH($B132,Program_01!$A:$A,0))),"")</f>
        <v>46167</v>
      </c>
      <c r="AE132" s="51"/>
      <c r="AF132" s="183"/>
      <c r="AG132" s="181"/>
      <c r="AH132" s="183">
        <f>IF(OR($D132="",$AS132="VO Issued",$AS132="Open"),"",IF(OR($AC132="Rejected",$AC132="Superseded",$AC132="Dealt Separately"),$AC132,IF($I132="EOT",INDEX(Program_01!$AR:$AR,MATCH($B132,Program_01!$A:$A,0)),INDEX(Program_01!$BB:$BB,MATCH($B132,Program_01!$A:$A,0)))))</f>
        <v>0</v>
      </c>
      <c r="AI132" s="181">
        <f>IF(OR($A132="",$B132="",$I132="",$AS132="VO Issued",$AS132="Open"),"",IF(OR($AD132="N/A"),$AD132,IF($I132="EOT",INDEX(Program_01!$AS:$AS,MATCH($B132,Program_01!$A:$A,0)),INDEX(Program_01!$BC:$BC,MATCH($B132,Program_01!$A:$A,0)))))</f>
        <v>0</v>
      </c>
      <c r="AJ132" s="183">
        <f>IF(OR($D132="",$I132="",$AS132="Determination Issued",$AS132="Rejected",$AS132="Open"),"",IF(OR($AH132="Rejected",$AH132="Dealt Separately",$AH132="Superseded",$AH132="Withdrawn"),"N/A",IF($I132="EOT",INDEX(Program_01!AR:AR,MATCH($B132,Program_01!A:A,0)),INDEX(Program_01!BB:BB,MATCH($B132,Program_01!A:A,0)))))</f>
        <v>0</v>
      </c>
      <c r="AK132" s="181">
        <f>IF(OR($A132="",$B132="",$I132="",$AS132="Determination Issued",$AS132="Rejected",$AS132="Open"),"",IF($AJ132="N/A","N/A",IF($I132="EOT",INDEX(Program_01!AS:AS,MATCH($B132,Program_01!A:A,0)),INDEX(Program_01!BC:BC,MATCH($B132,Program_01!A:A,0)))))</f>
        <v>0</v>
      </c>
      <c r="AL132" s="51"/>
      <c r="AM132" s="184">
        <f>IFERROR(INDEX(Program_01!$BT:$BT,MATCH($B132,Program_01!$A:$A,0)),"")</f>
        <v>0</v>
      </c>
      <c r="AN132" s="184">
        <f>IFERROR(INDEX(Program_01!$BU:$BU,MATCH($B132,Program_01!$A:$A,0)),"")</f>
        <v>0</v>
      </c>
      <c r="AO132" s="184">
        <f>IFERROR(INDEX(Program_01!$BV:$BV,MATCH($B132,Program_01!$A:$A,0)),"")</f>
        <v>0</v>
      </c>
      <c r="AP132" s="51" t="str">
        <f t="shared" si="46"/>
        <v/>
      </c>
      <c r="AQ132" s="184">
        <f>IFERROR(INDEX(Program_01!$BN:$BN,MATCH($B132,Program_01!$A:$A,0)),"")</f>
        <v>0</v>
      </c>
      <c r="AR132" s="184" t="str">
        <f>IFERROR(INDEX(Program_01!$BO:$BO,MATCH($B132,Program_01!$A:$A,0)),"")</f>
        <v>Assessment Report Issued</v>
      </c>
      <c r="AS132" s="184" t="str">
        <f>IFERROR(INDEX(Program_01!$BP:$BP,MATCH($B132,Program_01!$A:$A,0)),"")</f>
        <v>EI Issued</v>
      </c>
      <c r="AT132" s="185" t="str">
        <f>IFERROR(INDEX(Program_01!$BQ:$BQ,MATCH($B132,Program_01!$A:$A,0)),"")</f>
        <v>Closed</v>
      </c>
      <c r="AU132" s="179" t="str">
        <f>IFERROR(INDEX(Program_01!$BR:$BR,MATCH($B132,Program_01!$A:$A,0)),"")</f>
        <v>02 Feb 26: Contractor submitted new EOT-01 claim, 1TB01006-006C72-NUI-LTR-0005 &amp; supporting documents via NUI01006-GENCORR-000010. currently under review with commercial. 
09 Feb 26: EAR target to complete on 19 Feb 26
22 Feb 26: with BK, target for review 03 March
08 March 26: Currently under finalization with Rufino to address BK comments, target to finalize by  16 March 26
06 April 26: New date 13 April 26
18 April 26: Currently with BK , target date to send to NE 22 April
27 Apr 26: Draft EAR sent to claims team for review
02 May 2026: Under review by CLaim's team
04 May 26: Draft EAR sent to planning to incorporate TIA
11 May 26: TIA incorporated and sent to claims / commercial for finalisation
14 May 26: Final Draft EAR sent to claims team for pre-approval
17 May 26: EAR approved and sent to commercial to initiate WF
18 May 26: EAR put in WF for approval (WF-044184)
04 Jun 26: Ditto
14 Jun 26: EAR issued to contractor via 1TB01-0006-006C72-AMA-LTR-00018
15 Jun 26: awaiting response from contractor
28 Jun 26: Awaiting response from Contractor
12 Jul 26: Ditto
26 July 26: Awaiting response from Contractor
10 Aug 26: Ditto, Commercial to issue EI
02 Sept 26: EI prepared and sent to PMIS for Workflow. WF-047247
09 Sep 26: EI issued to contractor via 1TB01006-006C72-AMA-EMI-PM-0004 (AMA01006-EMPI-000052), contractor acknowledged via NUI01006-GENCORR-000028</v>
      </c>
      <c r="AV132" s="186" t="str">
        <f t="shared" si="32"/>
        <v/>
      </c>
      <c r="AW132" s="186" t="str">
        <f t="shared" si="47"/>
        <v>CLOSED</v>
      </c>
      <c r="AX132" s="186" t="str">
        <f t="shared" si="33"/>
        <v>CLOSED</v>
      </c>
      <c r="AY132" s="181">
        <f t="shared" si="38"/>
        <v>46055</v>
      </c>
      <c r="AZ132" s="181">
        <f t="shared" si="54"/>
        <v>46167</v>
      </c>
      <c r="BA132" s="181">
        <f t="shared" si="4"/>
        <v>0</v>
      </c>
      <c r="BC132" s="181">
        <f>IFERROR(INDEX(Program_01!BF:BF,MATCH($B132,Program_01!$A:$A,0)),"")</f>
        <v>46055</v>
      </c>
      <c r="BD132" s="188">
        <f ca="1">IFERROR(INDEX(Program_01!BG:BG,MATCH($B132,Program_01!$A:$A,0)),"")</f>
        <v>91</v>
      </c>
      <c r="BE132" s="181">
        <f>IFERROR(INDEX(Program_01!BH:BH,MATCH($B132,Program_01!$A:$A,0)),"")</f>
        <v>46146</v>
      </c>
      <c r="BF132" s="189">
        <f ca="1">IFERROR(INDEX(Program_01!BI:BI,MATCH($B132,Program_01!$A:$A,0)),"")</f>
        <v>7</v>
      </c>
      <c r="BG132" s="181">
        <f>IFERROR(INDEX(Program_01!BJ:BJ,MATCH($B132,Program_01!$A:$A,0)),"")</f>
        <v>46153</v>
      </c>
      <c r="BH132" s="189">
        <f ca="1">IFERROR(INDEX(Program_01!BK:BK,MATCH($B132,Program_01!$A:$A,0)),"")</f>
        <v>7</v>
      </c>
      <c r="BI132" s="181">
        <f>IFERROR(INDEX(Program_01!BL:BL,MATCH($B132,Program_01!$A:$A,0)),"")</f>
        <v>46160</v>
      </c>
      <c r="BK132" s="190">
        <f>IFERROR(IF(INDEX(Program_01!$BX:$BX,MATCH($B132,Program_01!$A:$A,0))=DATE(1900,1,0),"",INDEX(Program_01!$BX:$BX,MATCH($B132,Program_01!$A:$A,0))),"")</f>
        <v>46143</v>
      </c>
      <c r="BL132" s="190" t="str">
        <f>IFERROR(IF(INDEX(Program_01!$BY:$BY,MATCH($B132,Program_01!$A:$A,0))=DATE(1900,1,0),"",INDEX(Program_01!$BY:$BY,MATCH($B132,Program_01!$A:$A,0))),"")</f>
        <v/>
      </c>
      <c r="BM132" s="188">
        <f t="shared" ca="1" si="39"/>
        <v>112</v>
      </c>
      <c r="BN132" s="191">
        <f t="shared" ca="1" si="40"/>
        <v>112</v>
      </c>
      <c r="BO132" s="188">
        <f t="shared" ca="1" si="34"/>
        <v>112</v>
      </c>
      <c r="BP132" s="188" t="str">
        <f t="shared" si="6"/>
        <v>1</v>
      </c>
      <c r="BQ132" s="188" t="str">
        <f t="shared" ca="1" si="41"/>
        <v/>
      </c>
      <c r="BR132" s="181" t="str">
        <f t="shared" ca="1" si="55"/>
        <v/>
      </c>
      <c r="BT132" s="190" t="str">
        <f>IFERROR(IF(INDEX(Program_01!$BZ:$BZ,MATCH($B132,Program_01!$A:$A,0))=DATE(1900,1,0),"",INDEX(Program_01!$BZ:$BZ,MATCH($B132,Program_01!$A:$A,0))),"")</f>
        <v/>
      </c>
      <c r="BU132" s="182" t="str">
        <f t="shared" ca="1" si="48"/>
        <v/>
      </c>
      <c r="BV132" s="188" t="str">
        <f t="shared" si="35"/>
        <v/>
      </c>
      <c r="BW132" s="188" t="str">
        <f t="shared" si="8"/>
        <v>1</v>
      </c>
      <c r="BX132" s="188" t="str">
        <f t="shared" ca="1" si="36"/>
        <v/>
      </c>
      <c r="BY132" s="181" t="str">
        <f t="shared" ca="1" si="56"/>
        <v/>
      </c>
      <c r="CA132" s="192" t="str">
        <f t="shared" si="49"/>
        <v>Y</v>
      </c>
      <c r="CB132" s="192" t="str">
        <f t="shared" si="50"/>
        <v>N</v>
      </c>
      <c r="CC132" s="193">
        <f>IFERROR(INDEX(Program_01!$CE:$CE,MATCH($B132,Program_01!$A:$A,0)),"")</f>
        <v>46055</v>
      </c>
      <c r="CD132" s="193">
        <f t="shared" si="57"/>
        <v>46055</v>
      </c>
      <c r="CG132" s="194">
        <f>IFERROR(INDEX(Program_01!$AT:$AT,MATCH($B132,Program_01!$A:$A,0)),"")</f>
        <v>0</v>
      </c>
      <c r="CH132" s="194">
        <f>IFERROR(INDEX(Program_01!$AX:$AX,MATCH($B132,Program_01!$A:$A,0)),"")</f>
        <v>0</v>
      </c>
    </row>
    <row r="133" spans="1:86" s="187" customFormat="1" ht="266.5" customHeight="1">
      <c r="A133" s="174" t="s">
        <v>1</v>
      </c>
      <c r="B133" s="175">
        <f t="shared" si="42"/>
        <v>115</v>
      </c>
      <c r="C133" s="176" t="str">
        <f>IFERROR(INDEX(Program_01!$B:$B,MATCH($B133,Program_01!$A:$A,0)),"")</f>
        <v>FULL TIA EAR</v>
      </c>
      <c r="D133" s="176" t="str">
        <f>IFERROR(INDEX(Program_01!$D:$D,MATCH($B133,Program_01!$A:$A,0)),"")</f>
        <v>1TB01003C08</v>
      </c>
      <c r="E133" s="176" t="str">
        <f>IFERROR(INDEX(Program_01!$E:$E,MATCH($B133,Program_01!$A:$A,0)),"")</f>
        <v>1.TB.01.003.01</v>
      </c>
      <c r="F133" s="176" t="str">
        <f>IFERROR(INDEX(Program_01!$F:$F,MATCH($B133,Program_01!$A:$A,0)),"")</f>
        <v xml:space="preserve">AMAALA Yacht Club </v>
      </c>
      <c r="G133" s="176" t="str">
        <f>IFERROR(INDEX(Program_01!$G:$G,MATCH($B133,Program_01!$A:$A,0)),"")</f>
        <v>Kitchen &amp; Laundry Works</v>
      </c>
      <c r="H133" s="176" t="str">
        <f>IFERROR(INDEX(Program_01!$H:$H,MATCH($B133,Program_01!$A:$A,0)),"")</f>
        <v>Abdulaziz Al Raqtan and Partners Company for Trading and Industry Company</v>
      </c>
      <c r="I133" s="176" t="str">
        <f t="shared" si="37"/>
        <v>EOT</v>
      </c>
      <c r="J133" s="176">
        <f>IFERROR(INDEX(Program_01!$I:$I,MATCH($B133,Program_01!$A:$A,0)),"")</f>
        <v>1</v>
      </c>
      <c r="K133" s="176">
        <f>IFERROR(INDEX(Program_01!$J:$J,MATCH($B133,Program_01!$A:$A,0)),"")</f>
        <v>0</v>
      </c>
      <c r="L133" s="176">
        <f>IFERROR(INDEX(Program_01!$K:$K,MATCH($B133,Program_01!$A:$A,0)),"")</f>
        <v>0</v>
      </c>
      <c r="M133" s="176">
        <f>IFERROR(INDEX(Program_01!$L:$L,MATCH($B133,Program_01!$A:$A,0)),"")</f>
        <v>0</v>
      </c>
      <c r="N133" s="176">
        <f>IFERROR(INDEX(Program_01!$L:$L,MATCH($B133,Program_01!$A:$A,0)),"")</f>
        <v>0</v>
      </c>
      <c r="O133" s="176">
        <f>IFERROR(INDEX(Program_01!$N:$N,MATCH($B133,Program_01!$A:$A,0)),"")</f>
        <v>0</v>
      </c>
      <c r="P133" s="178"/>
      <c r="Q133" s="179" t="str">
        <f>IFERROR(INDEX(Program_01!$C:$C,MATCH($B133,Program_01!$A:$A,0)),"")</f>
        <v>EOT_AYC Extension of Time Claim EOT No.2 up to cut-off 25 Oct 2025</v>
      </c>
      <c r="R133" s="176" t="str">
        <f>IFERROR(INDEX(Program_01!$V:$V,MATCH($B133,Program_01!$A:$A,0)),"")</f>
        <v xml:space="preserve">1TB01003-003C08-RQN-LTR-0006 
RQN01003-TRANSMIT-000300 </v>
      </c>
      <c r="S133" s="180">
        <f>IFERROR(INDEX(Program_01!$W:$W,MATCH($B133,Program_01!$A:$A,0)),"")</f>
        <v>46021</v>
      </c>
      <c r="T133" s="178"/>
      <c r="U133" s="176">
        <f>IFERROR(INDEX(Program_01!$Z:$Z,MATCH($B133,Program_01!$A:$A,0)),"")</f>
        <v>0</v>
      </c>
      <c r="V133" s="181" t="str">
        <f>IFERROR(INDEX(Program_01!$AA:$AA,MATCH($B133,Program_01!$A:$A,0)),"")</f>
        <v>N/A</v>
      </c>
      <c r="W133" s="182" t="str">
        <f t="shared" ca="1" si="0"/>
        <v/>
      </c>
      <c r="X133" s="51"/>
      <c r="Y133" s="179">
        <f>IFERROR(INDEX(Program_01!$BD:$BD,MATCH($B133,Program_01!$A:$A,0)),"")</f>
        <v>0</v>
      </c>
      <c r="Z133" s="51"/>
      <c r="AA133" s="183" t="str">
        <f>IFERROR(IF((INDEX(Program_01!$AD:$AD,MATCH($B133,Program_01!$A:$A,0))=""),INDEX(Program_01!$V:$V,MATCH($B133,Program_01!$A:$A,0)),INDEX(Program_01!$AD:$AD,MATCH($B133,Program_01!$A:$A,0))),"")</f>
        <v xml:space="preserve">1TB01003-003C08-RQN-LTR-0006 
RQN01003-TRANSMIT-000300 </v>
      </c>
      <c r="AB133" s="147">
        <f>IFERROR(IF((INDEX(Program_01!$AE:$AE,MATCH($B133,Program_01!$A:$A,0))=""),INDEX(Program_01!$W:$W,MATCH($B133,Program_01!$A:$A,0)),INDEX(Program_01!$AE:$AE,MATCH($B133,Program_01!$A:$A,0))),"")</f>
        <v>46021</v>
      </c>
      <c r="AC133" s="183" t="str">
        <f>IFERROR(IF($I133="EOT",INDEX(Program_01!$AN:$AN,MATCH($B133,Program_01!$A:$A,0)),INDEX(Program_01!$AY:$AY,MATCH($B133,Program_01!$A:$A,0))),"")</f>
        <v>WF initiated on 24 Jun 26 via WF-021678
1TB01003-003C08-AMA-RPT-PM-0002
KPI date considered + 7 days
11 Jul 26:  EAR  issued to Contractor on 11 July 26 (Ref. 1TB01003-003C08-AMA-LTR-0047)</v>
      </c>
      <c r="AD133" s="181">
        <f>IFERROR(IF($I133="EOT",INDEX(Program_01!$AO:$AO,MATCH($B133,Program_01!$A:$A,0)),INDEX(Program_01!$AZ:$AZ,MATCH($B133,Program_01!$A:$A,0))),"")</f>
        <v>46204</v>
      </c>
      <c r="AE133" s="51"/>
      <c r="AF133" s="183"/>
      <c r="AG133" s="181"/>
      <c r="AH133" s="183">
        <f>IF(OR($D133="",$AS133="VO Issued",$AS133="Open"),"",IF(OR($AC133="Rejected",$AC133="Superseded",$AC133="Dealt Separately"),$AC133,IF($I133="EOT",INDEX(Program_01!$AR:$AR,MATCH($B133,Program_01!$A:$A,0)),INDEX(Program_01!$BB:$BB,MATCH($B133,Program_01!$A:$A,0)))))</f>
        <v>0</v>
      </c>
      <c r="AI133" s="181">
        <f>IF(OR($A133="",$B133="",$I133="",$AS133="VO Issued",$AS133="Open"),"",IF(OR($AD133="N/A"),$AD133,IF($I133="EOT",INDEX(Program_01!$AS:$AS,MATCH($B133,Program_01!$A:$A,0)),INDEX(Program_01!$BC:$BC,MATCH($B133,Program_01!$A:$A,0)))))</f>
        <v>0</v>
      </c>
      <c r="AJ133" s="183">
        <f>IF(OR($D133="",$I133="",$AS133="Determination Issued",$AS133="Rejected",$AS133="Open"),"",IF(OR($AH133="Rejected",$AH133="Dealt Separately",$AH133="Superseded",$AH133="Withdrawn"),"N/A",IF($I133="EOT",INDEX(Program_01!AR:AR,MATCH($B133,Program_01!A:A,0)),INDEX(Program_01!BB:BB,MATCH($B133,Program_01!A:A,0)))))</f>
        <v>0</v>
      </c>
      <c r="AK133" s="181">
        <f>IF(OR($A133="",$B133="",$I133="",$AS133="Determination Issued",$AS133="Rejected",$AS133="Open"),"",IF($AJ133="N/A","N/A",IF($I133="EOT",INDEX(Program_01!AS:AS,MATCH($B133,Program_01!A:A,0)),INDEX(Program_01!BC:BC,MATCH($B133,Program_01!A:A,0)))))</f>
        <v>0</v>
      </c>
      <c r="AL133" s="51"/>
      <c r="AM133" s="184">
        <f>IFERROR(INDEX(Program_01!$BT:$BT,MATCH($B133,Program_01!$A:$A,0)),"")</f>
        <v>0</v>
      </c>
      <c r="AN133" s="184">
        <f>IFERROR(INDEX(Program_01!$BU:$BU,MATCH($B133,Program_01!$A:$A,0)),"")</f>
        <v>0</v>
      </c>
      <c r="AO133" s="184">
        <f>IFERROR(INDEX(Program_01!$BV:$BV,MATCH($B133,Program_01!$A:$A,0)),"")</f>
        <v>0</v>
      </c>
      <c r="AP133" s="51" t="str">
        <f t="shared" si="46"/>
        <v/>
      </c>
      <c r="AQ133" s="184">
        <f>IFERROR(INDEX(Program_01!$BN:$BN,MATCH($B133,Program_01!$A:$A,0)),"")</f>
        <v>0</v>
      </c>
      <c r="AR133" s="184" t="str">
        <f>IFERROR(INDEX(Program_01!$BO:$BO,MATCH($B133,Program_01!$A:$A,0)),"")</f>
        <v>Assessment Report Issued</v>
      </c>
      <c r="AS133" s="184" t="str">
        <f>IFERROR(INDEX(Program_01!$BP:$BP,MATCH($B133,Program_01!$A:$A,0)),"")</f>
        <v>EI Issued</v>
      </c>
      <c r="AT133" s="185" t="str">
        <f>IFERROR(INDEX(Program_01!$BQ:$BQ,MATCH($B133,Program_01!$A:$A,0)),"")</f>
        <v>Closed</v>
      </c>
      <c r="AU133" s="179" t="str">
        <f>IFERROR(INDEX(Program_01!$BR:$BR,MATCH($B133,Program_01!$A:$A,0)),"")</f>
        <v>02 Feb 26: Contractor submitted new EOT-02 claim via RQN01003-TRANSMIT-000300 on 30 Dec 25. Currently under review with commercial
09 Feb 26:  Under review by commercial. EAR target to complete by 19 Feb 26
21 Feb 26: Ditto, target by 28 Fev 26.
08 Mar 26: Ditto, target by 14 Mar 26.
06 Apr 26: Ditto, target  19 Apr 26.
19 April 26: target date 30 April 26
04 May 26: Commercial is waiting for information from the Delivery Team regarding  access delays to finalise the EAR. Target 10 May 26
13 May 26: Draft EAR sent to claims for review
17 May 26: EAR sent to Planning team to commence TIA (shaju to update)
04 Jun 26: Ditto
08 Jun 26: Target by 16 Jun 26
11 Jun 26: TIA incorporated and sent to claims team
12 Jun 26: EAR send to commercial for finalisation
13 Jun 26: Final Draft EAr sent to claims team for approval
15 Jun 26: Ditto, Under offiline approval with claims
24 Jun 26: EAR put in WF via WF-021678 .
30 Jun 26: further comments to amend para 1.13 was advised by Claims ED to reinitite WF
11 Jul 26:  EAR  issued to Contractor on 11 July 26 (Ref. 1TB01003-003C08-AMA-LTR-0047)
26 July 26: Awaiting response from Contractor
02 Aug 26: Raqtan accepted the EAR and noted to submit the prolongation cost (RQN01003-TRANSMIT-000357)
02 Aug 26: Employer requested Raqtan to submit analysis of concurrent delays, pior to submission of prolongation cost (AMA01003-GENCORR-001594)
06 Aug 26: Ratan responded that the awarded 215 EOT #2 days already covered the concurrent delays (RQN01003-GENCORR-000053)
06 Aug 26: Raqtan's response along with the attachments (Condurrency Position, Employer Window Table, Concurrent Delay Response) are forwarded by the Commercial Team via email to the Planning Team for review.
12 Aug 26: EI put in workflow (WF-022304)
17 Aug 26: EI issued via AMA01003-EMPI-000007</v>
      </c>
      <c r="AV133" s="186" t="str">
        <f t="shared" si="32"/>
        <v/>
      </c>
      <c r="AW133" s="186" t="str">
        <f t="shared" si="47"/>
        <v>CLOSED</v>
      </c>
      <c r="AX133" s="186" t="str">
        <f t="shared" si="33"/>
        <v>CLOSED</v>
      </c>
      <c r="AY133" s="181">
        <f t="shared" si="38"/>
        <v>46021</v>
      </c>
      <c r="AZ133" s="181">
        <f t="shared" si="54"/>
        <v>46204</v>
      </c>
      <c r="BA133" s="181">
        <f t="shared" si="4"/>
        <v>0</v>
      </c>
      <c r="BC133" s="181">
        <f>IFERROR(INDEX(Program_01!BF:BF,MATCH($B133,Program_01!$A:$A,0)),"")</f>
        <v>46021</v>
      </c>
      <c r="BD133" s="188" t="str">
        <f ca="1">IFERROR(INDEX(Program_01!BG:BG,MATCH($B133,Program_01!$A:$A,0)),"")</f>
        <v>N/A</v>
      </c>
      <c r="BE133" s="181">
        <f>IFERROR(INDEX(Program_01!BH:BH,MATCH($B133,Program_01!$A:$A,0)),"")</f>
        <v>46159</v>
      </c>
      <c r="BF133" s="189">
        <f ca="1">IFERROR(INDEX(Program_01!BI:BI,MATCH($B133,Program_01!$A:$A,0)),"")</f>
        <v>25</v>
      </c>
      <c r="BG133" s="181">
        <f>IFERROR(INDEX(Program_01!BJ:BJ,MATCH($B133,Program_01!$A:$A,0)),"")</f>
        <v>46184</v>
      </c>
      <c r="BH133" s="189">
        <f ca="1">IFERROR(INDEX(Program_01!BK:BK,MATCH($B133,Program_01!$A:$A,0)),"")</f>
        <v>13</v>
      </c>
      <c r="BI133" s="181">
        <f>IFERROR(INDEX(Program_01!BL:BL,MATCH($B133,Program_01!$A:$A,0)),"")</f>
        <v>46197</v>
      </c>
      <c r="BK133" s="190">
        <f>IFERROR(IF(INDEX(Program_01!$BX:$BX,MATCH($B133,Program_01!$A:$A,0))=DATE(1900,1,0),"",INDEX(Program_01!$BX:$BX,MATCH($B133,Program_01!$A:$A,0))),"")</f>
        <v>46204</v>
      </c>
      <c r="BL133" s="190" t="str">
        <f>IFERROR(IF(INDEX(Program_01!$BY:$BY,MATCH($B133,Program_01!$A:$A,0))=DATE(1900,1,0),"",INDEX(Program_01!$BY:$BY,MATCH($B133,Program_01!$A:$A,0))),"")</f>
        <v/>
      </c>
      <c r="BM133" s="188">
        <f t="shared" ca="1" si="39"/>
        <v>183</v>
      </c>
      <c r="BN133" s="191">
        <f t="shared" ca="1" si="40"/>
        <v>183</v>
      </c>
      <c r="BO133" s="188">
        <f t="shared" ca="1" si="34"/>
        <v>183</v>
      </c>
      <c r="BP133" s="188" t="str">
        <f t="shared" si="6"/>
        <v>1</v>
      </c>
      <c r="BQ133" s="188" t="str">
        <f t="shared" ca="1" si="41"/>
        <v/>
      </c>
      <c r="BR133" s="181" t="str">
        <f t="shared" ca="1" si="55"/>
        <v/>
      </c>
      <c r="BT133" s="190" t="str">
        <f>IFERROR(IF(INDEX(Program_01!$BZ:$BZ,MATCH($B133,Program_01!$A:$A,0))=DATE(1900,1,0),"",INDEX(Program_01!$BZ:$BZ,MATCH($B133,Program_01!$A:$A,0))),"")</f>
        <v/>
      </c>
      <c r="BU133" s="182" t="str">
        <f t="shared" ca="1" si="48"/>
        <v/>
      </c>
      <c r="BV133" s="188" t="str">
        <f t="shared" si="35"/>
        <v/>
      </c>
      <c r="BW133" s="188" t="str">
        <f t="shared" si="8"/>
        <v>1</v>
      </c>
      <c r="BX133" s="188" t="str">
        <f t="shared" ca="1" si="36"/>
        <v/>
      </c>
      <c r="BY133" s="181" t="str">
        <f t="shared" ca="1" si="56"/>
        <v/>
      </c>
      <c r="CA133" s="192" t="str">
        <f t="shared" si="49"/>
        <v>Y</v>
      </c>
      <c r="CB133" s="192" t="str">
        <f t="shared" si="50"/>
        <v>N</v>
      </c>
      <c r="CC133" s="193">
        <f>IFERROR(INDEX(Program_01!$CE:$CE,MATCH($B133,Program_01!$A:$A,0)),"")</f>
        <v>46055</v>
      </c>
      <c r="CD133" s="193">
        <f t="shared" si="57"/>
        <v>46055</v>
      </c>
      <c r="CG133" s="194">
        <f>IFERROR(INDEX(Program_01!$AT:$AT,MATCH($B133,Program_01!$A:$A,0)),"")</f>
        <v>0</v>
      </c>
      <c r="CH133" s="194">
        <f>IFERROR(INDEX(Program_01!$AX:$AX,MATCH($B133,Program_01!$A:$A,0)),"")</f>
        <v>0</v>
      </c>
    </row>
    <row r="134" spans="1:86" s="187" customFormat="1" ht="395.25" customHeight="1">
      <c r="A134" s="174" t="s">
        <v>1</v>
      </c>
      <c r="B134" s="175">
        <f t="shared" si="42"/>
        <v>116</v>
      </c>
      <c r="C134" s="176" t="str">
        <f>IFERROR(INDEX(Program_01!$B:$B,MATCH($B134,Program_01!$A:$A,0)),"")</f>
        <v>FULL TIA EAR</v>
      </c>
      <c r="D134" s="176" t="str">
        <f>IFERROR(INDEX(Program_01!$D:$D,MATCH($B134,Program_01!$A:$A,0)),"")</f>
        <v>1TB01006C64</v>
      </c>
      <c r="E134" s="176" t="str">
        <f>IFERROR(INDEX(Program_01!$E:$E,MATCH($B134,Program_01!$A:$A,0)),"")</f>
        <v>1.TB.01.006.03</v>
      </c>
      <c r="F134" s="176" t="str">
        <f>IFERROR(INDEX(Program_01!$F:$F,MATCH($B134,Program_01!$A:$A,0)),"")</f>
        <v>Village Boutique Hotel</v>
      </c>
      <c r="G134" s="176" t="str">
        <f>IFERROR(INDEX(Program_01!$G:$G,MATCH($B134,Program_01!$A:$A,0)),"")</f>
        <v>Supply of Composite Panels</v>
      </c>
      <c r="H134" s="176" t="str">
        <f>IFERROR(INDEX(Program_01!$H:$H,MATCH($B134,Program_01!$A:$A,0)),"")</f>
        <v>Nova Composites Manufcturing L.L.C</v>
      </c>
      <c r="I134" s="176" t="str">
        <f t="shared" si="37"/>
        <v>EOT</v>
      </c>
      <c r="J134" s="176">
        <f>IFERROR(INDEX(Program_01!$I:$I,MATCH($B134,Program_01!$A:$A,0)),"")</f>
        <v>1</v>
      </c>
      <c r="K134" s="176">
        <f>IFERROR(INDEX(Program_01!$J:$J,MATCH($B134,Program_01!$A:$A,0)),"")</f>
        <v>0</v>
      </c>
      <c r="L134" s="176">
        <f>IFERROR(INDEX(Program_01!$K:$K,MATCH($B134,Program_01!$A:$A,0)),"")</f>
        <v>0</v>
      </c>
      <c r="M134" s="176">
        <f>IFERROR(INDEX(Program_01!$L:$L,MATCH($B134,Program_01!$A:$A,0)),"")</f>
        <v>0</v>
      </c>
      <c r="N134" s="176">
        <f>IFERROR(INDEX(Program_01!$L:$L,MATCH($B134,Program_01!$A:$A,0)),"")</f>
        <v>0</v>
      </c>
      <c r="O134" s="176">
        <f>IFERROR(INDEX(Program_01!$N:$N,MATCH($B134,Program_01!$A:$A,0)),"")</f>
        <v>0</v>
      </c>
      <c r="P134" s="178"/>
      <c r="Q134" s="179" t="str">
        <f>IFERROR(INDEX(Program_01!$C:$C,MATCH($B134,Program_01!$A:$A,0)),"")</f>
        <v xml:space="preserve">Contractor's Extension of Time (EOT) - 01 </v>
      </c>
      <c r="R134" s="176" t="str">
        <f>IFERROR(INDEX(Program_01!$V:$V,MATCH($B134,Program_01!$A:$A,0)),"")</f>
        <v xml:space="preserve">1TB01006-006C64-NVA-LTR-0013 </v>
      </c>
      <c r="S134" s="180">
        <f>IFERROR(INDEX(Program_01!$W:$W,MATCH($B134,Program_01!$A:$A,0)),"")</f>
        <v>46059</v>
      </c>
      <c r="T134" s="178"/>
      <c r="U134" s="176" t="str">
        <f>IFERROR(INDEX(Program_01!$Z:$Z,MATCH($B134,Program_01!$A:$A,0)),"")</f>
        <v>1TB01006-006C64-AMA-LTR-0026</v>
      </c>
      <c r="V134" s="181">
        <f>IFERROR(INDEX(Program_01!$AA:$AA,MATCH($B134,Program_01!$A:$A,0)),"")</f>
        <v>46077</v>
      </c>
      <c r="W134" s="182">
        <f t="shared" ca="1" si="0"/>
        <v>18</v>
      </c>
      <c r="X134" s="51"/>
      <c r="Y134" s="179">
        <f>IFERROR(INDEX(Program_01!$BD:$BD,MATCH($B134,Program_01!$A:$A,0)),"")</f>
        <v>0</v>
      </c>
      <c r="Z134" s="51"/>
      <c r="AA134" s="183" t="str">
        <f>IFERROR(IF((INDEX(Program_01!$AD:$AD,MATCH($B134,Program_01!$A:$A,0))=""),INDEX(Program_01!$V:$V,MATCH($B134,Program_01!$A:$A,0)),INDEX(Program_01!$AD:$AD,MATCH($B134,Program_01!$A:$A,0))),"")</f>
        <v>1TB01006-006C64-NVA-LTR-0018</v>
      </c>
      <c r="AB134" s="147">
        <f>IFERROR(IF((INDEX(Program_01!$AE:$AE,MATCH($B134,Program_01!$A:$A,0))=""),INDEX(Program_01!$W:$W,MATCH($B134,Program_01!$A:$A,0)),INDEX(Program_01!$AE:$AE,MATCH($B134,Program_01!$A:$A,0))),"")</f>
        <v>46218</v>
      </c>
      <c r="AC134" s="183">
        <f>IFERROR(IF($I134="EOT",INDEX(Program_01!$AN:$AN,MATCH($B134,Program_01!$A:$A,0)),INDEX(Program_01!$AY:$AY,MATCH($B134,Program_01!$A:$A,0))),"")</f>
        <v>0</v>
      </c>
      <c r="AD134" s="181">
        <f>IFERROR(IF($I134="EOT",INDEX(Program_01!$AO:$AO,MATCH($B134,Program_01!$A:$A,0)),INDEX(Program_01!$AZ:$AZ,MATCH($B134,Program_01!$A:$A,0))),"")</f>
        <v>0</v>
      </c>
      <c r="AE134" s="51"/>
      <c r="AF134" s="183"/>
      <c r="AG134" s="181"/>
      <c r="AH134" s="183" t="str">
        <f>IF(OR($D134="",$AS134="VO Issued",$AS134="Open"),"",IF(OR($AC134="Rejected",$AC134="Superseded",$AC134="Dealt Separately"),$AC134,IF($I134="EOT",INDEX(Program_01!$AR:$AR,MATCH($B134,Program_01!$A:$A,0)),INDEX(Program_01!$BB:$BB,MATCH($B134,Program_01!$A:$A,0)))))</f>
        <v/>
      </c>
      <c r="AI134" s="181" t="str">
        <f>IF(OR($A134="",$B134="",$I134="",$AS134="VO Issued",$AS134="Open"),"",IF(OR($AD134="N/A"),$AD134,IF($I134="EOT",INDEX(Program_01!$AS:$AS,MATCH($B134,Program_01!$A:$A,0)),INDEX(Program_01!$BC:$BC,MATCH($B134,Program_01!$A:$A,0)))))</f>
        <v/>
      </c>
      <c r="AJ134" s="183" t="str">
        <f>IF(OR($D134="",$I134="",$AS134="Determination Issued",$AS134="Rejected",$AS134="Open"),"",IF(OR($AH134="Rejected",$AH134="Dealt Separately",$AH134="Superseded",$AH134="Withdrawn"),"N/A",IF($I134="EOT",INDEX(Program_01!AR:AR,MATCH($B134,Program_01!A:A,0)),INDEX(Program_01!BB:BB,MATCH($B134,Program_01!A:A,0)))))</f>
        <v/>
      </c>
      <c r="AK134" s="181" t="str">
        <f>IF(OR($A134="",$B134="",$I134="",$AS134="Determination Issued",$AS134="Rejected",$AS134="Open"),"",IF($AJ134="N/A","N/A",IF($I134="EOT",INDEX(Program_01!AS:AS,MATCH($B134,Program_01!A:A,0)),INDEX(Program_01!BC:BC,MATCH($B134,Program_01!A:A,0)))))</f>
        <v/>
      </c>
      <c r="AL134" s="51"/>
      <c r="AM134" s="184">
        <f>IFERROR(INDEX(Program_01!$BT:$BT,MATCH($B134,Program_01!$A:$A,0)),"")</f>
        <v>0</v>
      </c>
      <c r="AN134" s="184">
        <f>IFERROR(INDEX(Program_01!$BU:$BU,MATCH($B134,Program_01!$A:$A,0)),"")</f>
        <v>0</v>
      </c>
      <c r="AO134" s="184">
        <f>IFERROR(INDEX(Program_01!$BV:$BV,MATCH($B134,Program_01!$A:$A,0)),"")</f>
        <v>0</v>
      </c>
      <c r="AP134" s="51" t="str">
        <f t="shared" si="46"/>
        <v/>
      </c>
      <c r="AQ134" s="184">
        <f>IFERROR(INDEX(Program_01!$BN:$BN,MATCH($B134,Program_01!$A:$A,0)),"")</f>
        <v>0</v>
      </c>
      <c r="AR134" s="184" t="str">
        <f>IFERROR(INDEX(Program_01!$BO:$BO,MATCH($B134,Program_01!$A:$A,0)),"")</f>
        <v>Pending</v>
      </c>
      <c r="AS134" s="184" t="str">
        <f>IFERROR(INDEX(Program_01!$BP:$BP,MATCH($B134,Program_01!$A:$A,0)),"")</f>
        <v>Open</v>
      </c>
      <c r="AT134" s="185" t="str">
        <f>IFERROR(INDEX(Program_01!$BQ:$BQ,MATCH($B134,Program_01!$A:$A,0)),"")</f>
        <v>Commercial Team</v>
      </c>
      <c r="AU134" s="179" t="str">
        <f>IFERROR(INDEX(Program_01!$BR:$BR,MATCH($B134,Program_01!$A:$A,0)),"")</f>
        <v>17 Feb 26: Contractor submitted EOT-01 on 06 Feb 26 with partial cost implications via NVA01006-TRANSMIT-000081 (1TB01006-006C64-NVA-LTR-0013), under review with commercial, commercial to issue initial response, claim with planning to check whether the submission is in compliance
24 Feb 26: Initial response in WF-041463
08 March 26: Letter to revise and resubmit issued on 24 Feb 26 (Ref: 1TB01006-006C64-AMA-LTR-0026)
06 Apr 26: Ditto
18 April 26: Awaiting Contractor's revised submission
04 May 2026: Ditto
18 May 2026: Ditto
31 May 26: Ditto
04 Jun 26: Ditto
15 Jun 26: Commercial to issue follow up letter
28 Jun 26: Follow up letter for revised claim under WF-045031 - 1TB01006-006C58-AMA-LTR-0031
11 Jul 26: Follow-up Letter issued to COntractor on 01 July 26 (1TB01006-006C64-AMA-LTR-0031)
26 July 26: Contractor submitted revised EOT 01 on 15 July 26 (ref. 1TB01006-006C64-NVA-LTR-0018 )- under commercial review, target to issue initial response by 13 August 2026 
10 Aug 26: Ditto
24 Aug 26:  Commercial to confirm target date TBC
07 Sept 26: Contractor withdraw the EOT (1TB01006-006C64-NVA-LTR-0020) with a condition that no delay LDS shall be imposed or recovered against NOVA. Written confirmation from Employer is requested by the Contractor.
07 Sept 26: Claims to respond to Contractor's request not to impose LD's
08 Sep 26: Claims team advised to process HLEAR to identify if the contractor infact have any entitlement
21 Sep 26: under process with commercial
05 Oct 26: HLAR is under process by commercial team</v>
      </c>
      <c r="AV134" s="186" t="str">
        <f t="shared" si="32"/>
        <v/>
      </c>
      <c r="AW134" s="186" t="str">
        <f t="shared" si="47"/>
        <v>OPEN</v>
      </c>
      <c r="AX134" s="186" t="str">
        <f t="shared" si="33"/>
        <v>OPEN</v>
      </c>
      <c r="AY134" s="181">
        <f t="shared" si="38"/>
        <v>46218</v>
      </c>
      <c r="AZ134" s="181" t="str">
        <f t="shared" si="54"/>
        <v/>
      </c>
      <c r="BA134" s="181" t="str">
        <f t="shared" si="4"/>
        <v/>
      </c>
      <c r="BC134" s="181">
        <f>IFERROR(INDEX(Program_01!BF:BF,MATCH($B134,Program_01!$A:$A,0)),"")</f>
        <v>46218</v>
      </c>
      <c r="BD134" s="188">
        <f ca="1">IFERROR(INDEX(Program_01!BG:BG,MATCH($B134,Program_01!$A:$A,0)),"")</f>
        <v>82</v>
      </c>
      <c r="BE134" s="181">
        <f>IFERROR(INDEX(Program_01!BH:BH,MATCH($B134,Program_01!$A:$A,0)),"")</f>
        <v>0</v>
      </c>
      <c r="BF134" s="189">
        <f ca="1">IFERROR(INDEX(Program_01!BI:BI,MATCH($B134,Program_01!$A:$A,0)),"")</f>
        <v>0</v>
      </c>
      <c r="BG134" s="181">
        <f>IFERROR(INDEX(Program_01!BJ:BJ,MATCH($B134,Program_01!$A:$A,0)),"")</f>
        <v>0</v>
      </c>
      <c r="BH134" s="189">
        <f ca="1">IFERROR(INDEX(Program_01!BK:BK,MATCH($B134,Program_01!$A:$A,0)),"")</f>
        <v>0</v>
      </c>
      <c r="BI134" s="181">
        <f>IFERROR(INDEX(Program_01!BL:BL,MATCH($B134,Program_01!$A:$A,0)),"")</f>
        <v>0</v>
      </c>
      <c r="BK134" s="190" t="str">
        <f>IFERROR(IF(INDEX(Program_01!$BX:$BX,MATCH($B134,Program_01!$A:$A,0))=DATE(1900,1,0),"",INDEX(Program_01!$BX:$BX,MATCH($B134,Program_01!$A:$A,0))),"")</f>
        <v/>
      </c>
      <c r="BL134" s="190" t="str">
        <f>IFERROR(IF(INDEX(Program_01!$BY:$BY,MATCH($B134,Program_01!$A:$A,0))=DATE(1900,1,0),"",INDEX(Program_01!$BY:$BY,MATCH($B134,Program_01!$A:$A,0))),"")</f>
        <v/>
      </c>
      <c r="BM134" s="188" t="str">
        <f t="shared" ca="1" si="39"/>
        <v/>
      </c>
      <c r="BN134" s="191">
        <f t="shared" ca="1" si="40"/>
        <v>82</v>
      </c>
      <c r="BO134" s="188" t="str">
        <f t="shared" si="34"/>
        <v/>
      </c>
      <c r="BP134" s="188" t="str">
        <f t="shared" si="6"/>
        <v/>
      </c>
      <c r="BQ134" s="188" t="str">
        <f t="shared" ca="1" si="41"/>
        <v/>
      </c>
      <c r="BR134" s="181" t="str">
        <f t="shared" ca="1" si="55"/>
        <v/>
      </c>
      <c r="BT134" s="190" t="str">
        <f>IFERROR(IF(INDEX(Program_01!$BZ:$BZ,MATCH($B134,Program_01!$A:$A,0))=DATE(1900,1,0),"",INDEX(Program_01!$BZ:$BZ,MATCH($B134,Program_01!$A:$A,0))),"")</f>
        <v/>
      </c>
      <c r="BU134" s="182" t="str">
        <f t="shared" ca="1" si="48"/>
        <v/>
      </c>
      <c r="BV134" s="188" t="str">
        <f t="shared" si="35"/>
        <v/>
      </c>
      <c r="BW134" s="188" t="str">
        <f t="shared" si="8"/>
        <v/>
      </c>
      <c r="BX134" s="188" t="str">
        <f t="shared" ca="1" si="36"/>
        <v/>
      </c>
      <c r="BY134" s="181" t="str">
        <f t="shared" ca="1" si="56"/>
        <v/>
      </c>
      <c r="CA134" s="192" t="str">
        <f t="shared" si="49"/>
        <v>N</v>
      </c>
      <c r="CB134" s="192" t="str">
        <f t="shared" si="50"/>
        <v>N</v>
      </c>
      <c r="CC134" s="193">
        <f>IFERROR(INDEX(Program_01!$CE:$CE,MATCH($B134,Program_01!$A:$A,0)),"")</f>
        <v>46070</v>
      </c>
      <c r="CD134" s="193">
        <f t="shared" si="57"/>
        <v>46070</v>
      </c>
      <c r="CG134" s="194">
        <f>IFERROR(INDEX(Program_01!$AT:$AT,MATCH($B134,Program_01!$A:$A,0)),"")</f>
        <v>0</v>
      </c>
      <c r="CH134" s="194">
        <f>IFERROR(INDEX(Program_01!$AX:$AX,MATCH($B134,Program_01!$A:$A,0)),"")</f>
        <v>0</v>
      </c>
    </row>
    <row r="135" spans="1:86" s="187" customFormat="1" ht="170">
      <c r="A135" s="174" t="s">
        <v>1</v>
      </c>
      <c r="B135" s="175">
        <f t="shared" si="42"/>
        <v>117</v>
      </c>
      <c r="C135" s="176" t="str">
        <f>IFERROR(INDEX(Program_01!$B:$B,MATCH($B135,Program_01!$A:$A,0)),"")</f>
        <v>COST EAR</v>
      </c>
      <c r="D135" s="176" t="str">
        <f>IFERROR(INDEX(Program_01!$D:$D,MATCH($B135,Program_01!$A:$A,0)),"")</f>
        <v>1TB01006C64</v>
      </c>
      <c r="E135" s="176" t="str">
        <f>IFERROR(INDEX(Program_01!$E:$E,MATCH($B135,Program_01!$A:$A,0)),"")</f>
        <v>1.TB.01.006.03</v>
      </c>
      <c r="F135" s="176" t="str">
        <f>IFERROR(INDEX(Program_01!$F:$F,MATCH($B135,Program_01!$A:$A,0)),"")</f>
        <v>Village Boutique Hotel</v>
      </c>
      <c r="G135" s="176" t="str">
        <f>IFERROR(INDEX(Program_01!$G:$G,MATCH($B135,Program_01!$A:$A,0)),"")</f>
        <v>Supply of Composite Panels</v>
      </c>
      <c r="H135" s="176" t="str">
        <f>IFERROR(INDEX(Program_01!$H:$H,MATCH($B135,Program_01!$A:$A,0)),"")</f>
        <v>Nova Composites Manufcturing L.L.C</v>
      </c>
      <c r="I135" s="176" t="str">
        <f t="shared" si="37"/>
        <v>Prolongation</v>
      </c>
      <c r="J135" s="176">
        <f>IFERROR(INDEX(Program_01!$I:$I,MATCH($B135,Program_01!$A:$A,0)),"")</f>
        <v>0</v>
      </c>
      <c r="K135" s="176">
        <f>IFERROR(INDEX(Program_01!$J:$J,MATCH($B135,Program_01!$A:$A,0)),"")</f>
        <v>1</v>
      </c>
      <c r="L135" s="176">
        <f>IFERROR(INDEX(Program_01!$K:$K,MATCH($B135,Program_01!$A:$A,0)),"")</f>
        <v>0</v>
      </c>
      <c r="M135" s="176">
        <f>IFERROR(INDEX(Program_01!$L:$L,MATCH($B135,Program_01!$A:$A,0)),"")</f>
        <v>0</v>
      </c>
      <c r="N135" s="176">
        <f>IFERROR(INDEX(Program_01!$L:$L,MATCH($B135,Program_01!$A:$A,0)),"")</f>
        <v>0</v>
      </c>
      <c r="O135" s="176">
        <f>IFERROR(INDEX(Program_01!$N:$N,MATCH($B135,Program_01!$A:$A,0)),"")</f>
        <v>0</v>
      </c>
      <c r="P135" s="178"/>
      <c r="Q135" s="179" t="str">
        <f>IFERROR(INDEX(Program_01!$C:$C,MATCH($B135,Program_01!$A:$A,0)),"")</f>
        <v>Contractor's Extension of Time (EOT) - 01 - Cost</v>
      </c>
      <c r="R135" s="176" t="str">
        <f>IFERROR(INDEX(Program_01!$V:$V,MATCH($B135,Program_01!$A:$A,0)),"")</f>
        <v xml:space="preserve">1TB01006-006C64-NVA-LTR-0013 </v>
      </c>
      <c r="S135" s="180">
        <f>IFERROR(INDEX(Program_01!$W:$W,MATCH($B135,Program_01!$A:$A,0)),"")</f>
        <v>46059</v>
      </c>
      <c r="T135" s="178"/>
      <c r="U135" s="176" t="str">
        <f>IFERROR(INDEX(Program_01!$Z:$Z,MATCH($B135,Program_01!$A:$A,0)),"")</f>
        <v>1TB01006-006C64-AMA-LTR-0026</v>
      </c>
      <c r="V135" s="181">
        <f>IFERROR(INDEX(Program_01!$AA:$AA,MATCH($B135,Program_01!$A:$A,0)),"")</f>
        <v>46077</v>
      </c>
      <c r="W135" s="182">
        <f t="shared" ca="1" si="0"/>
        <v>18</v>
      </c>
      <c r="X135" s="51"/>
      <c r="Y135" s="179">
        <f>IFERROR(INDEX(Program_01!$BD:$BD,MATCH($B135,Program_01!$A:$A,0)),"")</f>
        <v>0</v>
      </c>
      <c r="Z135" s="51"/>
      <c r="AA135" s="183" t="str">
        <f>IFERROR(IF((INDEX(Program_01!$AD:$AD,MATCH($B135,Program_01!$A:$A,0))=""),INDEX(Program_01!$V:$V,MATCH($B135,Program_01!$A:$A,0)),INDEX(Program_01!$AD:$AD,MATCH($B135,Program_01!$A:$A,0))),"")</f>
        <v xml:space="preserve">1TB01006-006C64-NVA-LTR-0013 </v>
      </c>
      <c r="AB135" s="147">
        <f>IFERROR(IF((INDEX(Program_01!$AE:$AE,MATCH($B135,Program_01!$A:$A,0))=""),INDEX(Program_01!$W:$W,MATCH($B135,Program_01!$A:$A,0)),INDEX(Program_01!$AE:$AE,MATCH($B135,Program_01!$A:$A,0))),"")</f>
        <v>46059</v>
      </c>
      <c r="AC135" s="183">
        <f>IFERROR(IF($I135="EOT",INDEX(Program_01!$AN:$AN,MATCH($B135,Program_01!$A:$A,0)),INDEX(Program_01!$AY:$AY,MATCH($B135,Program_01!$A:$A,0))),"")</f>
        <v>0</v>
      </c>
      <c r="AD135" s="181">
        <f>IFERROR(IF($I135="EOT",INDEX(Program_01!$AO:$AO,MATCH($B135,Program_01!$A:$A,0)),INDEX(Program_01!$AZ:$AZ,MATCH($B135,Program_01!$A:$A,0))),"")</f>
        <v>0</v>
      </c>
      <c r="AE135" s="51"/>
      <c r="AF135" s="183"/>
      <c r="AG135" s="181"/>
      <c r="AH135" s="183" t="str">
        <f>IF(OR($D135="",$AS135="VO Issued",$AS135="Open"),"",IF(OR($AC135="Rejected",$AC135="Superseded",$AC135="Dealt Separately"),$AC135,IF($I135="EOT",INDEX(Program_01!$AR:$AR,MATCH($B135,Program_01!$A:$A,0)),INDEX(Program_01!$BB:$BB,MATCH($B135,Program_01!$A:$A,0)))))</f>
        <v/>
      </c>
      <c r="AI135" s="181" t="str">
        <f>IF(OR($A135="",$B135="",$I135="",$AS135="VO Issued",$AS135="Open"),"",IF(OR($AD135="N/A"),$AD135,IF($I135="EOT",INDEX(Program_01!$AS:$AS,MATCH($B135,Program_01!$A:$A,0)),INDEX(Program_01!$BC:$BC,MATCH($B135,Program_01!$A:$A,0)))))</f>
        <v/>
      </c>
      <c r="AJ135" s="183" t="str">
        <f>IF(OR($D135="",$I135="",$AS135="Determination Issued",$AS135="Rejected",$AS135="Open"),"",IF(OR($AH135="Rejected",$AH135="Dealt Separately",$AH135="Superseded",$AH135="Withdrawn"),"N/A",IF($I135="EOT",INDEX(Program_01!AR:AR,MATCH($B135,Program_01!A:A,0)),INDEX(Program_01!BB:BB,MATCH($B135,Program_01!A:A,0)))))</f>
        <v/>
      </c>
      <c r="AK135" s="181" t="str">
        <f>IF(OR($A135="",$B135="",$I135="",$AS135="Determination Issued",$AS135="Rejected",$AS135="Open"),"",IF($AJ135="N/A","N/A",IF($I135="EOT",INDEX(Program_01!AS:AS,MATCH($B135,Program_01!A:A,0)),INDEX(Program_01!BC:BC,MATCH($B135,Program_01!A:A,0)))))</f>
        <v/>
      </c>
      <c r="AL135" s="51"/>
      <c r="AM135" s="184">
        <f>IFERROR(INDEX(Program_01!$BT:$BT,MATCH($B135,Program_01!$A:$A,0)),"")</f>
        <v>0</v>
      </c>
      <c r="AN135" s="184">
        <f>IFERROR(INDEX(Program_01!$BU:$BU,MATCH($B135,Program_01!$A:$A,0)),"")</f>
        <v>0</v>
      </c>
      <c r="AO135" s="184">
        <f>IFERROR(INDEX(Program_01!$BV:$BV,MATCH($B135,Program_01!$A:$A,0)),"")</f>
        <v>0</v>
      </c>
      <c r="AP135" s="51" t="str">
        <f t="shared" si="46"/>
        <v/>
      </c>
      <c r="AQ135" s="184">
        <f>IFERROR(INDEX(Program_01!$BN:$BN,MATCH($B135,Program_01!$A:$A,0)),"")</f>
        <v>0</v>
      </c>
      <c r="AR135" s="184" t="str">
        <f>IFERROR(INDEX(Program_01!$BO:$BO,MATCH($B135,Program_01!$A:$A,0)),"")</f>
        <v>Pending</v>
      </c>
      <c r="AS135" s="184" t="str">
        <f>IFERROR(INDEX(Program_01!$BP:$BP,MATCH($B135,Program_01!$A:$A,0)),"")</f>
        <v>Open</v>
      </c>
      <c r="AT135" s="185" t="str">
        <f>IFERROR(INDEX(Program_01!$BQ:$BQ,MATCH($B135,Program_01!$A:$A,0)),"")</f>
        <v>Awaiting conclusion of EoT</v>
      </c>
      <c r="AU135" s="179" t="str">
        <f>IFERROR(INDEX(Program_01!$BR:$BR,MATCH($B135,Program_01!$A:$A,0)),"")</f>
        <v>17 Feb 26: Contractor submitted EOT-01 on 06 Feb 26 with partial cost implications via NVA01006-TRANSMIT-000081 (1TB01006-006C64-NVA-LTR-0013), under review with commercial, commercial to issue initial response 
18 May 2026: Ditto
31 May 26: Ditto
04 Jun 26: Nova
11 July 26: Awaiting conclusion of EOT
10 Aug 26: Ditto
07 Sept 26: Contractor withdraw the EOT (1TB01006-006C64-NVA-LTR-0020) with a condition that no delay LDS shall be imposed or recovered against NOVA. Written confirmation from Employer is requested by the Contractor.
21 Sep 26: Ditto
05 Oct 26: Ditto</v>
      </c>
      <c r="AV135" s="186" t="str">
        <f t="shared" si="32"/>
        <v/>
      </c>
      <c r="AW135" s="186" t="str">
        <f t="shared" si="47"/>
        <v>OPEN</v>
      </c>
      <c r="AX135" s="186" t="str">
        <f t="shared" si="33"/>
        <v>OPEN</v>
      </c>
      <c r="AY135" s="181">
        <f t="shared" si="38"/>
        <v>46059</v>
      </c>
      <c r="AZ135" s="181" t="str">
        <f t="shared" si="54"/>
        <v/>
      </c>
      <c r="BA135" s="181" t="str">
        <f t="shared" si="4"/>
        <v/>
      </c>
      <c r="BC135" s="181">
        <f>IFERROR(INDEX(Program_01!BF:BF,MATCH($B135,Program_01!$A:$A,0)),"")</f>
        <v>46059</v>
      </c>
      <c r="BD135" s="188">
        <f ca="1">IFERROR(INDEX(Program_01!BG:BG,MATCH($B135,Program_01!$A:$A,0)),"")</f>
        <v>0</v>
      </c>
      <c r="BE135" s="181">
        <f>IFERROR(INDEX(Program_01!BH:BH,MATCH($B135,Program_01!$A:$A,0)),"")</f>
        <v>0</v>
      </c>
      <c r="BF135" s="189" t="str">
        <f ca="1">IFERROR(INDEX(Program_01!BI:BI,MATCH($B135,Program_01!$A:$A,0)),"")</f>
        <v>N/A</v>
      </c>
      <c r="BG135" s="181">
        <f>IFERROR(INDEX(Program_01!BJ:BJ,MATCH($B135,Program_01!$A:$A,0)),"")</f>
        <v>0</v>
      </c>
      <c r="BH135" s="189">
        <f ca="1">IFERROR(INDEX(Program_01!BK:BK,MATCH($B135,Program_01!$A:$A,0)),"")</f>
        <v>0</v>
      </c>
      <c r="BI135" s="181">
        <f>IFERROR(INDEX(Program_01!BL:BL,MATCH($B135,Program_01!$A:$A,0)),"")</f>
        <v>0</v>
      </c>
      <c r="BK135" s="190" t="str">
        <f>IFERROR(IF(INDEX(Program_01!$BX:$BX,MATCH($B135,Program_01!$A:$A,0))=DATE(1900,1,0),"",INDEX(Program_01!$BX:$BX,MATCH($B135,Program_01!$A:$A,0))),"")</f>
        <v/>
      </c>
      <c r="BL135" s="190" t="str">
        <f>IFERROR(IF(INDEX(Program_01!$BY:$BY,MATCH($B135,Program_01!$A:$A,0))=DATE(1900,1,0),"",INDEX(Program_01!$BY:$BY,MATCH($B135,Program_01!$A:$A,0))),"")</f>
        <v/>
      </c>
      <c r="BM135" s="188" t="str">
        <f t="shared" ca="1" si="39"/>
        <v/>
      </c>
      <c r="BN135" s="191">
        <f t="shared" ca="1" si="40"/>
        <v>0</v>
      </c>
      <c r="BO135" s="188" t="str">
        <f t="shared" si="34"/>
        <v/>
      </c>
      <c r="BP135" s="188" t="str">
        <f t="shared" si="6"/>
        <v/>
      </c>
      <c r="BQ135" s="188" t="str">
        <f t="shared" ca="1" si="41"/>
        <v/>
      </c>
      <c r="BR135" s="181" t="str">
        <f t="shared" ca="1" si="55"/>
        <v/>
      </c>
      <c r="BT135" s="190" t="str">
        <f>IFERROR(IF(INDEX(Program_01!$BZ:$BZ,MATCH($B135,Program_01!$A:$A,0))=DATE(1900,1,0),"",INDEX(Program_01!$BZ:$BZ,MATCH($B135,Program_01!$A:$A,0))),"")</f>
        <v/>
      </c>
      <c r="BU135" s="182" t="str">
        <f t="shared" ca="1" si="48"/>
        <v/>
      </c>
      <c r="BV135" s="188" t="str">
        <f t="shared" si="35"/>
        <v/>
      </c>
      <c r="BW135" s="188" t="str">
        <f t="shared" si="8"/>
        <v/>
      </c>
      <c r="BX135" s="188" t="str">
        <f t="shared" ca="1" si="36"/>
        <v/>
      </c>
      <c r="BY135" s="181" t="str">
        <f t="shared" ca="1" si="56"/>
        <v/>
      </c>
      <c r="CA135" s="192" t="str">
        <f t="shared" si="49"/>
        <v>N</v>
      </c>
      <c r="CB135" s="192" t="str">
        <f t="shared" si="50"/>
        <v>N</v>
      </c>
      <c r="CC135" s="193">
        <f>IFERROR(INDEX(Program_01!$CE:$CE,MATCH($B135,Program_01!$A:$A,0)),"")</f>
        <v>46070</v>
      </c>
      <c r="CD135" s="193">
        <f t="shared" si="57"/>
        <v>46070</v>
      </c>
      <c r="CG135" s="194">
        <f>IFERROR(INDEX(Program_01!$AT:$AT,MATCH($B135,Program_01!$A:$A,0)),"")</f>
        <v>227125</v>
      </c>
      <c r="CH135" s="194">
        <f>IFERROR(INDEX(Program_01!$AX:$AX,MATCH($B135,Program_01!$A:$A,0)),"")</f>
        <v>0</v>
      </c>
    </row>
    <row r="136" spans="1:86" s="187" customFormat="1" ht="340">
      <c r="A136" s="174" t="s">
        <v>1</v>
      </c>
      <c r="B136" s="175">
        <f t="shared" si="42"/>
        <v>118</v>
      </c>
      <c r="C136" s="176" t="str">
        <f>IFERROR(INDEX(Program_01!$B:$B,MATCH($B136,Program_01!$A:$A,0)),"")</f>
        <v>FULL TIA EAR</v>
      </c>
      <c r="D136" s="176" t="str">
        <f>IFERROR(INDEX(Program_01!$D:$D,MATCH($B136,Program_01!$A:$A,0)),"")</f>
        <v>1TB01006C58</v>
      </c>
      <c r="E136" s="176" t="str">
        <f>IFERROR(INDEX(Program_01!$E:$E,MATCH($B136,Program_01!$A:$A,0)),"")</f>
        <v>1.TB.01.006.03</v>
      </c>
      <c r="F136" s="176" t="str">
        <f>IFERROR(INDEX(Program_01!$F:$F,MATCH($B136,Program_01!$A:$A,0)),"")</f>
        <v>Village Boutique Hotel</v>
      </c>
      <c r="G136" s="176" t="str">
        <f>IFERROR(INDEX(Program_01!$G:$G,MATCH($B136,Program_01!$A:$A,0)),"")</f>
        <v>Installation of Composite Panels</v>
      </c>
      <c r="H136" s="176" t="str">
        <f>IFERROR(INDEX(Program_01!$H:$H,MATCH($B136,Program_01!$A:$A,0)),"")</f>
        <v>Nova Composite Industrial Company</v>
      </c>
      <c r="I136" s="176" t="str">
        <f t="shared" si="37"/>
        <v>EOT</v>
      </c>
      <c r="J136" s="176">
        <f>IFERROR(INDEX(Program_01!$I:$I,MATCH($B136,Program_01!$A:$A,0)),"")</f>
        <v>1</v>
      </c>
      <c r="K136" s="176">
        <f>IFERROR(INDEX(Program_01!$J:$J,MATCH($B136,Program_01!$A:$A,0)),"")</f>
        <v>0</v>
      </c>
      <c r="L136" s="176">
        <f>IFERROR(INDEX(Program_01!$K:$K,MATCH($B136,Program_01!$A:$A,0)),"")</f>
        <v>0</v>
      </c>
      <c r="M136" s="176">
        <f>IFERROR(INDEX(Program_01!$L:$L,MATCH($B136,Program_01!$A:$A,0)),"")</f>
        <v>0</v>
      </c>
      <c r="N136" s="176">
        <f>IFERROR(INDEX(Program_01!$L:$L,MATCH($B136,Program_01!$A:$A,0)),"")</f>
        <v>0</v>
      </c>
      <c r="O136" s="176">
        <f>IFERROR(INDEX(Program_01!$N:$N,MATCH($B136,Program_01!$A:$A,0)),"")</f>
        <v>0</v>
      </c>
      <c r="P136" s="178"/>
      <c r="Q136" s="179" t="str">
        <f>IFERROR(INDEX(Program_01!$C:$C,MATCH($B136,Program_01!$A:$A,0)),"")</f>
        <v xml:space="preserve">Contractor's Extension of Time (EOT) - 01 </v>
      </c>
      <c r="R136" s="176" t="str">
        <f>IFERROR(INDEX(Program_01!$V:$V,MATCH($B136,Program_01!$A:$A,0)),"")</f>
        <v>1TB01006-006C58-NVA-LTR-0012
NVA01006-TRANSMIT-000082</v>
      </c>
      <c r="S136" s="180">
        <f>IFERROR(INDEX(Program_01!$W:$W,MATCH($B136,Program_01!$A:$A,0)),"")</f>
        <v>46059</v>
      </c>
      <c r="T136" s="178"/>
      <c r="U136" s="176" t="str">
        <f>IFERROR(INDEX(Program_01!$Z:$Z,MATCH($B136,Program_01!$A:$A,0)),"")</f>
        <v>1TB01006-006C58-AMA-LTR-0030</v>
      </c>
      <c r="V136" s="181">
        <f>IFERROR(INDEX(Program_01!$AA:$AA,MATCH($B136,Program_01!$A:$A,0)),"")</f>
        <v>46077</v>
      </c>
      <c r="W136" s="182">
        <f t="shared" ca="1" si="0"/>
        <v>18</v>
      </c>
      <c r="X136" s="51"/>
      <c r="Y136" s="179">
        <f>IFERROR(INDEX(Program_01!$BD:$BD,MATCH($B136,Program_01!$A:$A,0)),"")</f>
        <v>0</v>
      </c>
      <c r="Z136" s="51"/>
      <c r="AA136" s="183" t="str">
        <f>IFERROR(IF((INDEX(Program_01!$AD:$AD,MATCH($B136,Program_01!$A:$A,0))=""),INDEX(Program_01!$V:$V,MATCH($B136,Program_01!$A:$A,0)),INDEX(Program_01!$AD:$AD,MATCH($B136,Program_01!$A:$A,0))),"")</f>
        <v>1TB01006-006C58-NVA-LTR-0040-C0
NVA01006-TRANSMIT-000158</v>
      </c>
      <c r="AB136" s="147">
        <f>IFERROR(IF((INDEX(Program_01!$AE:$AE,MATCH($B136,Program_01!$A:$A,0))=""),INDEX(Program_01!$W:$W,MATCH($B136,Program_01!$A:$A,0)),INDEX(Program_01!$AE:$AE,MATCH($B136,Program_01!$A:$A,0))),"")</f>
        <v>46262</v>
      </c>
      <c r="AC136" s="183">
        <f>IFERROR(IF($I136="EOT",INDEX(Program_01!$AN:$AN,MATCH($B136,Program_01!$A:$A,0)),INDEX(Program_01!$AY:$AY,MATCH($B136,Program_01!$A:$A,0))),"")</f>
        <v>0</v>
      </c>
      <c r="AD136" s="181">
        <f>IFERROR(IF($I136="EOT",INDEX(Program_01!$AO:$AO,MATCH($B136,Program_01!$A:$A,0)),INDEX(Program_01!$AZ:$AZ,MATCH($B136,Program_01!$A:$A,0))),"")</f>
        <v>0</v>
      </c>
      <c r="AE136" s="51"/>
      <c r="AF136" s="183"/>
      <c r="AG136" s="181"/>
      <c r="AH136" s="183" t="str">
        <f>IF(OR($D136="",$AS136="VO Issued",$AS136="Open"),"",IF(OR($AC136="Rejected",$AC136="Superseded",$AC136="Dealt Separately"),$AC136,IF($I136="EOT",INDEX(Program_01!$AR:$AR,MATCH($B136,Program_01!$A:$A,0)),INDEX(Program_01!$BB:$BB,MATCH($B136,Program_01!$A:$A,0)))))</f>
        <v/>
      </c>
      <c r="AI136" s="181" t="str">
        <f>IF(OR($A136="",$B136="",$I136="",$AS136="VO Issued",$AS136="Open"),"",IF(OR($AD136="N/A"),$AD136,IF($I136="EOT",INDEX(Program_01!$AS:$AS,MATCH($B136,Program_01!$A:$A,0)),INDEX(Program_01!$BC:$BC,MATCH($B136,Program_01!$A:$A,0)))))</f>
        <v/>
      </c>
      <c r="AJ136" s="183" t="str">
        <f>IF(OR($D136="",$I136="",$AS136="Determination Issued",$AS136="Rejected",$AS136="Open"),"",IF(OR($AH136="Rejected",$AH136="Dealt Separately",$AH136="Superseded",$AH136="Withdrawn"),"N/A",IF($I136="EOT",INDEX(Program_01!AR:AR,MATCH($B136,Program_01!A:A,0)),INDEX(Program_01!BB:BB,MATCH($B136,Program_01!A:A,0)))))</f>
        <v/>
      </c>
      <c r="AK136" s="181" t="str">
        <f>IF(OR($A136="",$B136="",$I136="",$AS136="Determination Issued",$AS136="Rejected",$AS136="Open"),"",IF($AJ136="N/A","N/A",IF($I136="EOT",INDEX(Program_01!AS:AS,MATCH($B136,Program_01!A:A,0)),INDEX(Program_01!BC:BC,MATCH($B136,Program_01!A:A,0)))))</f>
        <v/>
      </c>
      <c r="AL136" s="51"/>
      <c r="AM136" s="184" t="str">
        <f>IFERROR(INDEX(Program_01!$BT:$BT,MATCH($B136,Program_01!$A:$A,0)),"")</f>
        <v>Revise &amp; resubmit</v>
      </c>
      <c r="AN136" s="184">
        <f>IFERROR(INDEX(Program_01!$BU:$BU,MATCH($B136,Program_01!$A:$A,0)),"")</f>
        <v>0</v>
      </c>
      <c r="AO136" s="184">
        <f>IFERROR(INDEX(Program_01!$BV:$BV,MATCH($B136,Program_01!$A:$A,0)),"")</f>
        <v>0</v>
      </c>
      <c r="AP136" s="51" t="str">
        <f t="shared" si="46"/>
        <v/>
      </c>
      <c r="AQ136" s="184">
        <f>IFERROR(INDEX(Program_01!$BN:$BN,MATCH($B136,Program_01!$A:$A,0)),"")</f>
        <v>0</v>
      </c>
      <c r="AR136" s="184" t="str">
        <f>IFERROR(INDEX(Program_01!$BO:$BO,MATCH($B136,Program_01!$A:$A,0)),"")</f>
        <v>Pending</v>
      </c>
      <c r="AS136" s="184" t="str">
        <f>IFERROR(INDEX(Program_01!$BP:$BP,MATCH($B136,Program_01!$A:$A,0)),"")</f>
        <v>Open</v>
      </c>
      <c r="AT136" s="185" t="str">
        <f>IFERROR(INDEX(Program_01!$BQ:$BQ,MATCH($B136,Program_01!$A:$A,0)),"")</f>
        <v>Claims Team</v>
      </c>
      <c r="AU136" s="179" t="str">
        <f>IFERROR(INDEX(Program_01!$BR:$BR,MATCH($B136,Program_01!$A:$A,0)),"")</f>
        <v>17 Feb 26: Contractor submitted EOT-01 on 06 Feb 26 with partial cost implications via 1TB01006-006C58-NVA-LTR-0012
(NVA01006-TRANSMIT-000082), under review with commercial, commercial to issue initial response , claim with planning to check whether the submission is in compliance
24 Feb 26: Initial response in WF-041463
24 Feb 26: Initial response in WF-041463
08 March 26: Letter to revise and resubmit issued on 24 Feb 26 (Ref: 1TB01006-006C58-AMA-LTR-0030)
18 April 26: Awaiting Contractor's revised submission
04 May 2026: Ditto
18 May 2026: Ditto
31 May 26: Ditto
06 Jun 26: Ditto
15 Jun 26:  Ditto, Commercial to issue a follow up letter
28 Jun 26: Follow up letter for revised claim under WF-045030 -  1TB01006-006C58-AMA-LTR-0038
11 July 26: Follow-up Letter issued to COntractor on 01 July 26 (1TB01006-006C58-AMA-LTR-0038)
26 July 26: Awaiting Contractor's submission
10 Aug 26: Ditto
24 Aug 26: Ditto
28 Aug 26: Contractor submitted a revised EOT 01 (1TB01006-006C58-NVA-LTR-0040-C0). Workshop was held on 02 sept 2026, 
07 Sep 26: Response is awaited from NOVA for addtional information
21 Sep 26: Ditto
05 Oct 26: DRAFT EAR has issued to Claims and Planning for their review and comments.</v>
      </c>
      <c r="AV136" s="186" t="str">
        <f t="shared" si="32"/>
        <v/>
      </c>
      <c r="AW136" s="186" t="str">
        <f t="shared" si="47"/>
        <v>OPEN</v>
      </c>
      <c r="AX136" s="186" t="str">
        <f t="shared" si="33"/>
        <v>OPEN</v>
      </c>
      <c r="AY136" s="181">
        <f t="shared" si="38"/>
        <v>46262</v>
      </c>
      <c r="AZ136" s="181" t="str">
        <f t="shared" si="54"/>
        <v/>
      </c>
      <c r="BA136" s="181" t="str">
        <f t="shared" si="4"/>
        <v/>
      </c>
      <c r="BC136" s="181">
        <f>IFERROR(INDEX(Program_01!BF:BF,MATCH($B136,Program_01!$A:$A,0)),"")</f>
        <v>46262</v>
      </c>
      <c r="BD136" s="188">
        <f ca="1">IFERROR(INDEX(Program_01!BG:BG,MATCH($B136,Program_01!$A:$A,0)),"")</f>
        <v>0</v>
      </c>
      <c r="BE136" s="181">
        <f>IFERROR(INDEX(Program_01!BH:BH,MATCH($B136,Program_01!$A:$A,0)),"")</f>
        <v>0</v>
      </c>
      <c r="BF136" s="189">
        <f ca="1">IFERROR(INDEX(Program_01!BI:BI,MATCH($B136,Program_01!$A:$A,0)),"")</f>
        <v>0</v>
      </c>
      <c r="BG136" s="181">
        <f>IFERROR(INDEX(Program_01!BJ:BJ,MATCH($B136,Program_01!$A:$A,0)),"")</f>
        <v>0</v>
      </c>
      <c r="BH136" s="189">
        <f ca="1">IFERROR(INDEX(Program_01!BK:BK,MATCH($B136,Program_01!$A:$A,0)),"")</f>
        <v>0</v>
      </c>
      <c r="BI136" s="181">
        <f>IFERROR(INDEX(Program_01!BL:BL,MATCH($B136,Program_01!$A:$A,0)),"")</f>
        <v>0</v>
      </c>
      <c r="BK136" s="190" t="str">
        <f>IFERROR(IF(INDEX(Program_01!$BX:$BX,MATCH($B136,Program_01!$A:$A,0))=DATE(1900,1,0),"",INDEX(Program_01!$BX:$BX,MATCH($B136,Program_01!$A:$A,0))),"")</f>
        <v/>
      </c>
      <c r="BL136" s="190" t="str">
        <f>IFERROR(IF(INDEX(Program_01!$BY:$BY,MATCH($B136,Program_01!$A:$A,0))=DATE(1900,1,0),"",INDEX(Program_01!$BY:$BY,MATCH($B136,Program_01!$A:$A,0))),"")</f>
        <v/>
      </c>
      <c r="BM136" s="188" t="str">
        <f t="shared" ca="1" si="39"/>
        <v/>
      </c>
      <c r="BN136" s="191">
        <f t="shared" ca="1" si="40"/>
        <v>0</v>
      </c>
      <c r="BO136" s="188" t="str">
        <f t="shared" si="34"/>
        <v/>
      </c>
      <c r="BP136" s="188" t="str">
        <f t="shared" si="6"/>
        <v/>
      </c>
      <c r="BQ136" s="188" t="str">
        <f t="shared" ca="1" si="41"/>
        <v/>
      </c>
      <c r="BR136" s="181" t="str">
        <f t="shared" ca="1" si="55"/>
        <v/>
      </c>
      <c r="BT136" s="190" t="str">
        <f>IFERROR(IF(INDEX(Program_01!$BZ:$BZ,MATCH($B136,Program_01!$A:$A,0))=DATE(1900,1,0),"",INDEX(Program_01!$BZ:$BZ,MATCH($B136,Program_01!$A:$A,0))),"")</f>
        <v/>
      </c>
      <c r="BU136" s="182" t="str">
        <f t="shared" ca="1" si="48"/>
        <v/>
      </c>
      <c r="BV136" s="188" t="str">
        <f t="shared" si="35"/>
        <v/>
      </c>
      <c r="BW136" s="188" t="str">
        <f t="shared" si="8"/>
        <v/>
      </c>
      <c r="BX136" s="188" t="str">
        <f t="shared" ca="1" si="36"/>
        <v/>
      </c>
      <c r="BY136" s="181" t="str">
        <f t="shared" ca="1" si="56"/>
        <v/>
      </c>
      <c r="CA136" s="192" t="str">
        <f t="shared" si="49"/>
        <v>N</v>
      </c>
      <c r="CB136" s="192" t="str">
        <f t="shared" si="50"/>
        <v>N</v>
      </c>
      <c r="CC136" s="193">
        <f>IFERROR(INDEX(Program_01!$CE:$CE,MATCH($B136,Program_01!$A:$A,0)),"")</f>
        <v>46070</v>
      </c>
      <c r="CD136" s="193">
        <f t="shared" si="57"/>
        <v>46070</v>
      </c>
      <c r="CG136" s="194">
        <f>IFERROR(INDEX(Program_01!$AT:$AT,MATCH($B136,Program_01!$A:$A,0)),"")</f>
        <v>0</v>
      </c>
      <c r="CH136" s="194">
        <f>IFERROR(INDEX(Program_01!$AX:$AX,MATCH($B136,Program_01!$A:$A,0)),"")</f>
        <v>0</v>
      </c>
    </row>
    <row r="137" spans="1:86" s="187" customFormat="1" ht="153">
      <c r="A137" s="174" t="s">
        <v>1</v>
      </c>
      <c r="B137" s="175">
        <f t="shared" si="42"/>
        <v>119</v>
      </c>
      <c r="C137" s="176" t="str">
        <f>IFERROR(INDEX(Program_01!$B:$B,MATCH($B137,Program_01!$A:$A,0)),"")</f>
        <v>COST EAR</v>
      </c>
      <c r="D137" s="176" t="str">
        <f>IFERROR(INDEX(Program_01!$D:$D,MATCH($B137,Program_01!$A:$A,0)),"")</f>
        <v>1TB01006C58</v>
      </c>
      <c r="E137" s="176" t="str">
        <f>IFERROR(INDEX(Program_01!$E:$E,MATCH($B137,Program_01!$A:$A,0)),"")</f>
        <v>1.TB.01.006.03</v>
      </c>
      <c r="F137" s="176" t="str">
        <f>IFERROR(INDEX(Program_01!$F:$F,MATCH($B137,Program_01!$A:$A,0)),"")</f>
        <v>Village Boutique Hotel</v>
      </c>
      <c r="G137" s="176" t="str">
        <f>IFERROR(INDEX(Program_01!$G:$G,MATCH($B137,Program_01!$A:$A,0)),"")</f>
        <v>Installation of Composite Panels</v>
      </c>
      <c r="H137" s="176" t="str">
        <f>IFERROR(INDEX(Program_01!$H:$H,MATCH($B137,Program_01!$A:$A,0)),"")</f>
        <v>Nova Composite Industrial Company</v>
      </c>
      <c r="I137" s="176" t="str">
        <f t="shared" si="37"/>
        <v>Prolongation</v>
      </c>
      <c r="J137" s="176">
        <f>IFERROR(INDEX(Program_01!$I:$I,MATCH($B137,Program_01!$A:$A,0)),"")</f>
        <v>0</v>
      </c>
      <c r="K137" s="176">
        <f>IFERROR(INDEX(Program_01!$J:$J,MATCH($B137,Program_01!$A:$A,0)),"")</f>
        <v>1</v>
      </c>
      <c r="L137" s="176">
        <f>IFERROR(INDEX(Program_01!$K:$K,MATCH($B137,Program_01!$A:$A,0)),"")</f>
        <v>0</v>
      </c>
      <c r="M137" s="176">
        <f>IFERROR(INDEX(Program_01!$L:$L,MATCH($B137,Program_01!$A:$A,0)),"")</f>
        <v>0</v>
      </c>
      <c r="N137" s="176">
        <f>IFERROR(INDEX(Program_01!$L:$L,MATCH($B137,Program_01!$A:$A,0)),"")</f>
        <v>0</v>
      </c>
      <c r="O137" s="176">
        <f>IFERROR(INDEX(Program_01!$N:$N,MATCH($B137,Program_01!$A:$A,0)),"")</f>
        <v>0</v>
      </c>
      <c r="P137" s="178"/>
      <c r="Q137" s="179" t="str">
        <f>IFERROR(INDEX(Program_01!$C:$C,MATCH($B137,Program_01!$A:$A,0)),"")</f>
        <v>Contractor's Extension of Time (EOT) - 01 - Cost</v>
      </c>
      <c r="R137" s="176" t="str">
        <f>IFERROR(INDEX(Program_01!$V:$V,MATCH($B137,Program_01!$A:$A,0)),"")</f>
        <v>1TB01006-006C58-NVA-LTR-0012
NVA01006-TRANSMIT-000082</v>
      </c>
      <c r="S137" s="180">
        <f>IFERROR(INDEX(Program_01!$W:$W,MATCH($B137,Program_01!$A:$A,0)),"")</f>
        <v>46059</v>
      </c>
      <c r="T137" s="178"/>
      <c r="U137" s="176" t="str">
        <f>IFERROR(INDEX(Program_01!$Z:$Z,MATCH($B137,Program_01!$A:$A,0)),"")</f>
        <v>1TB01006-006C58-AMA-LTR-0030</v>
      </c>
      <c r="V137" s="181">
        <f>IFERROR(INDEX(Program_01!$AA:$AA,MATCH($B137,Program_01!$A:$A,0)),"")</f>
        <v>46077</v>
      </c>
      <c r="W137" s="182">
        <f t="shared" ca="1" si="0"/>
        <v>18</v>
      </c>
      <c r="X137" s="51"/>
      <c r="Y137" s="179">
        <f>IFERROR(INDEX(Program_01!$BD:$BD,MATCH($B137,Program_01!$A:$A,0)),"")</f>
        <v>0</v>
      </c>
      <c r="Z137" s="51"/>
      <c r="AA137" s="183" t="str">
        <f>IFERROR(IF((INDEX(Program_01!$AD:$AD,MATCH($B137,Program_01!$A:$A,0))=""),INDEX(Program_01!$V:$V,MATCH($B137,Program_01!$A:$A,0)),INDEX(Program_01!$AD:$AD,MATCH($B137,Program_01!$A:$A,0))),"")</f>
        <v>1TB01006-006C58-NVA-LTR-0012
NVA01006-TRANSMIT-000082</v>
      </c>
      <c r="AB137" s="147">
        <f>IFERROR(IF((INDEX(Program_01!$AE:$AE,MATCH($B137,Program_01!$A:$A,0))=""),INDEX(Program_01!$W:$W,MATCH($B137,Program_01!$A:$A,0)),INDEX(Program_01!$AE:$AE,MATCH($B137,Program_01!$A:$A,0))),"")</f>
        <v>46059</v>
      </c>
      <c r="AC137" s="183">
        <f>IFERROR(IF($I137="EOT",INDEX(Program_01!$AN:$AN,MATCH($B137,Program_01!$A:$A,0)),INDEX(Program_01!$AY:$AY,MATCH($B137,Program_01!$A:$A,0))),"")</f>
        <v>0</v>
      </c>
      <c r="AD137" s="181">
        <f>IFERROR(IF($I137="EOT",INDEX(Program_01!$AO:$AO,MATCH($B137,Program_01!$A:$A,0)),INDEX(Program_01!$AZ:$AZ,MATCH($B137,Program_01!$A:$A,0))),"")</f>
        <v>0</v>
      </c>
      <c r="AE137" s="51"/>
      <c r="AF137" s="183"/>
      <c r="AG137" s="181"/>
      <c r="AH137" s="183" t="str">
        <f>IF(OR($D137="",$AS137="VO Issued",$AS137="Open"),"",IF(OR($AC137="Rejected",$AC137="Superseded",$AC137="Dealt Separately"),$AC137,IF($I137="EOT",INDEX(Program_01!$AR:$AR,MATCH($B137,Program_01!$A:$A,0)),INDEX(Program_01!$BB:$BB,MATCH($B137,Program_01!$A:$A,0)))))</f>
        <v/>
      </c>
      <c r="AI137" s="181" t="str">
        <f>IF(OR($A137="",$B137="",$I137="",$AS137="VO Issued",$AS137="Open"),"",IF(OR($AD137="N/A"),$AD137,IF($I137="EOT",INDEX(Program_01!$AS:$AS,MATCH($B137,Program_01!$A:$A,0)),INDEX(Program_01!$BC:$BC,MATCH($B137,Program_01!$A:$A,0)))))</f>
        <v/>
      </c>
      <c r="AJ137" s="183" t="str">
        <f>IF(OR($D137="",$I137="",$AS137="Determination Issued",$AS137="Rejected",$AS137="Open"),"",IF(OR($AH137="Rejected",$AH137="Dealt Separately",$AH137="Superseded",$AH137="Withdrawn"),"N/A",IF($I137="EOT",INDEX(Program_01!AR:AR,MATCH($B137,Program_01!A:A,0)),INDEX(Program_01!BB:BB,MATCH($B137,Program_01!A:A,0)))))</f>
        <v/>
      </c>
      <c r="AK137" s="181" t="str">
        <f>IF(OR($A137="",$B137="",$I137="",$AS137="Determination Issued",$AS137="Rejected",$AS137="Open"),"",IF($AJ137="N/A","N/A",IF($I137="EOT",INDEX(Program_01!AS:AS,MATCH($B137,Program_01!A:A,0)),INDEX(Program_01!BC:BC,MATCH($B137,Program_01!A:A,0)))))</f>
        <v/>
      </c>
      <c r="AL137" s="51"/>
      <c r="AM137" s="184">
        <f>IFERROR(INDEX(Program_01!$BT:$BT,MATCH($B137,Program_01!$A:$A,0)),"")</f>
        <v>0</v>
      </c>
      <c r="AN137" s="184">
        <f>IFERROR(INDEX(Program_01!$BU:$BU,MATCH($B137,Program_01!$A:$A,0)),"")</f>
        <v>0</v>
      </c>
      <c r="AO137" s="184">
        <f>IFERROR(INDEX(Program_01!$BV:$BV,MATCH($B137,Program_01!$A:$A,0)),"")</f>
        <v>0</v>
      </c>
      <c r="AP137" s="51" t="str">
        <f t="shared" si="46"/>
        <v/>
      </c>
      <c r="AQ137" s="184">
        <f>IFERROR(INDEX(Program_01!$BN:$BN,MATCH($B137,Program_01!$A:$A,0)),"")</f>
        <v>0</v>
      </c>
      <c r="AR137" s="184" t="str">
        <f>IFERROR(INDEX(Program_01!$BO:$BO,MATCH($B137,Program_01!$A:$A,0)),"")</f>
        <v>Pending</v>
      </c>
      <c r="AS137" s="184" t="str">
        <f>IFERROR(INDEX(Program_01!$BP:$BP,MATCH($B137,Program_01!$A:$A,0)),"")</f>
        <v>Open</v>
      </c>
      <c r="AT137" s="185" t="str">
        <f>IFERROR(INDEX(Program_01!$BQ:$BQ,MATCH($B137,Program_01!$A:$A,0)),"")</f>
        <v>Awaiting conclusion of EoT</v>
      </c>
      <c r="AU137" s="179" t="str">
        <f>IFERROR(INDEX(Program_01!$BR:$BR,MATCH($B137,Program_01!$A:$A,0)),"")</f>
        <v>17 Feb 26: Contractor submitted EOT-01 on 06 Feb 26 with partial cost implications via 1TB01006-006C58-NVA-LTR-0012
(NVA01006-TRANSMIT-000082), under review with commercial, commercial to issue initial response 
18 May 2026: Ditto
31 May 26: Ditto
04 Jun 26: Ditto+BR133
15 Jun 26:  Ditto, Commercial to issue a follow up letter
11 July 26: Awaiting conclusion of EOT
10 Aug 26: Ditto
21 Sep 26: Ditto
05 Oct 26: Ditto</v>
      </c>
      <c r="AV137" s="186" t="str">
        <f t="shared" si="32"/>
        <v/>
      </c>
      <c r="AW137" s="186" t="str">
        <f t="shared" si="47"/>
        <v>OPEN</v>
      </c>
      <c r="AX137" s="186" t="str">
        <f t="shared" si="33"/>
        <v>OPEN</v>
      </c>
      <c r="AY137" s="181">
        <f t="shared" si="38"/>
        <v>46059</v>
      </c>
      <c r="AZ137" s="181" t="str">
        <f t="shared" si="54"/>
        <v/>
      </c>
      <c r="BA137" s="181" t="str">
        <f t="shared" si="4"/>
        <v/>
      </c>
      <c r="BC137" s="181">
        <f>IFERROR(INDEX(Program_01!BF:BF,MATCH($B137,Program_01!$A:$A,0)),"")</f>
        <v>46059</v>
      </c>
      <c r="BD137" s="188">
        <f ca="1">IFERROR(INDEX(Program_01!BG:BG,MATCH($B137,Program_01!$A:$A,0)),"")</f>
        <v>0</v>
      </c>
      <c r="BE137" s="181">
        <f>IFERROR(INDEX(Program_01!BH:BH,MATCH($B137,Program_01!$A:$A,0)),"")</f>
        <v>0</v>
      </c>
      <c r="BF137" s="189" t="str">
        <f ca="1">IFERROR(INDEX(Program_01!BI:BI,MATCH($B137,Program_01!$A:$A,0)),"")</f>
        <v>N/A</v>
      </c>
      <c r="BG137" s="181">
        <f>IFERROR(INDEX(Program_01!BJ:BJ,MATCH($B137,Program_01!$A:$A,0)),"")</f>
        <v>0</v>
      </c>
      <c r="BH137" s="189">
        <f ca="1">IFERROR(INDEX(Program_01!BK:BK,MATCH($B137,Program_01!$A:$A,0)),"")</f>
        <v>0</v>
      </c>
      <c r="BI137" s="181">
        <f>IFERROR(INDEX(Program_01!BL:BL,MATCH($B137,Program_01!$A:$A,0)),"")</f>
        <v>0</v>
      </c>
      <c r="BK137" s="190" t="str">
        <f>IFERROR(IF(INDEX(Program_01!$BX:$BX,MATCH($B137,Program_01!$A:$A,0))=DATE(1900,1,0),"",INDEX(Program_01!$BX:$BX,MATCH($B137,Program_01!$A:$A,0))),"")</f>
        <v/>
      </c>
      <c r="BL137" s="190" t="str">
        <f>IFERROR(IF(INDEX(Program_01!$BY:$BY,MATCH($B137,Program_01!$A:$A,0))=DATE(1900,1,0),"",INDEX(Program_01!$BY:$BY,MATCH($B137,Program_01!$A:$A,0))),"")</f>
        <v/>
      </c>
      <c r="BM137" s="188" t="str">
        <f t="shared" ca="1" si="39"/>
        <v/>
      </c>
      <c r="BN137" s="191">
        <f t="shared" ca="1" si="40"/>
        <v>0</v>
      </c>
      <c r="BO137" s="188" t="str">
        <f t="shared" si="34"/>
        <v/>
      </c>
      <c r="BP137" s="188" t="str">
        <f t="shared" si="6"/>
        <v/>
      </c>
      <c r="BQ137" s="188" t="str">
        <f t="shared" ca="1" si="41"/>
        <v/>
      </c>
      <c r="BR137" s="181" t="str">
        <f t="shared" ca="1" si="55"/>
        <v/>
      </c>
      <c r="BT137" s="190" t="str">
        <f>IFERROR(IF(INDEX(Program_01!$BZ:$BZ,MATCH($B137,Program_01!$A:$A,0))=DATE(1900,1,0),"",INDEX(Program_01!$BZ:$BZ,MATCH($B137,Program_01!$A:$A,0))),"")</f>
        <v/>
      </c>
      <c r="BU137" s="182" t="str">
        <f t="shared" ca="1" si="48"/>
        <v/>
      </c>
      <c r="BV137" s="188" t="str">
        <f t="shared" si="35"/>
        <v/>
      </c>
      <c r="BW137" s="188" t="str">
        <f t="shared" si="8"/>
        <v/>
      </c>
      <c r="BX137" s="188" t="str">
        <f t="shared" ca="1" si="36"/>
        <v/>
      </c>
      <c r="BY137" s="181" t="str">
        <f t="shared" ca="1" si="56"/>
        <v/>
      </c>
      <c r="CA137" s="192" t="str">
        <f t="shared" si="49"/>
        <v>N</v>
      </c>
      <c r="CB137" s="192" t="str">
        <f t="shared" si="50"/>
        <v>N</v>
      </c>
      <c r="CC137" s="193">
        <f>IFERROR(INDEX(Program_01!$CE:$CE,MATCH($B137,Program_01!$A:$A,0)),"")</f>
        <v>46070</v>
      </c>
      <c r="CD137" s="193">
        <f t="shared" si="57"/>
        <v>46070</v>
      </c>
      <c r="CG137" s="194">
        <f>IFERROR(INDEX(Program_01!$AT:$AT,MATCH($B137,Program_01!$A:$A,0)),"")</f>
        <v>5725965</v>
      </c>
      <c r="CH137" s="194">
        <f>IFERROR(INDEX(Program_01!$AX:$AX,MATCH($B137,Program_01!$A:$A,0)),"")</f>
        <v>0</v>
      </c>
    </row>
    <row r="138" spans="1:86" s="187" customFormat="1" ht="308.25" customHeight="1">
      <c r="A138" s="174" t="s">
        <v>1</v>
      </c>
      <c r="B138" s="175">
        <f t="shared" si="42"/>
        <v>120</v>
      </c>
      <c r="C138" s="176" t="str">
        <f>IFERROR(INDEX(Program_01!$B:$B,MATCH($B138,Program_01!$A:$A,0)),"")</f>
        <v>FULL TIA EAR</v>
      </c>
      <c r="D138" s="176" t="str">
        <f>IFERROR(INDEX(Program_01!$D:$D,MATCH($B138,Program_01!$A:$A,0)),"")</f>
        <v>1TB01006C22</v>
      </c>
      <c r="E138" s="176" t="str">
        <f>IFERROR(INDEX(Program_01!$E:$E,MATCH($B138,Program_01!$A:$A,0)),"")</f>
        <v>1.TB.01.006.99</v>
      </c>
      <c r="F138" s="176" t="str">
        <f>IFERROR(INDEX(Program_01!$F:$F,MATCH($B138,Program_01!$A:$A,0)),"")</f>
        <v>Village Boutique Hotel</v>
      </c>
      <c r="G138" s="176" t="str">
        <f>IFERROR(INDEX(Program_01!$G:$G,MATCH($B138,Program_01!$A:$A,0)),"")</f>
        <v>Builders Works Package for Marina Lifestyle Hotel</v>
      </c>
      <c r="H138" s="176" t="str">
        <f>IFERROR(INDEX(Program_01!$H:$H,MATCH($B138,Program_01!$A:$A,0)),"")</f>
        <v>Shandong Tiejun Electric Power Engineering Co. LTD. Branch</v>
      </c>
      <c r="I138" s="176" t="str">
        <f t="shared" si="37"/>
        <v>EOT</v>
      </c>
      <c r="J138" s="176">
        <f>IFERROR(INDEX(Program_01!$I:$I,MATCH($B138,Program_01!$A:$A,0)),"")</f>
        <v>1</v>
      </c>
      <c r="K138" s="176">
        <f>IFERROR(INDEX(Program_01!$J:$J,MATCH($B138,Program_01!$A:$A,0)),"")</f>
        <v>0</v>
      </c>
      <c r="L138" s="176">
        <f>IFERROR(INDEX(Program_01!$K:$K,MATCH($B138,Program_01!$A:$A,0)),"")</f>
        <v>0</v>
      </c>
      <c r="M138" s="176">
        <f>IFERROR(INDEX(Program_01!$L:$L,MATCH($B138,Program_01!$A:$A,0)),"")</f>
        <v>0</v>
      </c>
      <c r="N138" s="176">
        <f>IFERROR(INDEX(Program_01!$L:$L,MATCH($B138,Program_01!$A:$A,0)),"")</f>
        <v>0</v>
      </c>
      <c r="O138" s="176">
        <f>IFERROR(INDEX(Program_01!$N:$N,MATCH($B138,Program_01!$A:$A,0)),"")</f>
        <v>0</v>
      </c>
      <c r="P138" s="178"/>
      <c r="Q138" s="179" t="str">
        <f>IFERROR(INDEX(Program_01!$C:$C,MATCH($B138,Program_01!$A:$A,0)),"")</f>
        <v>Submission of Extension of Time Claim (EOT-02), Rev-00</v>
      </c>
      <c r="R138" s="176" t="str">
        <f>IFERROR(INDEX(Program_01!$V:$V,MATCH($B138,Program_01!$A:$A,0)),"")</f>
        <v>1TB01006-006C22-STE-LTR-0163 dated 11 Feb 26
STE01006-GENCORR-000313 dated 3 March 2026</v>
      </c>
      <c r="S138" s="180">
        <f>IFERROR(INDEX(Program_01!$W:$W,MATCH($B138,Program_01!$A:$A,0)),"")</f>
        <v>46084</v>
      </c>
      <c r="T138" s="178"/>
      <c r="U138" s="176">
        <f>IFERROR(INDEX(Program_01!$Z:$Z,MATCH($B138,Program_01!$A:$A,0)),"")</f>
        <v>0</v>
      </c>
      <c r="V138" s="181">
        <f>IFERROR(INDEX(Program_01!$AA:$AA,MATCH($B138,Program_01!$A:$A,0)),"")</f>
        <v>0</v>
      </c>
      <c r="W138" s="182">
        <f t="shared" ca="1" si="0"/>
        <v>216</v>
      </c>
      <c r="X138" s="51"/>
      <c r="Y138" s="179">
        <f>IFERROR(INDEX(Program_01!$BD:$BD,MATCH($B138,Program_01!$A:$A,0)),"")</f>
        <v>0</v>
      </c>
      <c r="Z138" s="51"/>
      <c r="AA138" s="183" t="str">
        <f>IFERROR(IF((INDEX(Program_01!$AD:$AD,MATCH($B138,Program_01!$A:$A,0))=""),INDEX(Program_01!$V:$V,MATCH($B138,Program_01!$A:$A,0)),INDEX(Program_01!$AD:$AD,MATCH($B138,Program_01!$A:$A,0))),"")</f>
        <v>1TB01006-006C22-STE-LTR-0163 dated 11 Feb 26
STE01006-GENCORR-000313 dated 3 March 2026</v>
      </c>
      <c r="AB138" s="147">
        <f>IFERROR(IF((INDEX(Program_01!$AE:$AE,MATCH($B138,Program_01!$A:$A,0))=""),INDEX(Program_01!$W:$W,MATCH($B138,Program_01!$A:$A,0)),INDEX(Program_01!$AE:$AE,MATCH($B138,Program_01!$A:$A,0))),"")</f>
        <v>46084</v>
      </c>
      <c r="AC138" s="183" t="str">
        <f>IFERROR(IF($I138="EOT",INDEX(Program_01!$AN:$AN,MATCH($B138,Program_01!$A:$A,0)),INDEX(Program_01!$AY:$AY,MATCH($B138,Program_01!$A:$A,0))),"")</f>
        <v xml:space="preserve">
workflow initiated via WF-046503 on 03 Aug 26
1TB01006-006C22-AMA-RPT-PM-0003
 (AMA01006-WTRAN-147775)</v>
      </c>
      <c r="AD138" s="181">
        <f>IFERROR(IF($I138="EOT",INDEX(Program_01!$AO:$AO,MATCH($B138,Program_01!$A:$A,0)),INDEX(Program_01!$AZ:$AZ,MATCH($B138,Program_01!$A:$A,0))),"")</f>
        <v>46244</v>
      </c>
      <c r="AE138" s="51"/>
      <c r="AF138" s="183"/>
      <c r="AG138" s="181"/>
      <c r="AH138" s="183" t="str">
        <f>IF(OR($D138="",$AS138="VO Issued",$AS138="Open"),"",IF(OR($AC138="Rejected",$AC138="Superseded",$AC138="Dealt Separately"),$AC138,IF($I138="EOT",INDEX(Program_01!$AR:$AR,MATCH($B138,Program_01!$A:$A,0)),INDEX(Program_01!$BB:$BB,MATCH($B138,Program_01!$A:$A,0)))))</f>
        <v/>
      </c>
      <c r="AI138" s="181" t="str">
        <f>IF(OR($A138="",$B138="",$I138="",$AS138="VO Issued",$AS138="Open"),"",IF(OR($AD138="N/A"),$AD138,IF($I138="EOT",INDEX(Program_01!$AS:$AS,MATCH($B138,Program_01!$A:$A,0)),INDEX(Program_01!$BC:$BC,MATCH($B138,Program_01!$A:$A,0)))))</f>
        <v/>
      </c>
      <c r="AJ138" s="183" t="str">
        <f>IF(OR($D138="",$I138="",$AS138="Determination Issued",$AS138="Rejected",$AS138="Open"),"",IF(OR($AH138="Rejected",$AH138="Dealt Separately",$AH138="Superseded",$AH138="Withdrawn"),"N/A",IF($I138="EOT",INDEX(Program_01!AR:AR,MATCH($B138,Program_01!A:A,0)),INDEX(Program_01!BB:BB,MATCH($B138,Program_01!A:A,0)))))</f>
        <v/>
      </c>
      <c r="AK138" s="181" t="str">
        <f>IF(OR($A138="",$B138="",$I138="",$AS138="Determination Issued",$AS138="Rejected",$AS138="Open"),"",IF($AJ138="N/A","N/A",IF($I138="EOT",INDEX(Program_01!AS:AS,MATCH($B138,Program_01!A:A,0)),INDEX(Program_01!BC:BC,MATCH($B138,Program_01!A:A,0)))))</f>
        <v/>
      </c>
      <c r="AL138" s="51"/>
      <c r="AM138" s="184">
        <f>IFERROR(INDEX(Program_01!$BT:$BT,MATCH($B138,Program_01!$A:$A,0)),"")</f>
        <v>0</v>
      </c>
      <c r="AN138" s="184">
        <f>IFERROR(INDEX(Program_01!$BU:$BU,MATCH($B138,Program_01!$A:$A,0)),"")</f>
        <v>0</v>
      </c>
      <c r="AO138" s="184">
        <f>IFERROR(INDEX(Program_01!$BV:$BV,MATCH($B138,Program_01!$A:$A,0)),"")</f>
        <v>0</v>
      </c>
      <c r="AP138" s="51" t="str">
        <f t="shared" si="46"/>
        <v/>
      </c>
      <c r="AQ138" s="184">
        <f>IFERROR(INDEX(Program_01!$BN:$BN,MATCH($B138,Program_01!$A:$A,0)),"")</f>
        <v>0</v>
      </c>
      <c r="AR138" s="184" t="str">
        <f>IFERROR(INDEX(Program_01!$BO:$BO,MATCH($B138,Program_01!$A:$A,0)),"")</f>
        <v>Assessment Report Issued</v>
      </c>
      <c r="AS138" s="184" t="str">
        <f>IFERROR(INDEX(Program_01!$BP:$BP,MATCH($B138,Program_01!$A:$A,0)),"")</f>
        <v>Open</v>
      </c>
      <c r="AT138" s="185" t="str">
        <f>IFERROR(INDEX(Program_01!$BQ:$BQ,MATCH($B138,Program_01!$A:$A,0)),"")</f>
        <v>Assessment in WF</v>
      </c>
      <c r="AU138" s="179" t="str">
        <f>IFERROR(INDEX(Program_01!$BR:$BR,MATCH($B138,Program_01!$A:$A,0)),"")</f>
        <v>14 May 26: Draft EAR sent to claims team for review
18 May 26: Claims team targeted to revert by 21 May 26
31 May 26: Ditto
04 Jun 26: Claims to target 6 Jun 26.
05 Jun 26: Sent to Planning on 5 Jun 26
08 Jun 26: Target date TBC
15 Jun 26: Ditto (targete date TBC)
22 Jun 26: targeted to revert by 25 Jun 26
29 June 26: EAR pending with Planning (Shaju to update)
06 Jul 26: TIA tageted to conclude by 09 Jul 26
13 Jul 26: Ditto, Shaju to update
19 Jul 26: TIA incorporated and sent to claims team / Commercial for finalisation and approval prior to WF process
20 Jul 26: Draft EAR sent to commercial for finalisation / final draft sent to claims team for pre approval 
27 Jul 26: Ditto, 
02 Aug 26: EAR approved and sent to commercial to intiate WF
03 Aug 26: EAR under WF-046503 for approval
10 Aug 26: Ditto
24 Aug 26: Ditto
05 Sept 26: EAR approved and to be issued to Contractor. Letter under workflow for approval. WF referenc WF-047267
21 Sep 26: Ditto.
03 Oct 26 : EI under WF approval. EAR Accepted by Contractor</v>
      </c>
      <c r="AV138" s="186" t="str">
        <f t="shared" si="32"/>
        <v/>
      </c>
      <c r="AW138" s="186" t="str">
        <f t="shared" si="47"/>
        <v>OPEN</v>
      </c>
      <c r="AX138" s="186" t="str">
        <f t="shared" si="33"/>
        <v>OPEN</v>
      </c>
      <c r="AY138" s="181">
        <f t="shared" si="38"/>
        <v>46084</v>
      </c>
      <c r="AZ138" s="181">
        <f t="shared" si="54"/>
        <v>46244</v>
      </c>
      <c r="BA138" s="181" t="str">
        <f t="shared" si="4"/>
        <v/>
      </c>
      <c r="BC138" s="181">
        <f>IFERROR(INDEX(Program_01!BF:BF,MATCH($B138,Program_01!$A:$A,0)),"")</f>
        <v>46084</v>
      </c>
      <c r="BD138" s="188">
        <f ca="1">IFERROR(INDEX(Program_01!BG:BG,MATCH($B138,Program_01!$A:$A,0)),"")</f>
        <v>94</v>
      </c>
      <c r="BE138" s="181">
        <f>IFERROR(INDEX(Program_01!BH:BH,MATCH($B138,Program_01!$A:$A,0)),"")</f>
        <v>46178</v>
      </c>
      <c r="BF138" s="189">
        <f ca="1">IFERROR(INDEX(Program_01!BI:BI,MATCH($B138,Program_01!$A:$A,0)),"")</f>
        <v>44</v>
      </c>
      <c r="BG138" s="181">
        <f>IFERROR(INDEX(Program_01!BJ:BJ,MATCH($B138,Program_01!$A:$A,0)),"")</f>
        <v>46222</v>
      </c>
      <c r="BH138" s="189">
        <f ca="1">IFERROR(INDEX(Program_01!BK:BK,MATCH($B138,Program_01!$A:$A,0)),"")</f>
        <v>15</v>
      </c>
      <c r="BI138" s="181">
        <f>IFERROR(INDEX(Program_01!BL:BL,MATCH($B138,Program_01!$A:$A,0)),"")</f>
        <v>46237</v>
      </c>
      <c r="BK138" s="190">
        <f>IFERROR(IF(INDEX(Program_01!$BX:$BX,MATCH($B138,Program_01!$A:$A,0))=DATE(1900,1,0),"",INDEX(Program_01!$BX:$BX,MATCH($B138,Program_01!$A:$A,0))),"")</f>
        <v>46235</v>
      </c>
      <c r="BL138" s="190" t="str">
        <f>IFERROR(IF(INDEX(Program_01!$BY:$BY,MATCH($B138,Program_01!$A:$A,0))=DATE(1900,1,0),"",INDEX(Program_01!$BY:$BY,MATCH($B138,Program_01!$A:$A,0))),"")</f>
        <v/>
      </c>
      <c r="BM138" s="188">
        <f t="shared" ca="1" si="39"/>
        <v>160</v>
      </c>
      <c r="BN138" s="191">
        <f t="shared" ca="1" si="40"/>
        <v>160</v>
      </c>
      <c r="BO138" s="188">
        <f t="shared" ca="1" si="34"/>
        <v>160</v>
      </c>
      <c r="BP138" s="188" t="str">
        <f t="shared" si="6"/>
        <v>1</v>
      </c>
      <c r="BQ138" s="188" t="str">
        <f t="shared" ca="1" si="41"/>
        <v/>
      </c>
      <c r="BR138" s="181" t="str">
        <f t="shared" ca="1" si="55"/>
        <v/>
      </c>
      <c r="BT138" s="190" t="str">
        <f>IFERROR(IF(INDEX(Program_01!$BZ:$BZ,MATCH($B138,Program_01!$A:$A,0))=DATE(1900,1,0),"",INDEX(Program_01!$BZ:$BZ,MATCH($B138,Program_01!$A:$A,0))),"")</f>
        <v/>
      </c>
      <c r="BU138" s="182" t="str">
        <f t="shared" ca="1" si="48"/>
        <v/>
      </c>
      <c r="BV138" s="188" t="str">
        <f t="shared" si="35"/>
        <v/>
      </c>
      <c r="BW138" s="188" t="str">
        <f t="shared" si="8"/>
        <v/>
      </c>
      <c r="BX138" s="188" t="str">
        <f t="shared" ca="1" si="36"/>
        <v/>
      </c>
      <c r="BY138" s="181" t="str">
        <f t="shared" ca="1" si="56"/>
        <v/>
      </c>
      <c r="CA138" s="192" t="str">
        <f t="shared" si="49"/>
        <v>Y</v>
      </c>
      <c r="CB138" s="192" t="str">
        <f t="shared" si="50"/>
        <v>N</v>
      </c>
      <c r="CC138" s="193">
        <f>IFERROR(INDEX(Program_01!$CE:$CE,MATCH($B138,Program_01!$A:$A,0)),"")</f>
        <v>46089</v>
      </c>
      <c r="CD138" s="193">
        <f t="shared" si="57"/>
        <v>46089</v>
      </c>
      <c r="CG138" s="194">
        <f>IFERROR(INDEX(Program_01!$AT:$AT,MATCH($B138,Program_01!$A:$A,0)),"")</f>
        <v>0</v>
      </c>
      <c r="CH138" s="194">
        <f>IFERROR(INDEX(Program_01!$AX:$AX,MATCH($B138,Program_01!$A:$A,0)),"")</f>
        <v>0</v>
      </c>
    </row>
    <row r="139" spans="1:86" s="187" customFormat="1" ht="195" customHeight="1">
      <c r="A139" s="174" t="s">
        <v>1</v>
      </c>
      <c r="B139" s="175">
        <f t="shared" si="42"/>
        <v>121</v>
      </c>
      <c r="C139" s="176" t="str">
        <f>IFERROR(INDEX(Program_01!$B:$B,MATCH($B139,Program_01!$A:$A,0)),"")</f>
        <v>FULL TIA EAR</v>
      </c>
      <c r="D139" s="176" t="str">
        <f>IFERROR(INDEX(Program_01!$D:$D,MATCH($B139,Program_01!$A:$A,0)),"")</f>
        <v>1TB01005C11</v>
      </c>
      <c r="E139" s="176" t="str">
        <f>IFERROR(INDEX(Program_01!$E:$E,MATCH($B139,Program_01!$A:$A,0)),"")</f>
        <v>1.TB.01.005.01</v>
      </c>
      <c r="F139" s="176" t="str">
        <f>IFERROR(INDEX(Program_01!$F:$F,MATCH($B139,Program_01!$A:$A,0)),"")</f>
        <v>Red Sea Marine Life Institute</v>
      </c>
      <c r="G139" s="176" t="str">
        <f>IFERROR(INDEX(Program_01!$G:$G,MATCH($B139,Program_01!$A:$A,0)),"")</f>
        <v>Fit Out Works for Red Sea Marine Life Institute</v>
      </c>
      <c r="H139" s="176" t="str">
        <f>IFERROR(INDEX(Program_01!$H:$H,MATCH($B139,Program_01!$A:$A,0)),"")</f>
        <v>Alec Saudi Engineering and Contracting Company</v>
      </c>
      <c r="I139" s="176" t="str">
        <f t="shared" si="37"/>
        <v>EOT</v>
      </c>
      <c r="J139" s="176">
        <f>IFERROR(INDEX(Program_01!$I:$I,MATCH($B139,Program_01!$A:$A,0)),"")</f>
        <v>1</v>
      </c>
      <c r="K139" s="176">
        <f>IFERROR(INDEX(Program_01!$J:$J,MATCH($B139,Program_01!$A:$A,0)),"")</f>
        <v>0</v>
      </c>
      <c r="L139" s="176">
        <f>IFERROR(INDEX(Program_01!$K:$K,MATCH($B139,Program_01!$A:$A,0)),"")</f>
        <v>0</v>
      </c>
      <c r="M139" s="176">
        <f>IFERROR(INDEX(Program_01!$L:$L,MATCH($B139,Program_01!$A:$A,0)),"")</f>
        <v>0</v>
      </c>
      <c r="N139" s="176">
        <f>IFERROR(INDEX(Program_01!$L:$L,MATCH($B139,Program_01!$A:$A,0)),"")</f>
        <v>0</v>
      </c>
      <c r="O139" s="176">
        <f>IFERROR(INDEX(Program_01!$N:$N,MATCH($B139,Program_01!$A:$A,0)),"")</f>
        <v>0</v>
      </c>
      <c r="P139" s="178"/>
      <c r="Q139" s="179" t="str">
        <f>IFERROR(INDEX(Program_01!$C:$C,MATCH($B139,Program_01!$A:$A,0)),"")</f>
        <v>Access delay events - Contractor's claim for an Extension of the Time for Completion and Additional Payment - Interim Claim No 3 with cut-off date 05 December 2025</v>
      </c>
      <c r="R139" s="176" t="str">
        <f>IFERROR(INDEX(Program_01!$V:$V,MATCH($B139,Program_01!$A:$A,0)),"")</f>
        <v>1TB01005-005C11-ALE-LTR-0290</v>
      </c>
      <c r="S139" s="180">
        <f>IFERROR(INDEX(Program_01!$W:$W,MATCH($B139,Program_01!$A:$A,0)),"")</f>
        <v>46084</v>
      </c>
      <c r="T139" s="178"/>
      <c r="U139" s="176" t="str">
        <f>IFERROR(INDEX(Program_01!$Z:$Z,MATCH($B139,Program_01!$A:$A,0)),"")</f>
        <v>1TB01005-005C11-AMA-LTR-0180</v>
      </c>
      <c r="V139" s="181">
        <f>IFERROR(INDEX(Program_01!$AA:$AA,MATCH($B139,Program_01!$A:$A,0)),"")</f>
        <v>46160</v>
      </c>
      <c r="W139" s="182">
        <f t="shared" ca="1" si="0"/>
        <v>76</v>
      </c>
      <c r="X139" s="51"/>
      <c r="Y139" s="179">
        <f>IFERROR(INDEX(Program_01!$BD:$BD,MATCH($B139,Program_01!$A:$A,0)),"")</f>
        <v>0</v>
      </c>
      <c r="Z139" s="51"/>
      <c r="AA139" s="183" t="str">
        <f>IFERROR(IF((INDEX(Program_01!$AD:$AD,MATCH($B139,Program_01!$A:$A,0))=""),INDEX(Program_01!$V:$V,MATCH($B139,Program_01!$A:$A,0)),INDEX(Program_01!$AD:$AD,MATCH($B139,Program_01!$A:$A,0))),"")</f>
        <v>1TB01005-005C11-ALE-LTR-0290</v>
      </c>
      <c r="AB139" s="147">
        <f>IFERROR(IF((INDEX(Program_01!$AE:$AE,MATCH($B139,Program_01!$A:$A,0))=""),INDEX(Program_01!$W:$W,MATCH($B139,Program_01!$A:$A,0)),INDEX(Program_01!$AE:$AE,MATCH($B139,Program_01!$A:$A,0))),"")</f>
        <v>46084</v>
      </c>
      <c r="AC139" s="183" t="str">
        <f>IFERROR(IF($I139="EOT",INDEX(Program_01!$AN:$AN,MATCH($B139,Program_01!$A:$A,0)),INDEX(Program_01!$AY:$AY,MATCH($B139,Program_01!$A:$A,0))),"")</f>
        <v>1TB01005-005C11-AMA-RPT-PM-0003
WF initiated via WF-042937 on 02 May 26
KPI will be +7 days from WF</v>
      </c>
      <c r="AD139" s="181">
        <f>IFERROR(IF($I139="EOT",INDEX(Program_01!$AO:$AO,MATCH($B139,Program_01!$A:$A,0)),INDEX(Program_01!$AZ:$AZ,MATCH($B139,Program_01!$A:$A,0))),"")</f>
        <v>46151</v>
      </c>
      <c r="AE139" s="51"/>
      <c r="AF139" s="183"/>
      <c r="AG139" s="181"/>
      <c r="AH139" s="183">
        <f>IF(OR($D139="",$AS139="VO Issued",$AS139="Open"),"",IF(OR($AC139="Rejected",$AC139="Superseded",$AC139="Dealt Separately"),$AC139,IF($I139="EOT",INDEX(Program_01!$AR:$AR,MATCH($B139,Program_01!$A:$A,0)),INDEX(Program_01!$BB:$BB,MATCH($B139,Program_01!$A:$A,0)))))</f>
        <v>0</v>
      </c>
      <c r="AI139" s="181">
        <f>IF(OR($A139="",$B139="",$I139="",$AS139="VO Issued",$AS139="Open"),"",IF(OR($AD139="N/A"),$AD139,IF($I139="EOT",INDEX(Program_01!$AS:$AS,MATCH($B139,Program_01!$A:$A,0)),INDEX(Program_01!$BC:$BC,MATCH($B139,Program_01!$A:$A,0)))))</f>
        <v>0</v>
      </c>
      <c r="AJ139" s="183">
        <f>IF(OR($D139="",$I139="",$AS139="Determination Issued",$AS139="Rejected",$AS139="Open"),"",IF(OR($AH139="Rejected",$AH139="Dealt Separately",$AH139="Superseded",$AH139="Withdrawn"),"N/A",IF($I139="EOT",INDEX(Program_01!AR:AR,MATCH($B139,Program_01!A:A,0)),INDEX(Program_01!BB:BB,MATCH($B139,Program_01!A:A,0)))))</f>
        <v>0</v>
      </c>
      <c r="AK139" s="181">
        <f>IF(OR($A139="",$B139="",$I139="",$AS139="Determination Issued",$AS139="Rejected",$AS139="Open"),"",IF($AJ139="N/A","N/A",IF($I139="EOT",INDEX(Program_01!AS:AS,MATCH($B139,Program_01!A:A,0)),INDEX(Program_01!BC:BC,MATCH($B139,Program_01!A:A,0)))))</f>
        <v>0</v>
      </c>
      <c r="AL139" s="51"/>
      <c r="AM139" s="184">
        <f>IFERROR(INDEX(Program_01!$BT:$BT,MATCH($B139,Program_01!$A:$A,0)),"")</f>
        <v>0</v>
      </c>
      <c r="AN139" s="184">
        <f>IFERROR(INDEX(Program_01!$BU:$BU,MATCH($B139,Program_01!$A:$A,0)),"")</f>
        <v>0</v>
      </c>
      <c r="AO139" s="184">
        <f>IFERROR(INDEX(Program_01!$BV:$BV,MATCH($B139,Program_01!$A:$A,0)),"")</f>
        <v>0</v>
      </c>
      <c r="AP139" s="51" t="str">
        <f t="shared" si="46"/>
        <v/>
      </c>
      <c r="AQ139" s="184">
        <f>IFERROR(INDEX(Program_01!$BN:$BN,MATCH($B139,Program_01!$A:$A,0)),"")</f>
        <v>0</v>
      </c>
      <c r="AR139" s="184" t="str">
        <f>IFERROR(INDEX(Program_01!$BO:$BO,MATCH($B139,Program_01!$A:$A,0)),"")</f>
        <v>Assessment Report Issued</v>
      </c>
      <c r="AS139" s="184" t="str">
        <f>IFERROR(INDEX(Program_01!$BP:$BP,MATCH($B139,Program_01!$A:$A,0)),"")</f>
        <v>EI Issued</v>
      </c>
      <c r="AT139" s="185" t="str">
        <f>IFERROR(INDEX(Program_01!$BQ:$BQ,MATCH($B139,Program_01!$A:$A,0)),"")</f>
        <v>Closed</v>
      </c>
      <c r="AU139" s="179" t="str">
        <f>IFERROR(INDEX(Program_01!$BR:$BR,MATCH($B139,Program_01!$A:$A,0)),"")</f>
        <v>08 March 26: EAR to be prepared. Target date to issue to Claims team on  03 April 26
03 Apr 26: Draft EAR sent to claim team for initial review
06 Apr 26: targeted revert by 14 Apr 26, 
20 Apr 26: claims team Targeted to revert by 21 Apr 26
23 Apr 26: Draft EAR finalised and sent to planning for TIA // planning responded to requesting clarification for the basis of validity in the assessment as it does not support the chronology // Updated draft sent back to planning addressing teh comments
27 Apr 26: TIA under process targeted to conclude by 30 Apr 26
28 Apr 26: TIA incorporated and sent to commercial for finalisation prior to claims team's offline approval
29 Apr 26: Final Draft EAR sent to claims for review and Pre approval prior to WF initiation
02 May 26: EAR approved and sent back to commercial to initiate WF // EAR put in WF (WF-042937)
04 May 26: Ditto
15 May 26: EAR approved and being issued to Contractor - 1TB01005-005C11-AMA-LTR-0176
31 May 26: Ditto
04 Jun 26: Ditto
15 Jun 26: commercial to send a follow up 
28 Jun 28: follow up Letter for the response to the EAR in WF going through approvals 1TB01005-005C11-AMA-LTR-0185
10 July 26: Follow up letter issued to Contractor 29 Jun 26 via 1TB01005-005C11-AMA-LTR-0185
27 Jul 26: Ditto
10 Aug 26: Ditto, Commercial to issue EI
21 Aug 26: EI and determination on WF 1TB01005-005C11-AMA-LTR-0200 &amp; 0201 - EI-026 going through approvals
05 Sept 26: Both issued to Contractor on 25 Aug 26 (WF 1TB01005-005C11-AMA-LTR-0200 &amp; 0201)</v>
      </c>
      <c r="AV139" s="186" t="str">
        <f t="shared" si="32"/>
        <v/>
      </c>
      <c r="AW139" s="186" t="str">
        <f t="shared" si="47"/>
        <v>CLOSED</v>
      </c>
      <c r="AX139" s="186" t="str">
        <f t="shared" si="33"/>
        <v>CLOSED</v>
      </c>
      <c r="AY139" s="181">
        <f t="shared" si="38"/>
        <v>46084</v>
      </c>
      <c r="AZ139" s="181">
        <f t="shared" si="54"/>
        <v>46151</v>
      </c>
      <c r="BA139" s="181">
        <f t="shared" si="4"/>
        <v>0</v>
      </c>
      <c r="BC139" s="181">
        <f>IFERROR(INDEX(Program_01!BF:BF,MATCH($B139,Program_01!$A:$A,0)),"")</f>
        <v>46084</v>
      </c>
      <c r="BD139" s="188">
        <f ca="1">IFERROR(INDEX(Program_01!BG:BG,MATCH($B139,Program_01!$A:$A,0)),"")</f>
        <v>51</v>
      </c>
      <c r="BE139" s="181">
        <f>IFERROR(INDEX(Program_01!BH:BH,MATCH($B139,Program_01!$A:$A,0)),"")</f>
        <v>46135</v>
      </c>
      <c r="BF139" s="189">
        <f ca="1">IFERROR(INDEX(Program_01!BI:BI,MATCH($B139,Program_01!$A:$A,0)),"")</f>
        <v>5</v>
      </c>
      <c r="BG139" s="181">
        <f>IFERROR(INDEX(Program_01!BJ:BJ,MATCH($B139,Program_01!$A:$A,0)),"")</f>
        <v>46140</v>
      </c>
      <c r="BH139" s="189">
        <f ca="1">IFERROR(INDEX(Program_01!BK:BK,MATCH($B139,Program_01!$A:$A,0)),"")</f>
        <v>4</v>
      </c>
      <c r="BI139" s="181">
        <f>IFERROR(INDEX(Program_01!BL:BL,MATCH($B139,Program_01!$A:$A,0)),"")</f>
        <v>46144</v>
      </c>
      <c r="BK139" s="190">
        <f>IFERROR(IF(INDEX(Program_01!$BX:$BX,MATCH($B139,Program_01!$A:$A,0))=DATE(1900,1,0),"",INDEX(Program_01!$BX:$BX,MATCH($B139,Program_01!$A:$A,0))),"")</f>
        <v>46143</v>
      </c>
      <c r="BL139" s="190" t="str">
        <f>IFERROR(IF(INDEX(Program_01!$BY:$BY,MATCH($B139,Program_01!$A:$A,0))=DATE(1900,1,0),"",INDEX(Program_01!$BY:$BY,MATCH($B139,Program_01!$A:$A,0))),"")</f>
        <v/>
      </c>
      <c r="BM139" s="188">
        <f t="shared" ca="1" si="39"/>
        <v>67</v>
      </c>
      <c r="BN139" s="191">
        <f t="shared" ca="1" si="40"/>
        <v>67</v>
      </c>
      <c r="BO139" s="188">
        <f t="shared" ca="1" si="34"/>
        <v>67</v>
      </c>
      <c r="BP139" s="188" t="str">
        <f t="shared" si="6"/>
        <v>1</v>
      </c>
      <c r="BQ139" s="188" t="str">
        <f t="shared" ca="1" si="41"/>
        <v/>
      </c>
      <c r="BR139" s="181" t="str">
        <f t="shared" ca="1" si="55"/>
        <v/>
      </c>
      <c r="BT139" s="190" t="str">
        <f>IFERROR(IF(INDEX(Program_01!$BZ:$BZ,MATCH($B139,Program_01!$A:$A,0))=DATE(1900,1,0),"",INDEX(Program_01!$BZ:$BZ,MATCH($B139,Program_01!$A:$A,0))),"")</f>
        <v/>
      </c>
      <c r="BU139" s="182" t="str">
        <f t="shared" ca="1" si="48"/>
        <v/>
      </c>
      <c r="BV139" s="188" t="str">
        <f t="shared" si="35"/>
        <v/>
      </c>
      <c r="BW139" s="188" t="str">
        <f t="shared" si="8"/>
        <v>1</v>
      </c>
      <c r="BX139" s="188" t="str">
        <f t="shared" ca="1" si="36"/>
        <v/>
      </c>
      <c r="BY139" s="181" t="str">
        <f t="shared" ca="1" si="56"/>
        <v/>
      </c>
      <c r="CA139" s="192" t="str">
        <f t="shared" si="49"/>
        <v>Y</v>
      </c>
      <c r="CB139" s="192" t="str">
        <f t="shared" si="50"/>
        <v>N</v>
      </c>
      <c r="CC139" s="193">
        <f>IFERROR(INDEX(Program_01!$CE:$CE,MATCH($B139,Program_01!$A:$A,0)),"")</f>
        <v>46089</v>
      </c>
      <c r="CD139" s="193">
        <f t="shared" si="57"/>
        <v>46089</v>
      </c>
      <c r="CG139" s="194">
        <f>IFERROR(INDEX(Program_01!$AT:$AT,MATCH($B139,Program_01!$A:$A,0)),"")</f>
        <v>0</v>
      </c>
      <c r="CH139" s="194">
        <f>IFERROR(INDEX(Program_01!$AX:$AX,MATCH($B139,Program_01!$A:$A,0)),"")</f>
        <v>0</v>
      </c>
    </row>
    <row r="140" spans="1:86" s="187" customFormat="1" ht="280.5" customHeight="1">
      <c r="A140" s="174" t="s">
        <v>1</v>
      </c>
      <c r="B140" s="199">
        <f t="shared" si="42"/>
        <v>122</v>
      </c>
      <c r="C140" s="176" t="str">
        <f>IFERROR(INDEX(Program_01!$B:$B,MATCH($B140,Program_01!$A:$A,0)),"")</f>
        <v>FULL TIA EAR</v>
      </c>
      <c r="D140" s="176" t="str">
        <f>IFERROR(INDEX(Program_01!$D:$D,MATCH($B140,Program_01!$A:$A,0)),"")</f>
        <v>1TB01002C61</v>
      </c>
      <c r="E140" s="176" t="str">
        <f>IFERROR(INDEX(Program_01!$E:$E,MATCH($B140,Program_01!$A:$A,0)),"")</f>
        <v>1.TB.01.002.02</v>
      </c>
      <c r="F140" s="176" t="str">
        <f>IFERROR(INDEX(Program_01!$F:$F,MATCH($B140,Program_01!$A:$A,0)),"")</f>
        <v>Marina Lifestyle Hotel &amp; Village</v>
      </c>
      <c r="G140" s="176" t="str">
        <f>IFERROR(INDEX(Program_01!$G:$G,MATCH($B140,Program_01!$A:$A,0)),"")</f>
        <v>Fit-Out works of AMAALA Residences/Non-Branded (49 Nos)
for Marina Lifestyle Hotel</v>
      </c>
      <c r="H140" s="176" t="str">
        <f>IFERROR(INDEX(Program_01!$H:$H,MATCH($B140,Program_01!$A:$A,0)),"")</f>
        <v>Havelock One Interiors Company</v>
      </c>
      <c r="I140" s="176" t="str">
        <f t="shared" si="37"/>
        <v>EOT</v>
      </c>
      <c r="J140" s="176">
        <f>IFERROR(INDEX(Program_01!$I:$I,MATCH($B140,Program_01!$A:$A,0)),"")</f>
        <v>1</v>
      </c>
      <c r="K140" s="176">
        <f>IFERROR(INDEX(Program_01!$J:$J,MATCH($B140,Program_01!$A:$A,0)),"")</f>
        <v>0</v>
      </c>
      <c r="L140" s="176">
        <f>IFERROR(INDEX(Program_01!$K:$K,MATCH($B140,Program_01!$A:$A,0)),"")</f>
        <v>0</v>
      </c>
      <c r="M140" s="176">
        <f>IFERROR(INDEX(Program_01!$L:$L,MATCH($B140,Program_01!$A:$A,0)),"")</f>
        <v>0</v>
      </c>
      <c r="N140" s="176">
        <f>IFERROR(INDEX(Program_01!$L:$L,MATCH($B140,Program_01!$A:$A,0)),"")</f>
        <v>0</v>
      </c>
      <c r="O140" s="176">
        <f>IFERROR(INDEX(Program_01!$N:$N,MATCH($B140,Program_01!$A:$A,0)),"")</f>
        <v>0</v>
      </c>
      <c r="P140" s="178"/>
      <c r="Q140" s="179" t="str">
        <f>IFERROR(INDEX(Program_01!$C:$C,MATCH($B140,Program_01!$A:$A,0)),"")</f>
        <v>Request for Interim Extension of Time Residences 49 Condos ID Package (EOT 02)</v>
      </c>
      <c r="R140" s="176" t="str">
        <f>IFERROR(INDEX(Program_01!$V:$V,MATCH($B140,Program_01!$A:$A,0)),"")</f>
        <v xml:space="preserve">1TB01002-002C61-HOI-LTR-0013 </v>
      </c>
      <c r="S140" s="180">
        <f>IFERROR(INDEX(Program_01!$W:$W,MATCH($B140,Program_01!$A:$A,0)),"")</f>
        <v>46082</v>
      </c>
      <c r="T140" s="178"/>
      <c r="U140" s="176" t="str">
        <f>IFERROR(INDEX(Program_01!$Z:$Z,MATCH($B140,Program_01!$A:$A,0)),"")</f>
        <v>1TB01002-002C61-AMA-LTR-0009 on 26- April-26.</v>
      </c>
      <c r="V140" s="181">
        <f>IFERROR(INDEX(Program_01!$AA:$AA,MATCH($B140,Program_01!$A:$A,0)),"")</f>
        <v>46138</v>
      </c>
      <c r="W140" s="182">
        <f t="shared" ca="1" si="0"/>
        <v>56</v>
      </c>
      <c r="X140" s="51"/>
      <c r="Y140" s="179">
        <f>IFERROR(INDEX(Program_01!$BD:$BD,MATCH($B140,Program_01!$A:$A,0)),"")</f>
        <v>0</v>
      </c>
      <c r="Z140" s="51"/>
      <c r="AA140" s="183" t="str">
        <f>IFERROR(IF((INDEX(Program_01!$AD:$AD,MATCH($B140,Program_01!$A:$A,0))=""),INDEX(Program_01!$V:$V,MATCH($B140,Program_01!$A:$A,0)),INDEX(Program_01!$AD:$AD,MATCH($B140,Program_01!$A:$A,0))),"")</f>
        <v>1TB01002-002C61-HOI-LTR-0025 dated 17 August 2026</v>
      </c>
      <c r="AB140" s="147">
        <f>IFERROR(IF((INDEX(Program_01!$AE:$AE,MATCH($B140,Program_01!$A:$A,0))=""),INDEX(Program_01!$W:$W,MATCH($B140,Program_01!$A:$A,0)),INDEX(Program_01!$AE:$AE,MATCH($B140,Program_01!$A:$A,0))),"")</f>
        <v>46251</v>
      </c>
      <c r="AC140" s="183">
        <f>IFERROR(IF($I140="EOT",INDEX(Program_01!$AN:$AN,MATCH($B140,Program_01!$A:$A,0)),INDEX(Program_01!$AY:$AY,MATCH($B140,Program_01!$A:$A,0))),"")</f>
        <v>0</v>
      </c>
      <c r="AD140" s="181">
        <f>IFERROR(IF($I140="EOT",INDEX(Program_01!$AO:$AO,MATCH($B140,Program_01!$A:$A,0)),INDEX(Program_01!$AZ:$AZ,MATCH($B140,Program_01!$A:$A,0))),"")</f>
        <v>0</v>
      </c>
      <c r="AE140" s="51"/>
      <c r="AF140" s="183"/>
      <c r="AG140" s="181"/>
      <c r="AH140" s="183" t="str">
        <f>IF(OR($D140="",$AS140="VO Issued",$AS140="Open"),"",IF(OR($AC140="Rejected",$AC140="Superseded",$AC140="Dealt Separately"),$AC140,IF($I140="EOT",INDEX(Program_01!$AR:$AR,MATCH($B140,Program_01!$A:$A,0)),INDEX(Program_01!$BB:$BB,MATCH($B140,Program_01!$A:$A,0)))))</f>
        <v/>
      </c>
      <c r="AI140" s="181" t="str">
        <f>IF(OR($A140="",$B140="",$I140="",$AS140="VO Issued",$AS140="Open"),"",IF(OR($AD140="N/A"),$AD140,IF($I140="EOT",INDEX(Program_01!$AS:$AS,MATCH($B140,Program_01!$A:$A,0)),INDEX(Program_01!$BC:$BC,MATCH($B140,Program_01!$A:$A,0)))))</f>
        <v/>
      </c>
      <c r="AJ140" s="183" t="str">
        <f>IF(OR($D140="",$I140="",$AS140="Determination Issued",$AS140="Rejected",$AS140="Open"),"",IF(OR($AH140="Rejected",$AH140="Dealt Separately",$AH140="Superseded",$AH140="Withdrawn"),"N/A",IF($I140="EOT",INDEX(Program_01!AR:AR,MATCH($B140,Program_01!A:A,0)),INDEX(Program_01!BB:BB,MATCH($B140,Program_01!A:A,0)))))</f>
        <v/>
      </c>
      <c r="AK140" s="181" t="str">
        <f>IF(OR($A140="",$B140="",$I140="",$AS140="Determination Issued",$AS140="Rejected",$AS140="Open"),"",IF($AJ140="N/A","N/A",IF($I140="EOT",INDEX(Program_01!AS:AS,MATCH($B140,Program_01!A:A,0)),INDEX(Program_01!BC:BC,MATCH($B140,Program_01!A:A,0)))))</f>
        <v/>
      </c>
      <c r="AL140" s="51"/>
      <c r="AM140" s="184">
        <f>IFERROR(INDEX(Program_01!$BT:$BT,MATCH($B140,Program_01!$A:$A,0)),"")</f>
        <v>0</v>
      </c>
      <c r="AN140" s="184">
        <f>IFERROR(INDEX(Program_01!$BU:$BU,MATCH($B140,Program_01!$A:$A,0)),"")</f>
        <v>0</v>
      </c>
      <c r="AO140" s="184">
        <f>IFERROR(INDEX(Program_01!$BV:$BV,MATCH($B140,Program_01!$A:$A,0)),"")</f>
        <v>0</v>
      </c>
      <c r="AP140" s="51" t="str">
        <f t="shared" si="46"/>
        <v/>
      </c>
      <c r="AQ140" s="184">
        <f>IFERROR(INDEX(Program_01!$BN:$BN,MATCH($B140,Program_01!$A:$A,0)),"")</f>
        <v>0</v>
      </c>
      <c r="AR140" s="184" t="str">
        <f>IFERROR(INDEX(Program_01!$BO:$BO,MATCH($B140,Program_01!$A:$A,0)),"")</f>
        <v>Pending</v>
      </c>
      <c r="AS140" s="184" t="str">
        <f>IFERROR(INDEX(Program_01!$BP:$BP,MATCH($B140,Program_01!$A:$A,0)),"")</f>
        <v>Open</v>
      </c>
      <c r="AT140" s="185" t="str">
        <f>IFERROR(INDEX(Program_01!$BQ:$BQ,MATCH($B140,Program_01!$A:$A,0)),"")</f>
        <v>Commercial Team</v>
      </c>
      <c r="AU140" s="179" t="str">
        <f>IFERROR(INDEX(Program_01!$BR:$BR,MATCH($B140,Program_01!$A:$A,0)),"")</f>
        <v>01 Apr 26: Contractor submitted EOT 02 claim via 1TB01002-002C61-HOI-LTR-0013 on 01 Mar 26, comm to review and prepare initial response 
06 Apr 26: Ditto, under review with commercial
20 Apr 26: response in the WF WF-039292
04 May 26: RSG response to Contractor's claim for EOT 2 was issued via letter ref: 1TB01002-002C61-AMA-LTR-0009 on 26- April-26.
16 May 26: Contractor responded to the Employer's letter  via 1TB01002-002C61-HOI-LTR-0020 on 06 May 2026.Currently under commercial review. 
31 May 26: Target date 07 June 2026
04 Jun 26: Ditto
15 Jun 26: Ditto
21 Jun 26: Contractor submitted supplementary documents via 1TB01002-002C61-HOI-LTR-0022 which was forwarded to planning team for review and input. planning responded on thh same day that this revised submission cutoff has been differed from their previous submission for EOT 2, commercial to prepare response
29 Jun 26: Comm to respond, target date TBC
11 Jul 26: Response to Contractor supplementary submission issued to Contractor on 05 July 2026,via 1TB01002-002C61-AMA-LTR-0013, requesting narrative and particulars on changes to cut off dates and further delay impacts.
26 Jul 26: Awaiting Contractor narrative and particulars for supplementary submission.
10 Aug 26: contractor will resibmit a consolidated claims incorporating contractor's both EOT 2 &amp; EOT 3 under one claim submission
17 Aug 26: Employer's letter issued via 1TB01002-002C61-AMA-LTR-0017 requesting for consolidation of EOT 2 and 3
23 Aug 26: Contractor's response received via 1TB01002-002C61-HOI-LTR-0025 dated 17 August 2026. Employer's response is under preparation.
07 Sep 26: RSG (Commercial and Planning) conducted a workshop with the Contractor on 1 Sep 26 to consolidate the EOT 2 and 3 related to 00C61 Contract. Contractor agreed with the Employer's proposed approach to consolidate based on the EOT 2&amp;3 submissions (EOT 3 received on 16 July 26). Recorded minutes and agreed action will be formalized to the Contractor on or before 10 Sep 2026. [Claims #122 + 149 to be combined in one EAR]
21 Sep 26 : Combined EAR under preparation. Target date to share with the Claims team on 24 Sep 26.
04 Oct 26: Draft EAR under final review and to be shared with the Claims team on 8 October 2026</v>
      </c>
      <c r="AV140" s="186" t="str">
        <f t="shared" si="32"/>
        <v/>
      </c>
      <c r="AW140" s="186" t="str">
        <f t="shared" si="47"/>
        <v>OPEN</v>
      </c>
      <c r="AX140" s="186" t="str">
        <f t="shared" si="33"/>
        <v>OPEN</v>
      </c>
      <c r="AY140" s="181">
        <f t="shared" si="38"/>
        <v>46251</v>
      </c>
      <c r="AZ140" s="181" t="str">
        <f t="shared" si="54"/>
        <v/>
      </c>
      <c r="BA140" s="181" t="str">
        <f t="shared" si="4"/>
        <v/>
      </c>
      <c r="BC140" s="181">
        <f>IFERROR(INDEX(Program_01!BF:BF,MATCH($B140,Program_01!$A:$A,0)),"")</f>
        <v>46251</v>
      </c>
      <c r="BD140" s="188">
        <f ca="1">IFERROR(INDEX(Program_01!BG:BG,MATCH($B140,Program_01!$A:$A,0)),"")</f>
        <v>49</v>
      </c>
      <c r="BE140" s="181">
        <f>IFERROR(INDEX(Program_01!BH:BH,MATCH($B140,Program_01!$A:$A,0)),"")</f>
        <v>0</v>
      </c>
      <c r="BF140" s="189">
        <f ca="1">IFERROR(INDEX(Program_01!BI:BI,MATCH($B140,Program_01!$A:$A,0)),"")</f>
        <v>0</v>
      </c>
      <c r="BG140" s="181">
        <f>IFERROR(INDEX(Program_01!BJ:BJ,MATCH($B140,Program_01!$A:$A,0)),"")</f>
        <v>0</v>
      </c>
      <c r="BH140" s="189">
        <f ca="1">IFERROR(INDEX(Program_01!BK:BK,MATCH($B140,Program_01!$A:$A,0)),"")</f>
        <v>0</v>
      </c>
      <c r="BI140" s="181">
        <f>IFERROR(INDEX(Program_01!BL:BL,MATCH($B140,Program_01!$A:$A,0)),"")</f>
        <v>0</v>
      </c>
      <c r="BK140" s="190" t="str">
        <f>IFERROR(IF(INDEX(Program_01!$BX:$BX,MATCH($B140,Program_01!$A:$A,0))=DATE(1900,1,0),"",INDEX(Program_01!$BX:$BX,MATCH($B140,Program_01!$A:$A,0))),"")</f>
        <v/>
      </c>
      <c r="BL140" s="190" t="str">
        <f>IFERROR(IF(INDEX(Program_01!$BY:$BY,MATCH($B140,Program_01!$A:$A,0))=DATE(1900,1,0),"",INDEX(Program_01!$BY:$BY,MATCH($B140,Program_01!$A:$A,0))),"")</f>
        <v/>
      </c>
      <c r="BM140" s="188" t="str">
        <f t="shared" ca="1" si="39"/>
        <v/>
      </c>
      <c r="BN140" s="191">
        <f t="shared" ca="1" si="40"/>
        <v>49</v>
      </c>
      <c r="BO140" s="188" t="str">
        <f t="shared" si="34"/>
        <v/>
      </c>
      <c r="BP140" s="188" t="str">
        <f t="shared" si="6"/>
        <v/>
      </c>
      <c r="BQ140" s="188" t="str">
        <f t="shared" ca="1" si="41"/>
        <v/>
      </c>
      <c r="BR140" s="181" t="str">
        <f t="shared" ca="1" si="55"/>
        <v/>
      </c>
      <c r="BT140" s="190" t="str">
        <f>IFERROR(IF(INDEX(Program_01!$BZ:$BZ,MATCH($B140,Program_01!$A:$A,0))=DATE(1900,1,0),"",INDEX(Program_01!$BZ:$BZ,MATCH($B140,Program_01!$A:$A,0))),"")</f>
        <v/>
      </c>
      <c r="BU140" s="182" t="str">
        <f t="shared" ca="1" si="48"/>
        <v/>
      </c>
      <c r="BV140" s="188" t="str">
        <f t="shared" si="35"/>
        <v/>
      </c>
      <c r="BW140" s="188" t="str">
        <f t="shared" si="8"/>
        <v/>
      </c>
      <c r="BX140" s="188" t="str">
        <f t="shared" ca="1" si="36"/>
        <v/>
      </c>
      <c r="BY140" s="181" t="str">
        <f t="shared" ca="1" si="56"/>
        <v/>
      </c>
      <c r="CA140" s="192" t="str">
        <f t="shared" si="49"/>
        <v>N</v>
      </c>
      <c r="CB140" s="192" t="str">
        <f t="shared" si="50"/>
        <v>N</v>
      </c>
      <c r="CC140" s="193">
        <f>IFERROR(INDEX(Program_01!$CE:$CE,MATCH($B140,Program_01!$A:$A,0)),"")</f>
        <v>46113</v>
      </c>
      <c r="CD140" s="193">
        <f t="shared" si="57"/>
        <v>46113</v>
      </c>
      <c r="CG140" s="194">
        <f>IFERROR(INDEX(Program_01!$AT:$AT,MATCH($B140,Program_01!$A:$A,0)),"")</f>
        <v>0</v>
      </c>
      <c r="CH140" s="194">
        <f>IFERROR(INDEX(Program_01!$AX:$AX,MATCH($B140,Program_01!$A:$A,0)),"")</f>
        <v>0</v>
      </c>
    </row>
    <row r="141" spans="1:86" s="187" customFormat="1" ht="409" customHeight="1">
      <c r="A141" s="174" t="s">
        <v>1</v>
      </c>
      <c r="B141" s="175">
        <f t="shared" si="42"/>
        <v>123</v>
      </c>
      <c r="C141" s="176" t="str">
        <f>IFERROR(INDEX(Program_01!$B:$B,MATCH($B141,Program_01!$A:$A,0)),"")</f>
        <v>FULL TIA EAR</v>
      </c>
      <c r="D141" s="176" t="str">
        <f>IFERROR(INDEX(Program_01!$D:$D,MATCH($B141,Program_01!$A:$A,0)),"")</f>
        <v>1TB01031C15</v>
      </c>
      <c r="E141" s="176" t="str">
        <f>IFERROR(INDEX(Program_01!$E:$E,MATCH($B141,Program_01!$A:$A,0)),"")</f>
        <v>1.TB.01.031.01</v>
      </c>
      <c r="F141" s="176" t="str">
        <f>IFERROR(INDEX(Program_01!$F:$F,MATCH($B141,Program_01!$A:$A,0)),"")</f>
        <v>The Marina</v>
      </c>
      <c r="G141" s="176" t="str">
        <f>IFERROR(INDEX(Program_01!$G:$G,MATCH($B141,Program_01!$A:$A,0)),"")</f>
        <v>Constructing Boardwalks &amp; Jetties for Hijaz Island at Amaala
Development</v>
      </c>
      <c r="H141" s="176" t="str">
        <f>IFERROR(INDEX(Program_01!$H:$H,MATCH($B141,Program_01!$A:$A,0)),"")</f>
        <v>Elmar Marinas Khaleej LLC</v>
      </c>
      <c r="I141" s="176" t="str">
        <f t="shared" si="37"/>
        <v>EOT</v>
      </c>
      <c r="J141" s="176">
        <f>IFERROR(INDEX(Program_01!$I:$I,MATCH($B141,Program_01!$A:$A,0)),"")</f>
        <v>1</v>
      </c>
      <c r="K141" s="176">
        <f>IFERROR(INDEX(Program_01!$J:$J,MATCH($B141,Program_01!$A:$A,0)),"")</f>
        <v>0</v>
      </c>
      <c r="L141" s="176">
        <f>IFERROR(INDEX(Program_01!$K:$K,MATCH($B141,Program_01!$A:$A,0)),"")</f>
        <v>0</v>
      </c>
      <c r="M141" s="176">
        <f>IFERROR(INDEX(Program_01!$L:$L,MATCH($B141,Program_01!$A:$A,0)),"")</f>
        <v>0</v>
      </c>
      <c r="N141" s="176">
        <f>IFERROR(INDEX(Program_01!$L:$L,MATCH($B141,Program_01!$A:$A,0)),"")</f>
        <v>0</v>
      </c>
      <c r="O141" s="176">
        <f>IFERROR(INDEX(Program_01!$N:$N,MATCH($B141,Program_01!$A:$A,0)),"")</f>
        <v>0</v>
      </c>
      <c r="P141" s="178"/>
      <c r="Q141" s="179" t="str">
        <f>IFERROR(INDEX(Program_01!$C:$C,MATCH($B141,Program_01!$A:$A,0)),"")</f>
        <v>Contractor's Extension of Time (EOT) - 02</v>
      </c>
      <c r="R141" s="176" t="str">
        <f>IFERROR(INDEX(Program_01!$V:$V,MATCH($B141,Program_01!$A:$A,0)),"")</f>
        <v>1TB01031-031C15-EMC-LTR-0028</v>
      </c>
      <c r="S141" s="180">
        <f>IFERROR(INDEX(Program_01!$W:$W,MATCH($B141,Program_01!$A:$A,0)),"")</f>
        <v>46097</v>
      </c>
      <c r="T141" s="178"/>
      <c r="U141" s="176">
        <f>IFERROR(INDEX(Program_01!$Z:$Z,MATCH($B141,Program_01!$A:$A,0)),"")</f>
        <v>0</v>
      </c>
      <c r="V141" s="181">
        <f>IFERROR(INDEX(Program_01!$AA:$AA,MATCH($B141,Program_01!$A:$A,0)),"")</f>
        <v>0</v>
      </c>
      <c r="W141" s="182">
        <f t="shared" ca="1" si="0"/>
        <v>203</v>
      </c>
      <c r="X141" s="51"/>
      <c r="Y141" s="179">
        <f>IFERROR(INDEX(Program_01!$BD:$BD,MATCH($B141,Program_01!$A:$A,0)),"")</f>
        <v>0</v>
      </c>
      <c r="Z141" s="51"/>
      <c r="AA141" s="183" t="str">
        <f>IFERROR(IF((INDEX(Program_01!$AD:$AD,MATCH($B141,Program_01!$A:$A,0))=""),INDEX(Program_01!$V:$V,MATCH($B141,Program_01!$A:$A,0)),INDEX(Program_01!$AD:$AD,MATCH($B141,Program_01!$A:$A,0))),"")</f>
        <v>1TB01031-031C15-EMC-LTR-0028</v>
      </c>
      <c r="AB141" s="147">
        <f>IFERROR(IF((INDEX(Program_01!$AE:$AE,MATCH($B141,Program_01!$A:$A,0))=""),INDEX(Program_01!$W:$W,MATCH($B141,Program_01!$A:$A,0)),INDEX(Program_01!$AE:$AE,MATCH($B141,Program_01!$A:$A,0))),"")</f>
        <v>46097</v>
      </c>
      <c r="AC141" s="183" t="str">
        <f>IFERROR(IF($I141="EOT",INDEX(Program_01!$AN:$AN,MATCH($B141,Program_01!$A:$A,0)),INDEX(Program_01!$AY:$AY,MATCH($B141,Program_01!$A:$A,0))),"")</f>
        <v>EAR under WF-017230 for approval on 28 Jul 26
1TB01031-031C15-AMA-RPT-PM-0002
AMA01031-WTRAN-024790
1TB01031-031C15-AMA-LTR-0044 dated 17 Aug 2026</v>
      </c>
      <c r="AD141" s="181">
        <f>IFERROR(IF($I141="EOT",INDEX(Program_01!$AO:$AO,MATCH($B141,Program_01!$A:$A,0)),INDEX(Program_01!$AZ:$AZ,MATCH($B141,Program_01!$A:$A,0))),"")</f>
        <v>46238</v>
      </c>
      <c r="AE141" s="51"/>
      <c r="AF141" s="183"/>
      <c r="AG141" s="181"/>
      <c r="AH141" s="183">
        <f>IF(OR($D141="",$AS141="VO Issued",$AS141="Open"),"",IF(OR($AC141="Rejected",$AC141="Superseded",$AC141="Dealt Separately"),$AC141,IF($I141="EOT",INDEX(Program_01!$AR:$AR,MATCH($B141,Program_01!$A:$A,0)),INDEX(Program_01!$BB:$BB,MATCH($B141,Program_01!$A:$A,0)))))</f>
        <v>0</v>
      </c>
      <c r="AI141" s="181">
        <f>IF(OR($A141="",$B141="",$I141="",$AS141="VO Issued",$AS141="Open"),"",IF(OR($AD141="N/A"),$AD141,IF($I141="EOT",INDEX(Program_01!$AS:$AS,MATCH($B141,Program_01!$A:$A,0)),INDEX(Program_01!$BC:$BC,MATCH($B141,Program_01!$A:$A,0)))))</f>
        <v>0</v>
      </c>
      <c r="AJ141" s="183">
        <f>IF(OR($D141="",$I141="",$AS141="Determination Issued",$AS141="Rejected",$AS141="Open"),"",IF(OR($AH141="Rejected",$AH141="Dealt Separately",$AH141="Superseded",$AH141="Withdrawn"),"N/A",IF($I141="EOT",INDEX(Program_01!AR:AR,MATCH($B141,Program_01!A:A,0)),INDEX(Program_01!BB:BB,MATCH($B141,Program_01!A:A,0)))))</f>
        <v>0</v>
      </c>
      <c r="AK141" s="181">
        <f>IF(OR($A141="",$B141="",$I141="",$AS141="Determination Issued",$AS141="Rejected",$AS141="Open"),"",IF($AJ141="N/A","N/A",IF($I141="EOT",INDEX(Program_01!AS:AS,MATCH($B141,Program_01!A:A,0)),INDEX(Program_01!BC:BC,MATCH($B141,Program_01!A:A,0)))))</f>
        <v>0</v>
      </c>
      <c r="AL141" s="51"/>
      <c r="AM141" s="184">
        <f>IFERROR(INDEX(Program_01!$BT:$BT,MATCH($B141,Program_01!$A:$A,0)),"")</f>
        <v>0</v>
      </c>
      <c r="AN141" s="184">
        <f>IFERROR(INDEX(Program_01!$BU:$BU,MATCH($B141,Program_01!$A:$A,0)),"")</f>
        <v>0</v>
      </c>
      <c r="AO141" s="184">
        <f>IFERROR(INDEX(Program_01!$BV:$BV,MATCH($B141,Program_01!$A:$A,0)),"")</f>
        <v>0</v>
      </c>
      <c r="AP141" s="51" t="str">
        <f t="shared" si="46"/>
        <v/>
      </c>
      <c r="AQ141" s="184">
        <f>IFERROR(INDEX(Program_01!$BN:$BN,MATCH($B141,Program_01!$A:$A,0)),"")</f>
        <v>0</v>
      </c>
      <c r="AR141" s="184" t="str">
        <f>IFERROR(INDEX(Program_01!$BO:$BO,MATCH($B141,Program_01!$A:$A,0)),"")</f>
        <v>Assessment Report Issued</v>
      </c>
      <c r="AS141" s="184" t="str">
        <f>IFERROR(INDEX(Program_01!$BP:$BP,MATCH($B141,Program_01!$A:$A,0)),"")</f>
        <v>Superseded</v>
      </c>
      <c r="AT141" s="185" t="str">
        <f>IFERROR(INDEX(Program_01!$BQ:$BQ,MATCH($B141,Program_01!$A:$A,0)),"")</f>
        <v>Closed</v>
      </c>
      <c r="AU141" s="179" t="str">
        <f>IFERROR(INDEX(Program_01!$BR:$BR,MATCH($B141,Program_01!$A:$A,0)),"")</f>
        <v>01 Apr 26: Contractor submitted EOT 02 claim via AMA01031-GENCORR-001118  on 16 Mar 26, comm to review and prepare initial response 
06 Apr 26: Ditto
20 April 26: Waiting for Blake to allocate the resource
03 May 26: wih BK (writing report), will be issued to Claims by 09 May 26
11 May 26: Draft EAR sent to claims team for initial review,
18 May 26: Claims team targeted to revert by 21 May 26
29 mAY 26: dRAFT ear SENT BACK TO COMMERCIAL WITH COMMENTS TO RESUBMIT
31 May 26: Feed back has recived from Claim team on 30 May 26 via Email, and being incorporated by Site commercial team
04 Jun 26: Ditto
10 Jun 26: updated EAr sent to claims for review, reverted to 14 Jun 26 to commercial
14 Jun 26: EAR sent to plannign for TIA,
15 Jun 26: Shaju to Update
22 Jun 26: targeted to revert by 25 Jun 26
29 Jun 26: Shaju to update
06 Jul 26: TIA tageted to conclude by 09 Jul 26
11 Jul 26: TIA incorporated and sent to claims team // EAR sent to commecial for finalisation // Final draft sent to claims team for approval
23 Jul 26: EAR approved and sent to commercial to initiate WF
26 July 26: EAR under WF-017230 for approval
09 Aug 26: EAR approved, letter to issue sent to PMIS for workflow. WF / letter reference to advise once uploaded.
24 Aug 26: EAR Issued to Contractor via Ref Letter 1TB01031-031C15-AMA-LTR-0044 dated 17 Aug 2026 - Awaiting contractor acceptance
24 Aug 26: Contractor responded via 1TB01031-031C15-EMC-LTR-0030 rejecting the EAR, under review with commercial &amp; Planning 
04 Sept 26: Contractor's Rejection is forwarded to Claims team for review and response
07 Sept 26: Contractor submitted further particulars via 1TB01031-031C15-EMC-LTR-0031 and has requested for a re-assessment
08 Sep 26: revised EAR sent to claims team seeking approval to proceed with reassessment</v>
      </c>
      <c r="AV141" s="186" t="str">
        <f t="shared" si="32"/>
        <v/>
      </c>
      <c r="AW141" s="186" t="str">
        <f t="shared" si="47"/>
        <v>CLOSED</v>
      </c>
      <c r="AX141" s="186" t="str">
        <f t="shared" si="33"/>
        <v>CLOSED</v>
      </c>
      <c r="AY141" s="181">
        <f t="shared" si="38"/>
        <v>46097</v>
      </c>
      <c r="AZ141" s="181">
        <f t="shared" si="54"/>
        <v>46238</v>
      </c>
      <c r="BA141" s="181">
        <f t="shared" si="4"/>
        <v>0</v>
      </c>
      <c r="BC141" s="181">
        <f>IFERROR(INDEX(Program_01!BF:BF,MATCH($B141,Program_01!$A:$A,0)),"")</f>
        <v>46097</v>
      </c>
      <c r="BD141" s="188">
        <f ca="1">IFERROR(INDEX(Program_01!BG:BG,MATCH($B141,Program_01!$A:$A,0)),"")</f>
        <v>90</v>
      </c>
      <c r="BE141" s="181">
        <f>IFERROR(INDEX(Program_01!BH:BH,MATCH($B141,Program_01!$A:$A,0)),"")</f>
        <v>46187</v>
      </c>
      <c r="BF141" s="189">
        <f ca="1">IFERROR(INDEX(Program_01!BI:BI,MATCH($B141,Program_01!$A:$A,0)),"")</f>
        <v>27</v>
      </c>
      <c r="BG141" s="181">
        <f>IFERROR(INDEX(Program_01!BJ:BJ,MATCH($B141,Program_01!$A:$A,0)),"")</f>
        <v>46214</v>
      </c>
      <c r="BH141" s="189">
        <f ca="1">IFERROR(INDEX(Program_01!BK:BK,MATCH($B141,Program_01!$A:$A,0)),"")</f>
        <v>86</v>
      </c>
      <c r="BI141" s="181">
        <f>IFERROR(INDEX(Program_01!BL:BL,MATCH($B141,Program_01!$A:$A,0)),"")</f>
        <v>0</v>
      </c>
      <c r="BK141" s="190">
        <f>IFERROR(IF(INDEX(Program_01!$BX:$BX,MATCH($B141,Program_01!$A:$A,0))=DATE(1900,1,0),"",INDEX(Program_01!$BX:$BX,MATCH($B141,Program_01!$A:$A,0))),"")</f>
        <v>46235</v>
      </c>
      <c r="BL141" s="190" t="str">
        <f>IFERROR(IF(INDEX(Program_01!$BY:$BY,MATCH($B141,Program_01!$A:$A,0))=DATE(1900,1,0),"",INDEX(Program_01!$BY:$BY,MATCH($B141,Program_01!$A:$A,0))),"")</f>
        <v/>
      </c>
      <c r="BM141" s="188">
        <f t="shared" ca="1" si="39"/>
        <v>141</v>
      </c>
      <c r="BN141" s="191">
        <f t="shared" ca="1" si="40"/>
        <v>141</v>
      </c>
      <c r="BO141" s="188">
        <f t="shared" ca="1" si="34"/>
        <v>141</v>
      </c>
      <c r="BP141" s="188" t="str">
        <f t="shared" si="6"/>
        <v>1</v>
      </c>
      <c r="BQ141" s="188" t="str">
        <f t="shared" ca="1" si="41"/>
        <v/>
      </c>
      <c r="BR141" s="181" t="str">
        <f t="shared" ca="1" si="55"/>
        <v/>
      </c>
      <c r="BT141" s="190" t="str">
        <f>IFERROR(IF(INDEX(Program_01!$BZ:$BZ,MATCH($B141,Program_01!$A:$A,0))=DATE(1900,1,0),"",INDEX(Program_01!$BZ:$BZ,MATCH($B141,Program_01!$A:$A,0))),"")</f>
        <v/>
      </c>
      <c r="BU141" s="182" t="str">
        <f t="shared" ca="1" si="48"/>
        <v/>
      </c>
      <c r="BV141" s="188" t="str">
        <f t="shared" si="35"/>
        <v/>
      </c>
      <c r="BW141" s="188" t="str">
        <f t="shared" si="8"/>
        <v>1</v>
      </c>
      <c r="BX141" s="188" t="str">
        <f t="shared" ca="1" si="36"/>
        <v/>
      </c>
      <c r="BY141" s="181" t="str">
        <f t="shared" ca="1" si="56"/>
        <v/>
      </c>
      <c r="CA141" s="192" t="str">
        <f t="shared" si="49"/>
        <v>Y</v>
      </c>
      <c r="CB141" s="192" t="str">
        <f t="shared" si="50"/>
        <v>N</v>
      </c>
      <c r="CC141" s="193">
        <f>IFERROR(INDEX(Program_01!$CE:$CE,MATCH($B141,Program_01!$A:$A,0)),"")</f>
        <v>46113</v>
      </c>
      <c r="CD141" s="193">
        <f t="shared" si="57"/>
        <v>46113</v>
      </c>
      <c r="CG141" s="194">
        <f>IFERROR(INDEX(Program_01!$AT:$AT,MATCH($B141,Program_01!$A:$A,0)),"")</f>
        <v>0</v>
      </c>
      <c r="CH141" s="194">
        <f>IFERROR(INDEX(Program_01!$AX:$AX,MATCH($B141,Program_01!$A:$A,0)),"")</f>
        <v>0</v>
      </c>
    </row>
    <row r="142" spans="1:86" s="187" customFormat="1" ht="399.75" customHeight="1">
      <c r="A142" s="174" t="s">
        <v>1</v>
      </c>
      <c r="B142" s="175">
        <f t="shared" si="42"/>
        <v>124</v>
      </c>
      <c r="C142" s="176" t="str">
        <f>IFERROR(INDEX(Program_01!$B:$B,MATCH($B142,Program_01!$A:$A,0)),"")</f>
        <v>FULL TIA EAR</v>
      </c>
      <c r="D142" s="176" t="str">
        <f>IFERROR(INDEX(Program_01!$D:$D,MATCH($B142,Program_01!$A:$A,0)),"")</f>
        <v>1TB01005C05</v>
      </c>
      <c r="E142" s="176" t="str">
        <f>IFERROR(INDEX(Program_01!$E:$E,MATCH($B142,Program_01!$A:$A,0)),"")</f>
        <v>1.TB.01.005.01</v>
      </c>
      <c r="F142" s="176" t="str">
        <f>IFERROR(INDEX(Program_01!$F:$F,MATCH($B142,Program_01!$A:$A,0)),"")</f>
        <v>Red Sea Marine Life Institute</v>
      </c>
      <c r="G142" s="176" t="str">
        <f>IFERROR(INDEX(Program_01!$G:$G,MATCH($B142,Program_01!$A:$A,0)),"")</f>
        <v>ICT / ELV Works</v>
      </c>
      <c r="H142" s="176" t="str">
        <f>IFERROR(INDEX(Program_01!$H:$H,MATCH($B142,Program_01!$A:$A,0)),"")</f>
        <v>Nesma United Industries Company Ltd.</v>
      </c>
      <c r="I142" s="176" t="str">
        <f t="shared" si="37"/>
        <v>EOT</v>
      </c>
      <c r="J142" s="176">
        <f>IFERROR(INDEX(Program_01!$I:$I,MATCH($B142,Program_01!$A:$A,0)),"")</f>
        <v>1</v>
      </c>
      <c r="K142" s="176">
        <f>IFERROR(INDEX(Program_01!$J:$J,MATCH($B142,Program_01!$A:$A,0)),"")</f>
        <v>0</v>
      </c>
      <c r="L142" s="176">
        <f>IFERROR(INDEX(Program_01!$K:$K,MATCH($B142,Program_01!$A:$A,0)),"")</f>
        <v>0</v>
      </c>
      <c r="M142" s="176">
        <f>IFERROR(INDEX(Program_01!$L:$L,MATCH($B142,Program_01!$A:$A,0)),"")</f>
        <v>0</v>
      </c>
      <c r="N142" s="176">
        <f>IFERROR(INDEX(Program_01!$L:$L,MATCH($B142,Program_01!$A:$A,0)),"")</f>
        <v>0</v>
      </c>
      <c r="O142" s="176">
        <f>IFERROR(INDEX(Program_01!$N:$N,MATCH($B142,Program_01!$A:$A,0)),"")</f>
        <v>0</v>
      </c>
      <c r="P142" s="178"/>
      <c r="Q142" s="179" t="str">
        <f>IFERROR(INDEX(Program_01!$C:$C,MATCH($B142,Program_01!$A:$A,0)),"")</f>
        <v xml:space="preserve">Contractor's Extension of Time (EOT) - 01 </v>
      </c>
      <c r="R142" s="176" t="str">
        <f>IFERROR(INDEX(Program_01!$V:$V,MATCH($B142,Program_01!$A:$A,0)),"")</f>
        <v>1TB01005-005C05-NUI-LTR-0062</v>
      </c>
      <c r="S142" s="180">
        <f>IFERROR(INDEX(Program_01!$W:$W,MATCH($B142,Program_01!$A:$A,0)),"")</f>
        <v>46090</v>
      </c>
      <c r="T142" s="178"/>
      <c r="U142" s="176" t="str">
        <f>IFERROR(INDEX(Program_01!$Z:$Z,MATCH($B142,Program_01!$A:$A,0)),"")</f>
        <v>1TB01005-005C05-AMA-LTR-0085</v>
      </c>
      <c r="V142" s="181">
        <f>IFERROR(INDEX(Program_01!$AA:$AA,MATCH($B142,Program_01!$A:$A,0)),"")</f>
        <v>46126</v>
      </c>
      <c r="W142" s="182">
        <f t="shared" ca="1" si="0"/>
        <v>36</v>
      </c>
      <c r="X142" s="51"/>
      <c r="Y142" s="179">
        <f>IFERROR(INDEX(Program_01!$BD:$BD,MATCH($B142,Program_01!$A:$A,0)),"")</f>
        <v>0</v>
      </c>
      <c r="Z142" s="51"/>
      <c r="AA142" s="183" t="str">
        <f>IFERROR(IF((INDEX(Program_01!$AD:$AD,MATCH($B142,Program_01!$A:$A,0))=""),INDEX(Program_01!$V:$V,MATCH($B142,Program_01!$A:$A,0)),INDEX(Program_01!$AD:$AD,MATCH($B142,Program_01!$A:$A,0))),"")</f>
        <v xml:space="preserve">1TB01005-005C05-NUI-LTR-0064 </v>
      </c>
      <c r="AB142" s="147">
        <f>IFERROR(IF((INDEX(Program_01!$AE:$AE,MATCH($B142,Program_01!$A:$A,0))=""),INDEX(Program_01!$W:$W,MATCH($B142,Program_01!$A:$A,0)),INDEX(Program_01!$AE:$AE,MATCH($B142,Program_01!$A:$A,0))),"")</f>
        <v>46156</v>
      </c>
      <c r="AC142" s="183">
        <f>IFERROR(IF($I142="EOT",INDEX(Program_01!$AN:$AN,MATCH($B142,Program_01!$A:$A,0)),INDEX(Program_01!$AY:$AY,MATCH($B142,Program_01!$A:$A,0))),"")</f>
        <v>0</v>
      </c>
      <c r="AD142" s="181">
        <f>IFERROR(IF($I142="EOT",INDEX(Program_01!$AO:$AO,MATCH($B142,Program_01!$A:$A,0)),INDEX(Program_01!$AZ:$AZ,MATCH($B142,Program_01!$A:$A,0))),"")</f>
        <v>0</v>
      </c>
      <c r="AE142" s="51"/>
      <c r="AF142" s="183"/>
      <c r="AG142" s="181"/>
      <c r="AH142" s="183" t="str">
        <f>IF(OR($D142="",$AS142="VO Issued",$AS142="Open"),"",IF(OR($AC142="Rejected",$AC142="Superseded",$AC142="Dealt Separately"),$AC142,IF($I142="EOT",INDEX(Program_01!$AR:$AR,MATCH($B142,Program_01!$A:$A,0)),INDEX(Program_01!$BB:$BB,MATCH($B142,Program_01!$A:$A,0)))))</f>
        <v/>
      </c>
      <c r="AI142" s="181" t="str">
        <f>IF(OR($A142="",$B142="",$I142="",$AS142="VO Issued",$AS142="Open"),"",IF(OR($AD142="N/A"),$AD142,IF($I142="EOT",INDEX(Program_01!$AS:$AS,MATCH($B142,Program_01!$A:$A,0)),INDEX(Program_01!$BC:$BC,MATCH($B142,Program_01!$A:$A,0)))))</f>
        <v/>
      </c>
      <c r="AJ142" s="183" t="str">
        <f>IF(OR($D142="",$I142="",$AS142="Determination Issued",$AS142="Rejected",$AS142="Open"),"",IF(OR($AH142="Rejected",$AH142="Dealt Separately",$AH142="Superseded",$AH142="Withdrawn"),"N/A",IF($I142="EOT",INDEX(Program_01!AR:AR,MATCH($B142,Program_01!A:A,0)),INDEX(Program_01!BB:BB,MATCH($B142,Program_01!A:A,0)))))</f>
        <v/>
      </c>
      <c r="AK142" s="181" t="str">
        <f>IF(OR($A142="",$B142="",$I142="",$AS142="Determination Issued",$AS142="Rejected",$AS142="Open"),"",IF($AJ142="N/A","N/A",IF($I142="EOT",INDEX(Program_01!AS:AS,MATCH($B142,Program_01!A:A,0)),INDEX(Program_01!BC:BC,MATCH($B142,Program_01!A:A,0)))))</f>
        <v/>
      </c>
      <c r="AL142" s="51"/>
      <c r="AM142" s="184">
        <f>IFERROR(INDEX(Program_01!$BT:$BT,MATCH($B142,Program_01!$A:$A,0)),"")</f>
        <v>0</v>
      </c>
      <c r="AN142" s="184">
        <f>IFERROR(INDEX(Program_01!$BU:$BU,MATCH($B142,Program_01!$A:$A,0)),"")</f>
        <v>0</v>
      </c>
      <c r="AO142" s="184">
        <f>IFERROR(INDEX(Program_01!$BV:$BV,MATCH($B142,Program_01!$A:$A,0)),"")</f>
        <v>0</v>
      </c>
      <c r="AP142" s="51" t="str">
        <f t="shared" si="46"/>
        <v/>
      </c>
      <c r="AQ142" s="184">
        <f>IFERROR(INDEX(Program_01!$BN:$BN,MATCH($B142,Program_01!$A:$A,0)),"")</f>
        <v>0</v>
      </c>
      <c r="AR142" s="184" t="str">
        <f>IFERROR(INDEX(Program_01!$BO:$BO,MATCH($B142,Program_01!$A:$A,0)),"")</f>
        <v>Pending</v>
      </c>
      <c r="AS142" s="184" t="str">
        <f>IFERROR(INDEX(Program_01!$BP:$BP,MATCH($B142,Program_01!$A:$A,0)),"")</f>
        <v>Open</v>
      </c>
      <c r="AT142" s="185" t="str">
        <f>IFERROR(INDEX(Program_01!$BQ:$BQ,MATCH($B142,Program_01!$A:$A,0)),"")</f>
        <v>Claims Team</v>
      </c>
      <c r="AU142" s="179" t="str">
        <f>IFERROR(INDEX(Program_01!$BR:$BR,MATCH($B142,Program_01!$A:$A,0)),"")</f>
        <v>04 Apr 26: Claim rejected as fully TIA back-up not provided. Letter to go to WF by 06 Apr 26
06 Apr 26: Ditto
17 Apr 26: Letter issued (1TB01005-005C05-AMA-LTR-0085) on 14 Apr 26
01 May 26: Awaiting revised submission
15 May 26: Further particulars recieved on 14 May -  1TB01005-005C05-NUI-LTR-0064 - Site team assessing -Target 21 May
04 Jun 26: Ditto
15 Jun 26: Commercial to update
22 Jun 26: targeted to revert by 23 Jun 26
28 Jun 26: EAR ongoing, targeted to issue for Claims review is 16 Jul 26
12 Jul 26: Ditto
17 Jul 26: Under review with final check commercial team (Rufino)
20 Jul 26: Draft EAR sent to claims team for review
27 Jul 26: Ditto, claims team targetd to revert by 03 Aug 26
29 Jul 26: EAR sent back with comments to revise and resubmit
10 Aug 26: Target to return to claims team by 12 Aug 26
12 Aug 26: Draft EAR sent to claims team for review // EAR reverted on the same day to seeking clarification on DE 02 &amp; 03
20 Aug 26: Draft EAR sent to claims team for review.  Target 25 Aug 26.
24 Aug 26: EAR sent to planning for TIA
06 Sep 26: EAR sent back to Commercial team with comments (Commercial to address comments)
07 Sep 26: updated draft EAR addressing the comment resubmitted to claims team for further review
19 Sep 26: claims team sent the EAR to planning to discuss &amp;  close the open comments
22 Sep 26: action set to claims team to discuss with Planning
04 Oct 26: Site Delivery and Planning commenced the collation of the information required to populate the table requested by Forensic Planning.</v>
      </c>
      <c r="AV142" s="186" t="str">
        <f t="shared" si="32"/>
        <v/>
      </c>
      <c r="AW142" s="186" t="str">
        <f t="shared" si="47"/>
        <v>OPEN</v>
      </c>
      <c r="AX142" s="186" t="str">
        <f t="shared" si="33"/>
        <v>OPEN</v>
      </c>
      <c r="AY142" s="181">
        <f t="shared" si="38"/>
        <v>46156</v>
      </c>
      <c r="AZ142" s="181" t="str">
        <f t="shared" si="54"/>
        <v/>
      </c>
      <c r="BA142" s="181" t="str">
        <f t="shared" si="4"/>
        <v/>
      </c>
      <c r="BC142" s="181">
        <f>IFERROR(INDEX(Program_01!BF:BF,MATCH($B142,Program_01!$A:$A,0)),"")</f>
        <v>46156</v>
      </c>
      <c r="BD142" s="188">
        <f ca="1">IFERROR(INDEX(Program_01!BG:BG,MATCH($B142,Program_01!$A:$A,0)),"")</f>
        <v>102</v>
      </c>
      <c r="BE142" s="181">
        <f>IFERROR(INDEX(Program_01!BH:BH,MATCH($B142,Program_01!$A:$A,0)),"")</f>
        <v>46258</v>
      </c>
      <c r="BF142" s="189">
        <f ca="1">IFERROR(INDEX(Program_01!BI:BI,MATCH($B142,Program_01!$A:$A,0)),"")</f>
        <v>42</v>
      </c>
      <c r="BG142" s="181">
        <f>IFERROR(INDEX(Program_01!BJ:BJ,MATCH($B142,Program_01!$A:$A,0)),"")</f>
        <v>0</v>
      </c>
      <c r="BH142" s="189">
        <f ca="1">IFERROR(INDEX(Program_01!BK:BK,MATCH($B142,Program_01!$A:$A,0)),"")</f>
        <v>0</v>
      </c>
      <c r="BI142" s="181">
        <f>IFERROR(INDEX(Program_01!BL:BL,MATCH($B142,Program_01!$A:$A,0)),"")</f>
        <v>0</v>
      </c>
      <c r="BK142" s="190" t="str">
        <f>IFERROR(IF(INDEX(Program_01!$BX:$BX,MATCH($B142,Program_01!$A:$A,0))=DATE(1900,1,0),"",INDEX(Program_01!$BX:$BX,MATCH($B142,Program_01!$A:$A,0))),"")</f>
        <v/>
      </c>
      <c r="BL142" s="190" t="str">
        <f>IFERROR(IF(INDEX(Program_01!$BY:$BY,MATCH($B142,Program_01!$A:$A,0))=DATE(1900,1,0),"",INDEX(Program_01!$BY:$BY,MATCH($B142,Program_01!$A:$A,0))),"")</f>
        <v/>
      </c>
      <c r="BM142" s="188" t="str">
        <f t="shared" ca="1" si="39"/>
        <v/>
      </c>
      <c r="BN142" s="191">
        <f t="shared" ca="1" si="40"/>
        <v>144</v>
      </c>
      <c r="BO142" s="188" t="str">
        <f t="shared" si="34"/>
        <v/>
      </c>
      <c r="BP142" s="188" t="str">
        <f t="shared" si="6"/>
        <v/>
      </c>
      <c r="BQ142" s="188">
        <f t="shared" ca="1" si="41"/>
        <v>144</v>
      </c>
      <c r="BR142" s="181" t="str">
        <f t="shared" ca="1" si="55"/>
        <v>1</v>
      </c>
      <c r="BT142" s="190" t="str">
        <f>IFERROR(IF(INDEX(Program_01!$BZ:$BZ,MATCH($B142,Program_01!$A:$A,0))=DATE(1900,1,0),"",INDEX(Program_01!$BZ:$BZ,MATCH($B142,Program_01!$A:$A,0))),"")</f>
        <v/>
      </c>
      <c r="BU142" s="182" t="str">
        <f t="shared" ca="1" si="48"/>
        <v/>
      </c>
      <c r="BV142" s="188" t="str">
        <f t="shared" si="35"/>
        <v/>
      </c>
      <c r="BW142" s="188" t="str">
        <f t="shared" si="8"/>
        <v/>
      </c>
      <c r="BX142" s="188" t="str">
        <f t="shared" ca="1" si="36"/>
        <v/>
      </c>
      <c r="BY142" s="181" t="str">
        <f t="shared" ca="1" si="56"/>
        <v/>
      </c>
      <c r="CA142" s="192" t="str">
        <f t="shared" si="49"/>
        <v>N</v>
      </c>
      <c r="CB142" s="192" t="str">
        <f t="shared" si="50"/>
        <v>N</v>
      </c>
      <c r="CC142" s="193">
        <f>IFERROR(INDEX(Program_01!$CE:$CE,MATCH($B142,Program_01!$A:$A,0)),"")</f>
        <v>46117</v>
      </c>
      <c r="CD142" s="193">
        <f t="shared" si="57"/>
        <v>46117</v>
      </c>
      <c r="CG142" s="194">
        <f>IFERROR(INDEX(Program_01!$AT:$AT,MATCH($B142,Program_01!$A:$A,0)),"")</f>
        <v>0</v>
      </c>
      <c r="CH142" s="194">
        <f>IFERROR(INDEX(Program_01!$AX:$AX,MATCH($B142,Program_01!$A:$A,0)),"")</f>
        <v>0</v>
      </c>
    </row>
    <row r="143" spans="1:86" s="187" customFormat="1" ht="274.5" customHeight="1">
      <c r="A143" s="174" t="s">
        <v>1</v>
      </c>
      <c r="B143" s="175">
        <f t="shared" si="42"/>
        <v>125</v>
      </c>
      <c r="C143" s="176" t="str">
        <f>IFERROR(INDEX(Program_01!$B:$B,MATCH($B143,Program_01!$A:$A,0)),"")</f>
        <v>FULL TIA EAR</v>
      </c>
      <c r="D143" s="176" t="str">
        <f>IFERROR(INDEX(Program_01!$D:$D,MATCH($B143,Program_01!$A:$A,0)),"")</f>
        <v>1TB01006C05</v>
      </c>
      <c r="E143" s="176" t="str">
        <f>IFERROR(INDEX(Program_01!$E:$E,MATCH($B143,Program_01!$A:$A,0)),"")</f>
        <v>1.TB.01.006.99</v>
      </c>
      <c r="F143" s="176" t="str">
        <f>IFERROR(INDEX(Program_01!$F:$F,MATCH($B143,Program_01!$A:$A,0)),"")</f>
        <v>Village Boutique Hotel</v>
      </c>
      <c r="G143" s="176" t="str">
        <f>IFERROR(INDEX(Program_01!$G:$G,MATCH($B143,Program_01!$A:$A,0)),"")</f>
        <v xml:space="preserve">Fit out works for Village Boutique Hotel </v>
      </c>
      <c r="H143" s="176" t="str">
        <f>IFERROR(INDEX(Program_01!$H:$H,MATCH($B143,Program_01!$A:$A,0)),"")</f>
        <v>DEPA Saudi Arabia for Contracting and Interior Decoration Co. Ltd</v>
      </c>
      <c r="I143" s="176" t="str">
        <f t="shared" si="37"/>
        <v>EOT</v>
      </c>
      <c r="J143" s="176">
        <f>IFERROR(INDEX(Program_01!$I:$I,MATCH($B143,Program_01!$A:$A,0)),"")</f>
        <v>1</v>
      </c>
      <c r="K143" s="176">
        <f>IFERROR(INDEX(Program_01!$J:$J,MATCH($B143,Program_01!$A:$A,0)),"")</f>
        <v>0</v>
      </c>
      <c r="L143" s="176">
        <f>IFERROR(INDEX(Program_01!$K:$K,MATCH($B143,Program_01!$A:$A,0)),"")</f>
        <v>0</v>
      </c>
      <c r="M143" s="176">
        <f>IFERROR(INDEX(Program_01!$L:$L,MATCH($B143,Program_01!$A:$A,0)),"")</f>
        <v>0</v>
      </c>
      <c r="N143" s="176">
        <f>IFERROR(INDEX(Program_01!$L:$L,MATCH($B143,Program_01!$A:$A,0)),"")</f>
        <v>0</v>
      </c>
      <c r="O143" s="176">
        <f>IFERROR(INDEX(Program_01!$N:$N,MATCH($B143,Program_01!$A:$A,0)),"")</f>
        <v>0</v>
      </c>
      <c r="P143" s="178"/>
      <c r="Q143" s="179" t="str">
        <f>IFERROR(INDEX(Program_01!$C:$C,MATCH($B143,Program_01!$A:$A,0)),"")</f>
        <v xml:space="preserve">Contractor's Extension of Time (EOT) - 02 </v>
      </c>
      <c r="R143" s="176" t="str">
        <f>IFERROR(INDEX(Program_01!$V:$V,MATCH($B143,Program_01!$A:$A,0)),"")</f>
        <v>1TB01006-006C05-DCC-LTR-0202</v>
      </c>
      <c r="S143" s="180">
        <f>IFERROR(INDEX(Program_01!$W:$W,MATCH($B143,Program_01!$A:$A,0)),"")</f>
        <v>46111</v>
      </c>
      <c r="T143" s="178"/>
      <c r="U143" s="176">
        <f>IFERROR(INDEX(Program_01!$Z:$Z,MATCH($B143,Program_01!$A:$A,0)),"")</f>
        <v>0</v>
      </c>
      <c r="V143" s="181">
        <f>IFERROR(INDEX(Program_01!$AA:$AA,MATCH($B143,Program_01!$A:$A,0)),"")</f>
        <v>0</v>
      </c>
      <c r="W143" s="182">
        <f t="shared" ca="1" si="0"/>
        <v>189</v>
      </c>
      <c r="X143" s="51"/>
      <c r="Y143" s="179">
        <f>IFERROR(INDEX(Program_01!$BD:$BD,MATCH($B143,Program_01!$A:$A,0)),"")</f>
        <v>0</v>
      </c>
      <c r="Z143" s="51"/>
      <c r="AA143" s="183" t="str">
        <f>IFERROR(IF((INDEX(Program_01!$AD:$AD,MATCH($B143,Program_01!$A:$A,0))=""),INDEX(Program_01!$V:$V,MATCH($B143,Program_01!$A:$A,0)),INDEX(Program_01!$AD:$AD,MATCH($B143,Program_01!$A:$A,0))),"")</f>
        <v>1TB01006-006C05-DCC-LTR-0202</v>
      </c>
      <c r="AB143" s="147">
        <f>IFERROR(IF((INDEX(Program_01!$AE:$AE,MATCH($B143,Program_01!$A:$A,0))=""),INDEX(Program_01!$W:$W,MATCH($B143,Program_01!$A:$A,0)),INDEX(Program_01!$AE:$AE,MATCH($B143,Program_01!$A:$A,0))),"")</f>
        <v>46111</v>
      </c>
      <c r="AC143" s="183">
        <f>IFERROR(IF($I143="EOT",INDEX(Program_01!$AN:$AN,MATCH($B143,Program_01!$A:$A,0)),INDEX(Program_01!$AY:$AY,MATCH($B143,Program_01!$A:$A,0))),"")</f>
        <v>0</v>
      </c>
      <c r="AD143" s="181">
        <f>IFERROR(IF($I143="EOT",INDEX(Program_01!$AO:$AO,MATCH($B143,Program_01!$A:$A,0)),INDEX(Program_01!$AZ:$AZ,MATCH($B143,Program_01!$A:$A,0))),"")</f>
        <v>0</v>
      </c>
      <c r="AE143" s="51"/>
      <c r="AF143" s="183"/>
      <c r="AG143" s="181"/>
      <c r="AH143" s="183" t="str">
        <f>IF(OR($D143="",$AS143="VO Issued",$AS143="Open"),"",IF(OR($AC143="Rejected",$AC143="Superseded",$AC143="Dealt Separately"),$AC143,IF($I143="EOT",INDEX(Program_01!$AR:$AR,MATCH($B143,Program_01!$A:$A,0)),INDEX(Program_01!$BB:$BB,MATCH($B143,Program_01!$A:$A,0)))))</f>
        <v/>
      </c>
      <c r="AI143" s="181" t="str">
        <f>IF(OR($A143="",$B143="",$I143="",$AS143="VO Issued",$AS143="Open"),"",IF(OR($AD143="N/A"),$AD143,IF($I143="EOT",INDEX(Program_01!$AS:$AS,MATCH($B143,Program_01!$A:$A,0)),INDEX(Program_01!$BC:$BC,MATCH($B143,Program_01!$A:$A,0)))))</f>
        <v/>
      </c>
      <c r="AJ143" s="183" t="str">
        <f>IF(OR($D143="",$I143="",$AS143="Determination Issued",$AS143="Rejected",$AS143="Open"),"",IF(OR($AH143="Rejected",$AH143="Dealt Separately",$AH143="Superseded",$AH143="Withdrawn"),"N/A",IF($I143="EOT",INDEX(Program_01!AR:AR,MATCH($B143,Program_01!A:A,0)),INDEX(Program_01!BB:BB,MATCH($B143,Program_01!A:A,0)))))</f>
        <v/>
      </c>
      <c r="AK143" s="181" t="str">
        <f>IF(OR($A143="",$B143="",$I143="",$AS143="Determination Issued",$AS143="Rejected",$AS143="Open"),"",IF($AJ143="N/A","N/A",IF($I143="EOT",INDEX(Program_01!AS:AS,MATCH($B143,Program_01!A:A,0)),INDEX(Program_01!BC:BC,MATCH($B143,Program_01!A:A,0)))))</f>
        <v/>
      </c>
      <c r="AL143" s="51"/>
      <c r="AM143" s="184">
        <f>IFERROR(INDEX(Program_01!$BT:$BT,MATCH($B143,Program_01!$A:$A,0)),"")</f>
        <v>0</v>
      </c>
      <c r="AN143" s="184">
        <f>IFERROR(INDEX(Program_01!$BU:$BU,MATCH($B143,Program_01!$A:$A,0)),"")</f>
        <v>0</v>
      </c>
      <c r="AO143" s="184">
        <f>IFERROR(INDEX(Program_01!$BV:$BV,MATCH($B143,Program_01!$A:$A,0)),"")</f>
        <v>0</v>
      </c>
      <c r="AP143" s="51" t="str">
        <f t="shared" si="46"/>
        <v/>
      </c>
      <c r="AQ143" s="184">
        <f>IFERROR(INDEX(Program_01!$BN:$BN,MATCH($B143,Program_01!$A:$A,0)),"")</f>
        <v>0</v>
      </c>
      <c r="AR143" s="184" t="str">
        <f>IFERROR(INDEX(Program_01!$BO:$BO,MATCH($B143,Program_01!$A:$A,0)),"")</f>
        <v>Pending</v>
      </c>
      <c r="AS143" s="184" t="str">
        <f>IFERROR(INDEX(Program_01!$BP:$BP,MATCH($B143,Program_01!$A:$A,0)),"")</f>
        <v>Open</v>
      </c>
      <c r="AT143" s="185" t="str">
        <f>IFERROR(INDEX(Program_01!$BQ:$BQ,MATCH($B143,Program_01!$A:$A,0)),"")</f>
        <v>Planning Team</v>
      </c>
      <c r="AU143" s="179" t="str">
        <f>IFERROR(INDEX(Program_01!$BR:$BR,MATCH($B143,Program_01!$A:$A,0)),"")</f>
        <v>05 Apr 26: Being reviewed. Target date 20 April
06 Apr 26: Ditto
16 April 26: BK will take over this after Imar, 05 May to be with NE
04 May 26: Bk will draft it before 18 May.. 
14 May 26: Ditto, if BK does not make it, RB to take over. Target date after Eid 10 June 2026. 
31 May 26: Commercial to complere EAR by 15 June 26
04 Jun 26: Ditto
15 Jun 26: EAR under process with commercial, revised target date 18 Jun 26
28 June 26: Target date moved to 19 July 26
13 Jul 26: Ditto
26 Jul 26: Draft EAR to be issued to Claims team today. 27 July 26
27 Jul 26: Draft EAR sent to claims team for review
04 Aug 26: EAR sent to planning for TIA
10 Aug 26: Ditto (Shaju to update)
13 Aug 26: planning raised query on DE06, commercial responded on the same day
18 Aug 26: TIA targeted to be concluded by 24 Aug 26
14 Sep 26: Planning team targeted to conclude TIA by 21 Sep 26
05 Oct 26: Planning sent TIA to Claims</v>
      </c>
      <c r="AV143" s="186" t="str">
        <f t="shared" si="32"/>
        <v/>
      </c>
      <c r="AW143" s="186" t="str">
        <f t="shared" si="47"/>
        <v>OPEN</v>
      </c>
      <c r="AX143" s="186" t="str">
        <f t="shared" si="33"/>
        <v>OPEN</v>
      </c>
      <c r="AY143" s="181">
        <f t="shared" si="38"/>
        <v>46111</v>
      </c>
      <c r="AZ143" s="181" t="str">
        <f t="shared" si="54"/>
        <v/>
      </c>
      <c r="BA143" s="181" t="str">
        <f t="shared" si="4"/>
        <v/>
      </c>
      <c r="BC143" s="181">
        <f>IFERROR(INDEX(Program_01!BF:BF,MATCH($B143,Program_01!$A:$A,0)),"")</f>
        <v>46111</v>
      </c>
      <c r="BD143" s="188">
        <f ca="1">IFERROR(INDEX(Program_01!BG:BG,MATCH($B143,Program_01!$A:$A,0)),"")</f>
        <v>127</v>
      </c>
      <c r="BE143" s="181">
        <f>IFERROR(INDEX(Program_01!BH:BH,MATCH($B143,Program_01!$A:$A,0)),"")</f>
        <v>46238</v>
      </c>
      <c r="BF143" s="189">
        <f ca="1">IFERROR(INDEX(Program_01!BI:BI,MATCH($B143,Program_01!$A:$A,0)),"")</f>
        <v>62</v>
      </c>
      <c r="BG143" s="181">
        <f>IFERROR(INDEX(Program_01!BJ:BJ,MATCH($B143,Program_01!$A:$A,0)),"")</f>
        <v>0</v>
      </c>
      <c r="BH143" s="189">
        <f ca="1">IFERROR(INDEX(Program_01!BK:BK,MATCH($B143,Program_01!$A:$A,0)),"")</f>
        <v>0</v>
      </c>
      <c r="BI143" s="181">
        <f>IFERROR(INDEX(Program_01!BL:BL,MATCH($B143,Program_01!$A:$A,0)),"")</f>
        <v>0</v>
      </c>
      <c r="BK143" s="190" t="str">
        <f>IFERROR(IF(INDEX(Program_01!$BX:$BX,MATCH($B143,Program_01!$A:$A,0))=DATE(1900,1,0),"",INDEX(Program_01!$BX:$BX,MATCH($B143,Program_01!$A:$A,0))),"")</f>
        <v/>
      </c>
      <c r="BL143" s="190" t="str">
        <f>IFERROR(IF(INDEX(Program_01!$BY:$BY,MATCH($B143,Program_01!$A:$A,0))=DATE(1900,1,0),"",INDEX(Program_01!$BY:$BY,MATCH($B143,Program_01!$A:$A,0))),"")</f>
        <v/>
      </c>
      <c r="BM143" s="188" t="str">
        <f t="shared" ca="1" si="39"/>
        <v/>
      </c>
      <c r="BN143" s="191">
        <f t="shared" ca="1" si="40"/>
        <v>189</v>
      </c>
      <c r="BO143" s="188" t="str">
        <f t="shared" si="34"/>
        <v/>
      </c>
      <c r="BP143" s="188" t="str">
        <f t="shared" si="6"/>
        <v/>
      </c>
      <c r="BQ143" s="188">
        <f t="shared" ca="1" si="41"/>
        <v>189</v>
      </c>
      <c r="BR143" s="181" t="str">
        <f t="shared" ca="1" si="55"/>
        <v>1</v>
      </c>
      <c r="BT143" s="190" t="str">
        <f>IFERROR(IF(INDEX(Program_01!$BZ:$BZ,MATCH($B143,Program_01!$A:$A,0))=DATE(1900,1,0),"",INDEX(Program_01!$BZ:$BZ,MATCH($B143,Program_01!$A:$A,0))),"")</f>
        <v/>
      </c>
      <c r="BU143" s="182" t="str">
        <f t="shared" ca="1" si="48"/>
        <v/>
      </c>
      <c r="BV143" s="188" t="str">
        <f t="shared" si="35"/>
        <v/>
      </c>
      <c r="BW143" s="188" t="str">
        <f t="shared" si="8"/>
        <v/>
      </c>
      <c r="BX143" s="188" t="str">
        <f t="shared" ca="1" si="36"/>
        <v/>
      </c>
      <c r="BY143" s="181" t="str">
        <f t="shared" ca="1" si="56"/>
        <v/>
      </c>
      <c r="CA143" s="192" t="str">
        <f t="shared" si="49"/>
        <v>N</v>
      </c>
      <c r="CB143" s="192" t="str">
        <f t="shared" si="50"/>
        <v>N</v>
      </c>
      <c r="CC143" s="193">
        <f>IFERROR(INDEX(Program_01!$CE:$CE,MATCH($B143,Program_01!$A:$A,0)),"")</f>
        <v>46117</v>
      </c>
      <c r="CD143" s="193">
        <f t="shared" si="57"/>
        <v>46117</v>
      </c>
      <c r="CG143" s="194">
        <f>IFERROR(INDEX(Program_01!$AT:$AT,MATCH($B143,Program_01!$A:$A,0)),"")</f>
        <v>0</v>
      </c>
      <c r="CH143" s="194">
        <f>IFERROR(INDEX(Program_01!$AX:$AX,MATCH($B143,Program_01!$A:$A,0)),"")</f>
        <v>0</v>
      </c>
    </row>
    <row r="144" spans="1:86" s="187" customFormat="1" ht="367" customHeight="1">
      <c r="A144" s="174" t="s">
        <v>1</v>
      </c>
      <c r="B144" s="199">
        <f t="shared" si="42"/>
        <v>126</v>
      </c>
      <c r="C144" s="176" t="str">
        <f>IFERROR(INDEX(Program_01!$B:$B,MATCH($B144,Program_01!$A:$A,0)),"")</f>
        <v>FULL TIA EAR</v>
      </c>
      <c r="D144" s="176" t="str">
        <f>IFERROR(INDEX(Program_01!$D:$D,MATCH($B144,Program_01!$A:$A,0)),"")</f>
        <v>1TB01002C06</v>
      </c>
      <c r="E144" s="176" t="str">
        <f>IFERROR(INDEX(Program_01!$E:$E,MATCH($B144,Program_01!$A:$A,0)),"")</f>
        <v>1TB.01.002.99</v>
      </c>
      <c r="F144" s="176" t="str">
        <f>IFERROR(INDEX(Program_01!$F:$F,MATCH($B144,Program_01!$A:$A,0)),"")</f>
        <v>Marina Lifestyle Hotel &amp; Village</v>
      </c>
      <c r="G144" s="176" t="str">
        <f>IFERROR(INDEX(Program_01!$G:$G,MATCH($B144,Program_01!$A:$A,0)),"")</f>
        <v>MLH - Havelock One Interiors Company - Fit-Out Works</v>
      </c>
      <c r="H144" s="176" t="str">
        <f>IFERROR(INDEX(Program_01!$H:$H,MATCH($B144,Program_01!$A:$A,0)),"")</f>
        <v>Havelock One Interiors WLL – KSA</v>
      </c>
      <c r="I144" s="176" t="str">
        <f t="shared" si="37"/>
        <v>EOT</v>
      </c>
      <c r="J144" s="176">
        <f>IFERROR(INDEX(Program_01!$I:$I,MATCH($B144,Program_01!$A:$A,0)),"")</f>
        <v>1</v>
      </c>
      <c r="K144" s="176">
        <f>IFERROR(INDEX(Program_01!$J:$J,MATCH($B144,Program_01!$A:$A,0)),"")</f>
        <v>0</v>
      </c>
      <c r="L144" s="176">
        <f>IFERROR(INDEX(Program_01!$K:$K,MATCH($B144,Program_01!$A:$A,0)),"")</f>
        <v>0</v>
      </c>
      <c r="M144" s="176">
        <f>IFERROR(INDEX(Program_01!$L:$L,MATCH($B144,Program_01!$A:$A,0)),"")</f>
        <v>0</v>
      </c>
      <c r="N144" s="176">
        <f>IFERROR(INDEX(Program_01!$L:$L,MATCH($B144,Program_01!$A:$A,0)),"")</f>
        <v>0</v>
      </c>
      <c r="O144" s="176">
        <f>IFERROR(INDEX(Program_01!$N:$N,MATCH($B144,Program_01!$A:$A,0)),"")</f>
        <v>0</v>
      </c>
      <c r="P144" s="178"/>
      <c r="Q144" s="179" t="str">
        <f>IFERROR(INDEX(Program_01!$C:$C,MATCH($B144,Program_01!$A:$A,0)),"")</f>
        <v>Contractor's Extension of Time (EOT) - 03</v>
      </c>
      <c r="R144" s="176" t="str">
        <f>IFERROR(INDEX(Program_01!$V:$V,MATCH($B144,Program_01!$A:$A,0)),"")</f>
        <v>1TB01002-002C06-HOI-LTR-0076
Contractor's further substatiation received on</v>
      </c>
      <c r="S144" s="180" t="str">
        <f>IFERROR(INDEX(Program_01!$W:$W,MATCH($B144,Program_01!$A:$A,0)),"")</f>
        <v xml:space="preserve">18-Mar-26
03-Sep-26
</v>
      </c>
      <c r="T144" s="178"/>
      <c r="U144" s="176">
        <f>IFERROR(INDEX(Program_01!$Z:$Z,MATCH($B144,Program_01!$A:$A,0)),"")</f>
        <v>0</v>
      </c>
      <c r="V144" s="181">
        <f>IFERROR(INDEX(Program_01!$AA:$AA,MATCH($B144,Program_01!$A:$A,0)),"")</f>
        <v>0</v>
      </c>
      <c r="W144" s="182" t="e">
        <f t="shared" ca="1" si="0"/>
        <v>#VALUE!</v>
      </c>
      <c r="X144" s="51"/>
      <c r="Y144" s="179">
        <f>IFERROR(INDEX(Program_01!$BD:$BD,MATCH($B144,Program_01!$A:$A,0)),"")</f>
        <v>0</v>
      </c>
      <c r="Z144" s="51"/>
      <c r="AA144" s="183" t="str">
        <f>IFERROR(IF((INDEX(Program_01!$AD:$AD,MATCH($B144,Program_01!$A:$A,0))=""),INDEX(Program_01!$V:$V,MATCH($B144,Program_01!$A:$A,0)),INDEX(Program_01!$AD:$AD,MATCH($B144,Program_01!$A:$A,0))),"")</f>
        <v>1TB01002-002C06-HOI-LTR-0076
Contractor's further substatiation received on</v>
      </c>
      <c r="AB144" s="147" t="str">
        <f>IFERROR(IF((INDEX(Program_01!$AE:$AE,MATCH($B144,Program_01!$A:$A,0))=""),INDEX(Program_01!$W:$W,MATCH($B144,Program_01!$A:$A,0)),INDEX(Program_01!$AE:$AE,MATCH($B144,Program_01!$A:$A,0))),"")</f>
        <v xml:space="preserve">18-Mar-26
03-Sep-26
</v>
      </c>
      <c r="AC144" s="183">
        <f>IFERROR(IF($I144="EOT",INDEX(Program_01!$AN:$AN,MATCH($B144,Program_01!$A:$A,0)),INDEX(Program_01!$AY:$AY,MATCH($B144,Program_01!$A:$A,0))),"")</f>
        <v>0</v>
      </c>
      <c r="AD144" s="181">
        <f>IFERROR(IF($I144="EOT",INDEX(Program_01!$AO:$AO,MATCH($B144,Program_01!$A:$A,0)),INDEX(Program_01!$AZ:$AZ,MATCH($B144,Program_01!$A:$A,0))),"")</f>
        <v>0</v>
      </c>
      <c r="AE144" s="51"/>
      <c r="AF144" s="183"/>
      <c r="AG144" s="181"/>
      <c r="AH144" s="183" t="str">
        <f>IF(OR($D144="",$AS144="VO Issued",$AS144="Open"),"",IF(OR($AC144="Rejected",$AC144="Superseded",$AC144="Dealt Separately"),$AC144,IF($I144="EOT",INDEX(Program_01!$AR:$AR,MATCH($B144,Program_01!$A:$A,0)),INDEX(Program_01!$BB:$BB,MATCH($B144,Program_01!$A:$A,0)))))</f>
        <v/>
      </c>
      <c r="AI144" s="181" t="str">
        <f>IF(OR($A144="",$B144="",$I144="",$AS144="VO Issued",$AS144="Open"),"",IF(OR($AD144="N/A"),$AD144,IF($I144="EOT",INDEX(Program_01!$AS:$AS,MATCH($B144,Program_01!$A:$A,0)),INDEX(Program_01!$BC:$BC,MATCH($B144,Program_01!$A:$A,0)))))</f>
        <v/>
      </c>
      <c r="AJ144" s="183" t="str">
        <f>IF(OR($D144="",$I144="",$AS144="Determination Issued",$AS144="Rejected",$AS144="Open"),"",IF(OR($AH144="Rejected",$AH144="Dealt Separately",$AH144="Superseded",$AH144="Withdrawn"),"N/A",IF($I144="EOT",INDEX(Program_01!AR:AR,MATCH($B144,Program_01!A:A,0)),INDEX(Program_01!BB:BB,MATCH($B144,Program_01!A:A,0)))))</f>
        <v/>
      </c>
      <c r="AK144" s="181" t="str">
        <f>IF(OR($A144="",$B144="",$I144="",$AS144="Determination Issued",$AS144="Rejected",$AS144="Open"),"",IF($AJ144="N/A","N/A",IF($I144="EOT",INDEX(Program_01!AS:AS,MATCH($B144,Program_01!A:A,0)),INDEX(Program_01!BC:BC,MATCH($B144,Program_01!A:A,0)))))</f>
        <v/>
      </c>
      <c r="AL144" s="51"/>
      <c r="AM144" s="184">
        <f>IFERROR(INDEX(Program_01!$BT:$BT,MATCH($B144,Program_01!$A:$A,0)),"")</f>
        <v>0</v>
      </c>
      <c r="AN144" s="184">
        <f>IFERROR(INDEX(Program_01!$BU:$BU,MATCH($B144,Program_01!$A:$A,0)),"")</f>
        <v>0</v>
      </c>
      <c r="AO144" s="184">
        <f>IFERROR(INDEX(Program_01!$BV:$BV,MATCH($B144,Program_01!$A:$A,0)),"")</f>
        <v>0</v>
      </c>
      <c r="AP144" s="51" t="str">
        <f t="shared" si="46"/>
        <v/>
      </c>
      <c r="AQ144" s="184">
        <f>IFERROR(INDEX(Program_01!$BN:$BN,MATCH($B144,Program_01!$A:$A,0)),"")</f>
        <v>0</v>
      </c>
      <c r="AR144" s="184" t="str">
        <f>IFERROR(INDEX(Program_01!$BO:$BO,MATCH($B144,Program_01!$A:$A,0)),"")</f>
        <v>Pending</v>
      </c>
      <c r="AS144" s="184" t="str">
        <f>IFERROR(INDEX(Program_01!$BP:$BP,MATCH($B144,Program_01!$A:$A,0)),"")</f>
        <v>Open</v>
      </c>
      <c r="AT144" s="185" t="str">
        <f>IFERROR(INDEX(Program_01!$BQ:$BQ,MATCH($B144,Program_01!$A:$A,0)),"")</f>
        <v>Planning Team</v>
      </c>
      <c r="AU144" s="179" t="str">
        <f>IFERROR(INDEX(Program_01!$BR:$BR,MATCH($B144,Program_01!$A:$A,0)),"")</f>
        <v>06 Apr 26: Contrator submitted EOT-03 via 1TB01002-002C06-HOI-LTR-0076 on 18 Mar 26, under review with commercial
20 Apr 26: EAR targeted to be sent to claims by 18 may 26
04 May 26: Ditto
16 May 26: EAR commercial review in progress. Target date to issue 21 May 2026
31 May 26: EAR commercial review in progress. Target date to issue 07 June 2026
04 Jun 26: Ditto
10 Jun 26: Updated draft EAR sent to claims for review
15 Jun 26: Ditto, targeted to revert by 18 Jun 26
16 Jun 26: EAR sent back to commercial with comments
28 Jun 26:  target date TBC
11 July 26: Draft EAR issued to Rufino for review on  08 July  2026, Will be finalized once EOT 02 is concluded as agreed with Planning
20 Jul 26: Draft EAR sent to claims team for review
26 Jul 26: Draft EAR sent to planning for TIA
26 July 26: Ditto
28 Jul 26: Planning reverted with comments for commercial to address
05 Aug 26: Updated draft EAR sent to planning to proceed with TIA
08 Aug 26: planning reverted to commercial with comments to update, 
10 Aug 26: Commercial targeted to revert by 10 Aug 26
23 Aug 26: Commercial to address the planning comments and share the updated EAR. Target date 27 Aug 26.  Updated comments sent to PDB 8 Aug 26.
07 Sep 26: Commercial and Planning held a meeting with Havelock on 02-Sep-26 and 5 Sep 26. Havelock provided further information. Updated EAR to be issued for Planning TIA 07-Sep-26.
14 Sep 26: Updated EAR sent back to claims team for further review
17 Sep 26: EAR sent back to commercial with comments to update and resubmi
21 Sep 26: Comments received from the Claims team on 17 Sep. Updated EAR to be shared with the Claims team on 24 Sep 26.
04 Oct 26: Updated EAR shared with Claims team on 3 October 2026. Claims team issued to Planning team for TIA on 04 October 2026</v>
      </c>
      <c r="AV144" s="186" t="str">
        <f t="shared" si="32"/>
        <v/>
      </c>
      <c r="AW144" s="186" t="str">
        <f t="shared" si="47"/>
        <v>OPEN</v>
      </c>
      <c r="AX144" s="186" t="str">
        <f t="shared" si="33"/>
        <v>OPEN</v>
      </c>
      <c r="AY144" s="181" t="str">
        <f t="shared" si="38"/>
        <v xml:space="preserve">18-Mar-26
03-Sep-26
</v>
      </c>
      <c r="AZ144" s="181" t="str">
        <f t="shared" si="54"/>
        <v/>
      </c>
      <c r="BA144" s="181" t="str">
        <f t="shared" si="4"/>
        <v/>
      </c>
      <c r="BC144" s="181" t="str">
        <f>IFERROR(INDEX(Program_01!BF:BF,MATCH($B144,Program_01!$A:$A,0)),"")</f>
        <v/>
      </c>
      <c r="BD144" s="188" t="str">
        <f ca="1">IFERROR(INDEX(Program_01!BG:BG,MATCH($B144,Program_01!$A:$A,0)),"")</f>
        <v/>
      </c>
      <c r="BE144" s="181">
        <f>IFERROR(INDEX(Program_01!BH:BH,MATCH($B144,Program_01!$A:$A,0)),"")</f>
        <v>46239</v>
      </c>
      <c r="BF144" s="189">
        <f ca="1">IFERROR(INDEX(Program_01!BI:BI,MATCH($B144,Program_01!$A:$A,0)),"")</f>
        <v>61</v>
      </c>
      <c r="BG144" s="181">
        <f>IFERROR(INDEX(Program_01!BJ:BJ,MATCH($B144,Program_01!$A:$A,0)),"")</f>
        <v>0</v>
      </c>
      <c r="BH144" s="189">
        <f ca="1">IFERROR(INDEX(Program_01!BK:BK,MATCH($B144,Program_01!$A:$A,0)),"")</f>
        <v>0</v>
      </c>
      <c r="BI144" s="181">
        <f>IFERROR(INDEX(Program_01!BL:BL,MATCH($B144,Program_01!$A:$A,0)),"")</f>
        <v>0</v>
      </c>
      <c r="BK144" s="190" t="str">
        <f>IFERROR(IF(INDEX(Program_01!$BX:$BX,MATCH($B144,Program_01!$A:$A,0))=DATE(1900,1,0),"",INDEX(Program_01!$BX:$BX,MATCH($B144,Program_01!$A:$A,0))),"")</f>
        <v/>
      </c>
      <c r="BL144" s="190" t="str">
        <f>IFERROR(IF(INDEX(Program_01!$BY:$BY,MATCH($B144,Program_01!$A:$A,0))=DATE(1900,1,0),"",INDEX(Program_01!$BY:$BY,MATCH($B144,Program_01!$A:$A,0))),"")</f>
        <v/>
      </c>
      <c r="BM144" s="188" t="str">
        <f t="shared" ca="1" si="39"/>
        <v/>
      </c>
      <c r="BN144" s="191" t="e">
        <f t="shared" ca="1" si="40"/>
        <v>#VALUE!</v>
      </c>
      <c r="BO144" s="188" t="str">
        <f t="shared" si="34"/>
        <v/>
      </c>
      <c r="BP144" s="188" t="str">
        <f t="shared" si="6"/>
        <v/>
      </c>
      <c r="BQ144" s="188" t="e">
        <f t="shared" ca="1" si="41"/>
        <v>#VALUE!</v>
      </c>
      <c r="BR144" s="181" t="e">
        <f t="shared" ca="1" si="55"/>
        <v>#VALUE!</v>
      </c>
      <c r="BT144" s="190" t="str">
        <f>IFERROR(IF(INDEX(Program_01!$BZ:$BZ,MATCH($B144,Program_01!$A:$A,0))=DATE(1900,1,0),"",INDEX(Program_01!$BZ:$BZ,MATCH($B144,Program_01!$A:$A,0))),"")</f>
        <v/>
      </c>
      <c r="BU144" s="182" t="str">
        <f t="shared" ca="1" si="48"/>
        <v/>
      </c>
      <c r="BV144" s="188" t="str">
        <f t="shared" si="35"/>
        <v/>
      </c>
      <c r="BW144" s="188" t="str">
        <f t="shared" si="8"/>
        <v/>
      </c>
      <c r="BX144" s="188" t="str">
        <f t="shared" ca="1" si="36"/>
        <v/>
      </c>
      <c r="BY144" s="181" t="str">
        <f t="shared" ca="1" si="56"/>
        <v/>
      </c>
      <c r="CA144" s="192" t="str">
        <f t="shared" si="49"/>
        <v>N</v>
      </c>
      <c r="CB144" s="192" t="str">
        <f t="shared" si="50"/>
        <v>N</v>
      </c>
      <c r="CC144" s="193">
        <f>IFERROR(INDEX(Program_01!$CE:$CE,MATCH($B144,Program_01!$A:$A,0)),"")</f>
        <v>46118</v>
      </c>
      <c r="CD144" s="193">
        <f t="shared" si="57"/>
        <v>46118</v>
      </c>
      <c r="CG144" s="194">
        <f>IFERROR(INDEX(Program_01!$AT:$AT,MATCH($B144,Program_01!$A:$A,0)),"")</f>
        <v>0</v>
      </c>
      <c r="CH144" s="194">
        <f>IFERROR(INDEX(Program_01!$AX:$AX,MATCH($B144,Program_01!$A:$A,0)),"")</f>
        <v>0</v>
      </c>
    </row>
    <row r="145" spans="1:86" s="187" customFormat="1" ht="204">
      <c r="A145" s="174" t="s">
        <v>1</v>
      </c>
      <c r="B145" s="175">
        <f t="shared" si="42"/>
        <v>127</v>
      </c>
      <c r="C145" s="176" t="str">
        <f>IFERROR(INDEX(Program_01!$B:$B,MATCH($B145,Program_01!$A:$A,0)),"")</f>
        <v>COST EAR</v>
      </c>
      <c r="D145" s="176" t="str">
        <f>IFERROR(INDEX(Program_01!$D:$D,MATCH($B145,Program_01!$A:$A,0)),"")</f>
        <v>1TB01002C06</v>
      </c>
      <c r="E145" s="176" t="str">
        <f>IFERROR(INDEX(Program_01!$E:$E,MATCH($B145,Program_01!$A:$A,0)),"")</f>
        <v>1TB.01.002.99</v>
      </c>
      <c r="F145" s="176" t="str">
        <f>IFERROR(INDEX(Program_01!$F:$F,MATCH($B145,Program_01!$A:$A,0)),"")</f>
        <v>Marina Lifestyle Hotel &amp; Village</v>
      </c>
      <c r="G145" s="176" t="str">
        <f>IFERROR(INDEX(Program_01!$G:$G,MATCH($B145,Program_01!$A:$A,0)),"")</f>
        <v>MLH - Havelock One Interiors Company - Fit-Out Works</v>
      </c>
      <c r="H145" s="176" t="str">
        <f>IFERROR(INDEX(Program_01!$H:$H,MATCH($B145,Program_01!$A:$A,0)),"")</f>
        <v>Havelock One Interiors WLL – KSA</v>
      </c>
      <c r="I145" s="176" t="str">
        <f t="shared" si="37"/>
        <v>Prolongation</v>
      </c>
      <c r="J145" s="176">
        <f>IFERROR(INDEX(Program_01!$I:$I,MATCH($B145,Program_01!$A:$A,0)),"")</f>
        <v>0</v>
      </c>
      <c r="K145" s="176">
        <f>IFERROR(INDEX(Program_01!$J:$J,MATCH($B145,Program_01!$A:$A,0)),"")</f>
        <v>1</v>
      </c>
      <c r="L145" s="176">
        <f>IFERROR(INDEX(Program_01!$K:$K,MATCH($B145,Program_01!$A:$A,0)),"")</f>
        <v>0</v>
      </c>
      <c r="M145" s="176">
        <f>IFERROR(INDEX(Program_01!$L:$L,MATCH($B145,Program_01!$A:$A,0)),"")</f>
        <v>0</v>
      </c>
      <c r="N145" s="176">
        <f>IFERROR(INDEX(Program_01!$L:$L,MATCH($B145,Program_01!$A:$A,0)),"")</f>
        <v>0</v>
      </c>
      <c r="O145" s="176">
        <f>IFERROR(INDEX(Program_01!$N:$N,MATCH($B145,Program_01!$A:$A,0)),"")</f>
        <v>0</v>
      </c>
      <c r="P145" s="178"/>
      <c r="Q145" s="179" t="str">
        <f>IFERROR(INDEX(Program_01!$C:$C,MATCH($B145,Program_01!$A:$A,0)),"")</f>
        <v>Submission of Prolongation Cost Claim (EOT-01)</v>
      </c>
      <c r="R145" s="176" t="str">
        <f>IFERROR(INDEX(Program_01!$V:$V,MATCH($B145,Program_01!$A:$A,0)),"")</f>
        <v xml:space="preserve">1TB01002-002C06-HOI-LTR-0079 </v>
      </c>
      <c r="S145" s="180">
        <f>IFERROR(INDEX(Program_01!$W:$W,MATCH($B145,Program_01!$A:$A,0)),"")</f>
        <v>46126</v>
      </c>
      <c r="T145" s="178"/>
      <c r="U145" s="176" t="str">
        <f>IFERROR(INDEX(Program_01!$Z:$Z,MATCH($B145,Program_01!$A:$A,0)),"")</f>
        <v>1TB01002-002C06-AMA-LTR-0058 on 26- April-26.</v>
      </c>
      <c r="V145" s="181">
        <f>IFERROR(INDEX(Program_01!$AA:$AA,MATCH($B145,Program_01!$A:$A,0)),"")</f>
        <v>46138</v>
      </c>
      <c r="W145" s="182">
        <f t="shared" ca="1" si="0"/>
        <v>12</v>
      </c>
      <c r="X145" s="51"/>
      <c r="Y145" s="179">
        <f>IFERROR(INDEX(Program_01!$BD:$BD,MATCH($B145,Program_01!$A:$A,0)),"")</f>
        <v>0</v>
      </c>
      <c r="Z145" s="51"/>
      <c r="AA145" s="183" t="str">
        <f>IFERROR(IF((INDEX(Program_01!$AD:$AD,MATCH($B145,Program_01!$A:$A,0))=""),INDEX(Program_01!$V:$V,MATCH($B145,Program_01!$A:$A,0)),INDEX(Program_01!$AD:$AD,MATCH($B145,Program_01!$A:$A,0))),"")</f>
        <v xml:space="preserve">1TB01002-002C06-HOI-LTR-0079 </v>
      </c>
      <c r="AB145" s="147">
        <f>IFERROR(IF((INDEX(Program_01!$AE:$AE,MATCH($B145,Program_01!$A:$A,0))=""),INDEX(Program_01!$W:$W,MATCH($B145,Program_01!$A:$A,0)),INDEX(Program_01!$AE:$AE,MATCH($B145,Program_01!$A:$A,0))),"")</f>
        <v>46126</v>
      </c>
      <c r="AC145" s="183">
        <f>IFERROR(IF($I145="EOT",INDEX(Program_01!$AN:$AN,MATCH($B145,Program_01!$A:$A,0)),INDEX(Program_01!$AY:$AY,MATCH($B145,Program_01!$A:$A,0))),"")</f>
        <v>0</v>
      </c>
      <c r="AD145" s="181">
        <f>IFERROR(IF($I145="EOT",INDEX(Program_01!$AO:$AO,MATCH($B145,Program_01!$A:$A,0)),INDEX(Program_01!$AZ:$AZ,MATCH($B145,Program_01!$A:$A,0))),"")</f>
        <v>0</v>
      </c>
      <c r="AE145" s="51"/>
      <c r="AF145" s="183"/>
      <c r="AG145" s="181"/>
      <c r="AH145" s="183" t="str">
        <f>IF(OR($D145="",$AS145="VO Issued",$AS145="Open"),"",IF(OR($AC145="Rejected",$AC145="Superseded",$AC145="Dealt Separately"),$AC145,IF($I145="EOT",INDEX(Program_01!$AR:$AR,MATCH($B145,Program_01!$A:$A,0)),INDEX(Program_01!$BB:$BB,MATCH($B145,Program_01!$A:$A,0)))))</f>
        <v/>
      </c>
      <c r="AI145" s="181" t="str">
        <f>IF(OR($A145="",$B145="",$I145="",$AS145="VO Issued",$AS145="Open"),"",IF(OR($AD145="N/A"),$AD145,IF($I145="EOT",INDEX(Program_01!$AS:$AS,MATCH($B145,Program_01!$A:$A,0)),INDEX(Program_01!$BC:$BC,MATCH($B145,Program_01!$A:$A,0)))))</f>
        <v/>
      </c>
      <c r="AJ145" s="183" t="str">
        <f>IF(OR($D145="",$I145="",$AS145="Determination Issued",$AS145="Rejected",$AS145="Open"),"",IF(OR($AH145="Rejected",$AH145="Dealt Separately",$AH145="Superseded",$AH145="Withdrawn"),"N/A",IF($I145="EOT",INDEX(Program_01!AR:AR,MATCH($B145,Program_01!A:A,0)),INDEX(Program_01!BB:BB,MATCH($B145,Program_01!A:A,0)))))</f>
        <v/>
      </c>
      <c r="AK145" s="181" t="str">
        <f>IF(OR($A145="",$B145="",$I145="",$AS145="Determination Issued",$AS145="Rejected",$AS145="Open"),"",IF($AJ145="N/A","N/A",IF($I145="EOT",INDEX(Program_01!AS:AS,MATCH($B145,Program_01!A:A,0)),INDEX(Program_01!BC:BC,MATCH($B145,Program_01!A:A,0)))))</f>
        <v/>
      </c>
      <c r="AL145" s="51"/>
      <c r="AM145" s="184">
        <f>IFERROR(INDEX(Program_01!$BT:$BT,MATCH($B145,Program_01!$A:$A,0)),"")</f>
        <v>0</v>
      </c>
      <c r="AN145" s="184">
        <f>IFERROR(INDEX(Program_01!$BU:$BU,MATCH($B145,Program_01!$A:$A,0)),"")</f>
        <v>0</v>
      </c>
      <c r="AO145" s="184">
        <f>IFERROR(INDEX(Program_01!$BV:$BV,MATCH($B145,Program_01!$A:$A,0)),"")</f>
        <v>0</v>
      </c>
      <c r="AP145" s="51" t="str">
        <f t="shared" si="46"/>
        <v/>
      </c>
      <c r="AQ145" s="184">
        <f>IFERROR(INDEX(Program_01!$BN:$BN,MATCH($B145,Program_01!$A:$A,0)),"")</f>
        <v>0</v>
      </c>
      <c r="AR145" s="184" t="str">
        <f>IFERROR(INDEX(Program_01!$BO:$BO,MATCH($B145,Program_01!$A:$A,0)),"")</f>
        <v>Pending</v>
      </c>
      <c r="AS145" s="184" t="str">
        <f>IFERROR(INDEX(Program_01!$BP:$BP,MATCH($B145,Program_01!$A:$A,0)),"")</f>
        <v>Open</v>
      </c>
      <c r="AT145" s="185" t="str">
        <f>IFERROR(INDEX(Program_01!$BQ:$BQ,MATCH($B145,Program_01!$A:$A,0)),"")</f>
        <v>Awaiting conclusion of EoT</v>
      </c>
      <c r="AU145" s="179" t="str">
        <f>IFERROR(INDEX(Program_01!$BR:$BR,MATCH($B145,Program_01!$A:$A,0)),"")</f>
        <v>06 Apr 26: Contrator submitted EOT-01 Cost claim  via 1TB01002-002C06-HOI-LTR-0079 on 14 Apr 26, under review with commercial
02 May 26: RSG response to Contractor's letter request for prolongation cost claim was issued via letter ref: 1TB01002-002C06-AMA-LTR-0058 on 26- April-26.
16 May 26: Ditto. Awaiting feedback from Contractor
31 May 26: Ditto. Awaiting feedback from Contractor
04 Jun 26: Ditto
15 Jun 26: Ditto
28 June 26: Ditto
11 July 26: Contractor acknowledged Employer's response letter via  1TB01002-002C06-HOI-LTR-0093 dated 10 June 2026 and to submit required cost particulars in alignment with requirements detailed on Employer letter issued on 26 April 26
26 July 26: Ditto
10 Aug 26: Ditto</v>
      </c>
      <c r="AV145" s="186" t="str">
        <f t="shared" si="32"/>
        <v/>
      </c>
      <c r="AW145" s="186" t="str">
        <f t="shared" si="47"/>
        <v>OPEN</v>
      </c>
      <c r="AX145" s="186" t="str">
        <f t="shared" si="33"/>
        <v>OPEN</v>
      </c>
      <c r="AY145" s="181">
        <f t="shared" si="38"/>
        <v>46126</v>
      </c>
      <c r="AZ145" s="181" t="str">
        <f t="shared" si="54"/>
        <v/>
      </c>
      <c r="BA145" s="181" t="str">
        <f t="shared" si="4"/>
        <v/>
      </c>
      <c r="BC145" s="181">
        <f>IFERROR(INDEX(Program_01!BF:BF,MATCH($B145,Program_01!$A:$A,0)),"")</f>
        <v>46126</v>
      </c>
      <c r="BD145" s="188">
        <f ca="1">IFERROR(INDEX(Program_01!BG:BG,MATCH($B145,Program_01!$A:$A,0)),"")</f>
        <v>0</v>
      </c>
      <c r="BE145" s="181">
        <f>IFERROR(INDEX(Program_01!BH:BH,MATCH($B145,Program_01!$A:$A,0)),"")</f>
        <v>0</v>
      </c>
      <c r="BF145" s="189" t="str">
        <f ca="1">IFERROR(INDEX(Program_01!BI:BI,MATCH($B145,Program_01!$A:$A,0)),"")</f>
        <v>N/A</v>
      </c>
      <c r="BG145" s="181">
        <f>IFERROR(INDEX(Program_01!BJ:BJ,MATCH($B145,Program_01!$A:$A,0)),"")</f>
        <v>0</v>
      </c>
      <c r="BH145" s="189">
        <f ca="1">IFERROR(INDEX(Program_01!BK:BK,MATCH($B145,Program_01!$A:$A,0)),"")</f>
        <v>0</v>
      </c>
      <c r="BI145" s="181">
        <f>IFERROR(INDEX(Program_01!BL:BL,MATCH($B145,Program_01!$A:$A,0)),"")</f>
        <v>0</v>
      </c>
      <c r="BK145" s="190" t="str">
        <f>IFERROR(IF(INDEX(Program_01!$BX:$BX,MATCH($B145,Program_01!$A:$A,0))=DATE(1900,1,0),"",INDEX(Program_01!$BX:$BX,MATCH($B145,Program_01!$A:$A,0))),"")</f>
        <v/>
      </c>
      <c r="BL145" s="190" t="str">
        <f>IFERROR(IF(INDEX(Program_01!$BY:$BY,MATCH($B145,Program_01!$A:$A,0))=DATE(1900,1,0),"",INDEX(Program_01!$BY:$BY,MATCH($B145,Program_01!$A:$A,0))),"")</f>
        <v/>
      </c>
      <c r="BM145" s="188" t="str">
        <f t="shared" ca="1" si="39"/>
        <v/>
      </c>
      <c r="BN145" s="191">
        <f t="shared" ca="1" si="40"/>
        <v>0</v>
      </c>
      <c r="BO145" s="188" t="str">
        <f t="shared" si="34"/>
        <v/>
      </c>
      <c r="BP145" s="188" t="str">
        <f t="shared" si="6"/>
        <v/>
      </c>
      <c r="BQ145" s="188" t="str">
        <f t="shared" ca="1" si="41"/>
        <v/>
      </c>
      <c r="BR145" s="181" t="str">
        <f t="shared" ca="1" si="55"/>
        <v/>
      </c>
      <c r="BT145" s="190" t="str">
        <f>IFERROR(IF(INDEX(Program_01!$BZ:$BZ,MATCH($B145,Program_01!$A:$A,0))=DATE(1900,1,0),"",INDEX(Program_01!$BZ:$BZ,MATCH($B145,Program_01!$A:$A,0))),"")</f>
        <v/>
      </c>
      <c r="BU145" s="182" t="str">
        <f t="shared" ca="1" si="48"/>
        <v/>
      </c>
      <c r="BV145" s="188" t="str">
        <f t="shared" si="35"/>
        <v/>
      </c>
      <c r="BW145" s="188" t="str">
        <f t="shared" si="8"/>
        <v/>
      </c>
      <c r="BX145" s="188" t="str">
        <f t="shared" ca="1" si="36"/>
        <v/>
      </c>
      <c r="BY145" s="181" t="str">
        <f t="shared" ca="1" si="56"/>
        <v/>
      </c>
      <c r="CA145" s="192" t="str">
        <f t="shared" si="49"/>
        <v>N</v>
      </c>
      <c r="CB145" s="192" t="str">
        <f t="shared" si="50"/>
        <v>N</v>
      </c>
      <c r="CC145" s="193">
        <f>IFERROR(INDEX(Program_01!$CE:$CE,MATCH($B145,Program_01!$A:$A,0)),"")</f>
        <v>46126</v>
      </c>
      <c r="CD145" s="193">
        <f t="shared" si="57"/>
        <v>46126</v>
      </c>
      <c r="CG145" s="194">
        <f>IFERROR(INDEX(Program_01!$AT:$AT,MATCH($B145,Program_01!$A:$A,0)),"")</f>
        <v>28292924.329999998</v>
      </c>
      <c r="CH145" s="194">
        <f>IFERROR(INDEX(Program_01!$AX:$AX,MATCH($B145,Program_01!$A:$A,0)),"")</f>
        <v>0</v>
      </c>
    </row>
    <row r="146" spans="1:86" s="187" customFormat="1" ht="226" customHeight="1">
      <c r="A146" s="174" t="s">
        <v>1</v>
      </c>
      <c r="B146" s="175">
        <f t="shared" si="42"/>
        <v>128</v>
      </c>
      <c r="C146" s="176" t="str">
        <f>IFERROR(INDEX(Program_01!$B:$B,MATCH($B146,Program_01!$A:$A,0)),"")</f>
        <v>FULL TIA EAR</v>
      </c>
      <c r="D146" s="176" t="str">
        <f>IFERROR(INDEX(Program_01!$D:$D,MATCH($B146,Program_01!$A:$A,0)),"")</f>
        <v>1TB01031C15</v>
      </c>
      <c r="E146" s="176" t="str">
        <f>IFERROR(INDEX(Program_01!$E:$E,MATCH($B146,Program_01!$A:$A,0)),"")</f>
        <v>1.TB.01.031.01</v>
      </c>
      <c r="F146" s="176" t="str">
        <f>IFERROR(INDEX(Program_01!$F:$F,MATCH($B146,Program_01!$A:$A,0)),"")</f>
        <v>The Marina</v>
      </c>
      <c r="G146" s="176" t="str">
        <f>IFERROR(INDEX(Program_01!$G:$G,MATCH($B146,Program_01!$A:$A,0)),"")</f>
        <v>Constructing Boardwalks &amp; Jetties for Hijaz Island at Amaala
Development</v>
      </c>
      <c r="H146" s="176" t="str">
        <f>IFERROR(INDEX(Program_01!$H:$H,MATCH($B146,Program_01!$A:$A,0)),"")</f>
        <v>Elmar Marinas Khaleej LLC</v>
      </c>
      <c r="I146" s="176" t="str">
        <f t="shared" si="37"/>
        <v>Prolongation</v>
      </c>
      <c r="J146" s="176">
        <f>IFERROR(INDEX(Program_01!$I:$I,MATCH($B146,Program_01!$A:$A,0)),"")</f>
        <v>0</v>
      </c>
      <c r="K146" s="176">
        <f>IFERROR(INDEX(Program_01!$J:$J,MATCH($B146,Program_01!$A:$A,0)),"")</f>
        <v>1</v>
      </c>
      <c r="L146" s="176">
        <f>IFERROR(INDEX(Program_01!$K:$K,MATCH($B146,Program_01!$A:$A,0)),"")</f>
        <v>0</v>
      </c>
      <c r="M146" s="176">
        <f>IFERROR(INDEX(Program_01!$L:$L,MATCH($B146,Program_01!$A:$A,0)),"")</f>
        <v>0</v>
      </c>
      <c r="N146" s="176">
        <f>IFERROR(INDEX(Program_01!$L:$L,MATCH($B146,Program_01!$A:$A,0)),"")</f>
        <v>0</v>
      </c>
      <c r="O146" s="176">
        <f>IFERROR(INDEX(Program_01!$N:$N,MATCH($B146,Program_01!$A:$A,0)),"")</f>
        <v>0</v>
      </c>
      <c r="P146" s="178"/>
      <c r="Q146" s="179" t="str">
        <f>IFERROR(INDEX(Program_01!$C:$C,MATCH($B146,Program_01!$A:$A,0)),"")</f>
        <v>Submission of Prolongation Cost Claim (EOT-01)</v>
      </c>
      <c r="R146" s="176" t="str">
        <f>IFERROR(INDEX(Program_01!$V:$V,MATCH($B146,Program_01!$A:$A,0)),"")</f>
        <v xml:space="preserve">EMC01031-TRANSMIT-000119 
1TB01031-031C15-EMC-LTR-0024[C1]
</v>
      </c>
      <c r="S146" s="180">
        <f>IFERROR(INDEX(Program_01!$W:$W,MATCH($B146,Program_01!$A:$A,0)),"")</f>
        <v>46086</v>
      </c>
      <c r="T146" s="178"/>
      <c r="U146" s="176">
        <f>IFERROR(INDEX(Program_01!$Z:$Z,MATCH($B146,Program_01!$A:$A,0)),"")</f>
        <v>0</v>
      </c>
      <c r="V146" s="181">
        <f>IFERROR(INDEX(Program_01!$AA:$AA,MATCH($B146,Program_01!$A:$A,0)),"")</f>
        <v>0</v>
      </c>
      <c r="W146" s="182">
        <f t="shared" ca="1" si="0"/>
        <v>214</v>
      </c>
      <c r="X146" s="51"/>
      <c r="Y146" s="179">
        <f>IFERROR(INDEX(Program_01!$BD:$BD,MATCH($B146,Program_01!$A:$A,0)),"")</f>
        <v>0</v>
      </c>
      <c r="Z146" s="51"/>
      <c r="AA146" s="183" t="str">
        <f>IFERROR(IF((INDEX(Program_01!$AD:$AD,MATCH($B146,Program_01!$A:$A,0))=""),INDEX(Program_01!$V:$V,MATCH($B146,Program_01!$A:$A,0)),INDEX(Program_01!$AD:$AD,MATCH($B146,Program_01!$A:$A,0))),"")</f>
        <v>Revised claim submitted via Email on 12 Sep 26</v>
      </c>
      <c r="AB146" s="147">
        <f>IFERROR(IF((INDEX(Program_01!$AE:$AE,MATCH($B146,Program_01!$A:$A,0))=""),INDEX(Program_01!$W:$W,MATCH($B146,Program_01!$A:$A,0)),INDEX(Program_01!$AE:$AE,MATCH($B146,Program_01!$A:$A,0))),"")</f>
        <v>46277</v>
      </c>
      <c r="AC146" s="183">
        <f>IFERROR(IF($I146="EOT",INDEX(Program_01!$AN:$AN,MATCH($B146,Program_01!$A:$A,0)),INDEX(Program_01!$AY:$AY,MATCH($B146,Program_01!$A:$A,0))),"")</f>
        <v>0</v>
      </c>
      <c r="AD146" s="181">
        <f>IFERROR(IF($I146="EOT",INDEX(Program_01!$AO:$AO,MATCH($B146,Program_01!$A:$A,0)),INDEX(Program_01!$AZ:$AZ,MATCH($B146,Program_01!$A:$A,0))),"")</f>
        <v>0</v>
      </c>
      <c r="AE146" s="51"/>
      <c r="AF146" s="183"/>
      <c r="AG146" s="181"/>
      <c r="AH146" s="183" t="str">
        <f>IF(OR($D146="",$AS146="VO Issued",$AS146="Open"),"",IF(OR($AC146="Rejected",$AC146="Superseded",$AC146="Dealt Separately"),$AC146,IF($I146="EOT",INDEX(Program_01!$AR:$AR,MATCH($B146,Program_01!$A:$A,0)),INDEX(Program_01!$BB:$BB,MATCH($B146,Program_01!$A:$A,0)))))</f>
        <v/>
      </c>
      <c r="AI146" s="181" t="str">
        <f>IF(OR($A146="",$B146="",$I146="",$AS146="VO Issued",$AS146="Open"),"",IF(OR($AD146="N/A"),$AD146,IF($I146="EOT",INDEX(Program_01!$AS:$AS,MATCH($B146,Program_01!$A:$A,0)),INDEX(Program_01!$BC:$BC,MATCH($B146,Program_01!$A:$A,0)))))</f>
        <v/>
      </c>
      <c r="AJ146" s="183" t="str">
        <f>IF(OR($D146="",$I146="",$AS146="Determination Issued",$AS146="Rejected",$AS146="Open"),"",IF(OR($AH146="Rejected",$AH146="Dealt Separately",$AH146="Superseded",$AH146="Withdrawn"),"N/A",IF($I146="EOT",INDEX(Program_01!AR:AR,MATCH($B146,Program_01!A:A,0)),INDEX(Program_01!BB:BB,MATCH($B146,Program_01!A:A,0)))))</f>
        <v/>
      </c>
      <c r="AK146" s="181" t="str">
        <f>IF(OR($A146="",$B146="",$I146="",$AS146="Determination Issued",$AS146="Rejected",$AS146="Open"),"",IF($AJ146="N/A","N/A",IF($I146="EOT",INDEX(Program_01!AS:AS,MATCH($B146,Program_01!A:A,0)),INDEX(Program_01!BC:BC,MATCH($B146,Program_01!A:A,0)))))</f>
        <v/>
      </c>
      <c r="AL146" s="51"/>
      <c r="AM146" s="184">
        <f>IFERROR(INDEX(Program_01!$BT:$BT,MATCH($B146,Program_01!$A:$A,0)),"")</f>
        <v>0</v>
      </c>
      <c r="AN146" s="184">
        <f>IFERROR(INDEX(Program_01!$BU:$BU,MATCH($B146,Program_01!$A:$A,0)),"")</f>
        <v>0</v>
      </c>
      <c r="AO146" s="184">
        <f>IFERROR(INDEX(Program_01!$BV:$BV,MATCH($B146,Program_01!$A:$A,0)),"")</f>
        <v>0</v>
      </c>
      <c r="AP146" s="51" t="str">
        <f t="shared" si="46"/>
        <v/>
      </c>
      <c r="AQ146" s="184">
        <f>IFERROR(INDEX(Program_01!$BN:$BN,MATCH($B146,Program_01!$A:$A,0)),"")</f>
        <v>0</v>
      </c>
      <c r="AR146" s="184" t="str">
        <f>IFERROR(INDEX(Program_01!$BO:$BO,MATCH($B146,Program_01!$A:$A,0)),"")</f>
        <v>Pending</v>
      </c>
      <c r="AS146" s="184" t="str">
        <f>IFERROR(INDEX(Program_01!$BP:$BP,MATCH($B146,Program_01!$A:$A,0)),"")</f>
        <v>Open</v>
      </c>
      <c r="AT146" s="185" t="str">
        <f>IFERROR(INDEX(Program_01!$BQ:$BQ,MATCH($B146,Program_01!$A:$A,0)),"")</f>
        <v>Commercial Team</v>
      </c>
      <c r="AU146" s="179" t="str">
        <f>IFERROR(INDEX(Program_01!$BR:$BR,MATCH($B146,Program_01!$A:$A,0)),"")</f>
        <v>05 March 26: Contractor submitted EOT 01 Cost Claim via EMC01031-TRANSMIT-000119
19 April 26: Target date June 2026.
20 Apr 26: Initial response targeted to be issued by 15 May 26
04 May 26: Ditto
18 May 26: Ditto
31 May 26: Final Cost is bing assessed after clarification meeting with Elamar on 15 th May 2026
04 Jun 26: Target to complete by 30 Jun 26.
15 Jun 26: Ditto
28 June 26: Ditto
11 Jul 26: Cost report sent to claims team for review
26 July 26: Ditto, Claims team targeted to revert by 31 Jul 26
03 Aug 26: reverted to commercial to advise on how the compensable day was obtained // claims team to carry out the assessment
09 Aug 26: Claims teams's observations on the submission reverted to commercial to review and request for further particulars from the contractor
11 Aug 26: a workshop meeting was held between commercial &amp; claims, following to that another WS was held with the contractor and requested further supporting documents 
24 Aug 26:  Letter in WF confirming the same.
07 sept 26: Second Work shop was held on 01Sept 202, additional information is requested to the contractor, response awaited
12 Sep 26: Contractor provided an advance copy of the revised claim via email (attachments via one drive link). commercial to request the contractor to submit the same officially via Aconex, Commercial currently reviewing the cost analysis 
19 Sep 26: Commercial has isued the revised cost assessment to Claims team for reviewe via Email on 8th Sep 2026, awaiting the response // Intan responded to commercial to carry out the cost analysis 
24 Sep 26: commercial to set up a meeting to discuss 
29 Sep 26: further to the meeting with commercial, action has been now set to claims team to review the cost
05 Oct 26: Commercial Team is adressing the Comments from Claims team received on 2 Oct 2026</v>
      </c>
      <c r="AV146" s="186" t="str">
        <f t="shared" si="32"/>
        <v/>
      </c>
      <c r="AW146" s="186" t="str">
        <f t="shared" si="47"/>
        <v>OPEN</v>
      </c>
      <c r="AX146" s="186" t="str">
        <f t="shared" si="33"/>
        <v>OPEN</v>
      </c>
      <c r="AY146" s="181">
        <f t="shared" si="38"/>
        <v>46277</v>
      </c>
      <c r="AZ146" s="181" t="str">
        <f>IF($AD146=0,"",AD146)</f>
        <v/>
      </c>
      <c r="BA146" s="181" t="str">
        <f t="shared" si="4"/>
        <v/>
      </c>
      <c r="BC146" s="181">
        <f>IFERROR(INDEX(Program_01!BF:BF,MATCH($B146,Program_01!$A:$A,0)),"")</f>
        <v>46277</v>
      </c>
      <c r="BD146" s="188">
        <f ca="1">IFERROR(INDEX(Program_01!BG:BG,MATCH($B146,Program_01!$A:$A,0)),"")</f>
        <v>23</v>
      </c>
      <c r="BE146" s="181">
        <f>IFERROR(INDEX(Program_01!BH:BH,MATCH($B146,Program_01!$A:$A,0)),"")</f>
        <v>0</v>
      </c>
      <c r="BF146" s="189">
        <f ca="1">IFERROR(INDEX(Program_01!BI:BI,MATCH($B146,Program_01!$A:$A,0)),"")</f>
        <v>0</v>
      </c>
      <c r="BG146" s="181">
        <f>IFERROR(INDEX(Program_01!BJ:BJ,MATCH($B146,Program_01!$A:$A,0)),"")</f>
        <v>0</v>
      </c>
      <c r="BH146" s="189">
        <f ca="1">IFERROR(INDEX(Program_01!BK:BK,MATCH($B146,Program_01!$A:$A,0)),"")</f>
        <v>0</v>
      </c>
      <c r="BI146" s="181">
        <f>IFERROR(INDEX(Program_01!BL:BL,MATCH($B146,Program_01!$A:$A,0)),"")</f>
        <v>0</v>
      </c>
      <c r="BK146" s="190" t="str">
        <f>IFERROR(IF(INDEX(Program_01!$BX:$BX,MATCH($B146,Program_01!$A:$A,0))=DATE(1900,1,0),"",INDEX(Program_01!$BX:$BX,MATCH($B146,Program_01!$A:$A,0))),"")</f>
        <v/>
      </c>
      <c r="BL146" s="190" t="str">
        <f>IFERROR(IF(INDEX(Program_01!$BY:$BY,MATCH($B146,Program_01!$A:$A,0))=DATE(1900,1,0),"",INDEX(Program_01!$BY:$BY,MATCH($B146,Program_01!$A:$A,0))),"")</f>
        <v/>
      </c>
      <c r="BM146" s="188" t="str">
        <f t="shared" ca="1" si="39"/>
        <v/>
      </c>
      <c r="BN146" s="191">
        <f t="shared" ca="1" si="40"/>
        <v>23</v>
      </c>
      <c r="BO146" s="188" t="str">
        <f t="shared" si="34"/>
        <v/>
      </c>
      <c r="BP146" s="188" t="str">
        <f t="shared" si="6"/>
        <v/>
      </c>
      <c r="BQ146" s="188" t="str">
        <f t="shared" ca="1" si="41"/>
        <v/>
      </c>
      <c r="BR146" s="181" t="str">
        <f ca="1">IF(BQ146="","","1")</f>
        <v/>
      </c>
      <c r="BT146" s="190" t="str">
        <f>IFERROR(IF(INDEX(Program_01!$BZ:$BZ,MATCH($B146,Program_01!$A:$A,0))=DATE(1900,1,0),"",INDEX(Program_01!$BZ:$BZ,MATCH($B146,Program_01!$A:$A,0))),"")</f>
        <v/>
      </c>
      <c r="BU146" s="182" t="str">
        <f t="shared" ca="1" si="48"/>
        <v/>
      </c>
      <c r="BV146" s="188" t="str">
        <f t="shared" si="35"/>
        <v/>
      </c>
      <c r="BW146" s="188" t="str">
        <f t="shared" si="8"/>
        <v/>
      </c>
      <c r="BX146" s="188" t="str">
        <f t="shared" ca="1" si="36"/>
        <v/>
      </c>
      <c r="BY146" s="181" t="str">
        <f ca="1">IF(BX146="","","1")</f>
        <v/>
      </c>
      <c r="CA146" s="192" t="str">
        <f t="shared" si="49"/>
        <v>N</v>
      </c>
      <c r="CB146" s="192" t="str">
        <f t="shared" si="50"/>
        <v>N</v>
      </c>
      <c r="CC146" s="193">
        <f>IFERROR(INDEX(Program_01!$CE:$CE,MATCH($B146,Program_01!$A:$A,0)),"")</f>
        <v>46131</v>
      </c>
      <c r="CD146" s="193">
        <f>MAX(S146,CC146)</f>
        <v>46131</v>
      </c>
      <c r="CG146" s="194">
        <f>IFERROR(INDEX(Program_01!$AT:$AT,MATCH($B146,Program_01!$A:$A,0)),"")</f>
        <v>801604.76</v>
      </c>
      <c r="CH146" s="194">
        <f>IFERROR(INDEX(Program_01!$AX:$AX,MATCH($B146,Program_01!$A:$A,0)),"")</f>
        <v>0</v>
      </c>
    </row>
    <row r="147" spans="1:86" s="187" customFormat="1" ht="154" customHeight="1">
      <c r="A147" s="174" t="s">
        <v>1</v>
      </c>
      <c r="B147" s="201">
        <f t="shared" si="42"/>
        <v>129</v>
      </c>
      <c r="C147" s="176" t="str">
        <f>IFERROR(INDEX(Program_01!$B:$B,MATCH($B147,Program_01!$A:$A,0)),"")</f>
        <v>FULL TIA EAR</v>
      </c>
      <c r="D147" s="176" t="str">
        <f>IFERROR(INDEX(Program_01!$D:$D,MATCH($B147,Program_01!$A:$A,0)),"")</f>
        <v>1TB01009C08</v>
      </c>
      <c r="E147" s="176" t="str">
        <f>IFERROR(INDEX(Program_01!$E:$E,MATCH($B147,Program_01!$A:$A,0)),"")</f>
        <v>1.TB.01.009.01</v>
      </c>
      <c r="F147" s="176" t="str">
        <f>IFERROR(INDEX(Program_01!$F:$F,MATCH($B147,Program_01!$A:$A,0)),"")</f>
        <v>Marina Hotel 3</v>
      </c>
      <c r="G147" s="176" t="str">
        <f>IFERROR(INDEX(Program_01!$G:$G,MATCH($B147,Program_01!$A:$A,0)),"")</f>
        <v>MH3 - Kitchen, Laundry &amp; Waste</v>
      </c>
      <c r="H147" s="176" t="str">
        <f>IFERROR(INDEX(Program_01!$H:$H,MATCH($B147,Program_01!$A:$A,0)),"")</f>
        <v>AL RAQTAN &amp; PARTNERS CO. FOR TRADING AND INDUSTRY</v>
      </c>
      <c r="I147" s="176" t="str">
        <f t="shared" si="37"/>
        <v>EOT</v>
      </c>
      <c r="J147" s="176">
        <f>IFERROR(INDEX(Program_01!$I:$I,MATCH($B147,Program_01!$A:$A,0)),"")</f>
        <v>1</v>
      </c>
      <c r="K147" s="176">
        <f>IFERROR(INDEX(Program_01!$J:$J,MATCH($B147,Program_01!$A:$A,0)),"")</f>
        <v>0</v>
      </c>
      <c r="L147" s="176">
        <f>IFERROR(INDEX(Program_01!$K:$K,MATCH($B147,Program_01!$A:$A,0)),"")</f>
        <v>0</v>
      </c>
      <c r="M147" s="176">
        <f>IFERROR(INDEX(Program_01!$L:$L,MATCH($B147,Program_01!$A:$A,0)),"")</f>
        <v>0</v>
      </c>
      <c r="N147" s="176">
        <f>IFERROR(INDEX(Program_01!$L:$L,MATCH($B147,Program_01!$A:$A,0)),"")</f>
        <v>0</v>
      </c>
      <c r="O147" s="176">
        <f>IFERROR(INDEX(Program_01!$N:$N,MATCH($B147,Program_01!$A:$A,0)),"")</f>
        <v>0</v>
      </c>
      <c r="P147" s="178"/>
      <c r="Q147" s="179" t="str">
        <f>IFERROR(INDEX(Program_01!$C:$C,MATCH($B147,Program_01!$A:$A,0)),"")</f>
        <v xml:space="preserve">Contractor's Extension of Time (EOT) - 01 </v>
      </c>
      <c r="R147" s="176" t="str">
        <f>IFERROR(INDEX(Program_01!$V:$V,MATCH($B147,Program_01!$A:$A,0)),"")</f>
        <v>RQN01009-CLM-000001</v>
      </c>
      <c r="S147" s="180">
        <f>IFERROR(INDEX(Program_01!$W:$W,MATCH($B147,Program_01!$A:$A,0)),"")</f>
        <v>46050</v>
      </c>
      <c r="T147" s="178"/>
      <c r="U147" s="176" t="str">
        <f>IFERROR(INDEX(Program_01!$Z:$Z,MATCH($B147,Program_01!$A:$A,0)),"")</f>
        <v xml:space="preserve">AMA01009-CLRSP-000004 </v>
      </c>
      <c r="V147" s="181">
        <f>IFERROR(INDEX(Program_01!$AA:$AA,MATCH($B147,Program_01!$A:$A,0)),"")</f>
        <v>46132</v>
      </c>
      <c r="W147" s="182">
        <f t="shared" ca="1" si="0"/>
        <v>82</v>
      </c>
      <c r="X147" s="51"/>
      <c r="Y147" s="179">
        <f>IFERROR(INDEX(Program_01!$BD:$BD,MATCH($B147,Program_01!$A:$A,0)),"")</f>
        <v>0</v>
      </c>
      <c r="Z147" s="51"/>
      <c r="AA147" s="183" t="str">
        <f>IFERROR(IF((INDEX(Program_01!$AD:$AD,MATCH($B147,Program_01!$A:$A,0))=""),INDEX(Program_01!$V:$V,MATCH($B147,Program_01!$A:$A,0)),INDEX(Program_01!$AD:$AD,MATCH($B147,Program_01!$A:$A,0))),"")</f>
        <v>RQN01009-CLM-000002</v>
      </c>
      <c r="AB147" s="147">
        <f>IFERROR(IF((INDEX(Program_01!$AE:$AE,MATCH($B147,Program_01!$A:$A,0))=""),INDEX(Program_01!$W:$W,MATCH($B147,Program_01!$A:$A,0)),INDEX(Program_01!$AE:$AE,MATCH($B147,Program_01!$A:$A,0))),"")</f>
        <v>46159</v>
      </c>
      <c r="AC147" s="183">
        <f>IFERROR(IF($I147="EOT",INDEX(Program_01!$AN:$AN,MATCH($B147,Program_01!$A:$A,0)),INDEX(Program_01!$AY:$AY,MATCH($B147,Program_01!$A:$A,0))),"")</f>
        <v>0</v>
      </c>
      <c r="AD147" s="181">
        <f>IFERROR(IF($I147="EOT",INDEX(Program_01!$AO:$AO,MATCH($B147,Program_01!$A:$A,0)),INDEX(Program_01!$AZ:$AZ,MATCH($B147,Program_01!$A:$A,0))),"")</f>
        <v>0</v>
      </c>
      <c r="AE147" s="51"/>
      <c r="AF147" s="183"/>
      <c r="AG147" s="181"/>
      <c r="AH147" s="183" t="str">
        <f>IF(OR($D147="",$AS147="VO Issued",$AS147="Open"),"",IF(OR($AC147="Rejected",$AC147="Superseded",$AC147="Dealt Separately"),$AC147,IF($I147="EOT",INDEX(Program_01!$AR:$AR,MATCH($B147,Program_01!$A:$A,0)),INDEX(Program_01!$BB:$BB,MATCH($B147,Program_01!$A:$A,0)))))</f>
        <v/>
      </c>
      <c r="AI147" s="181" t="str">
        <f>IF(OR($A147="",$B147="",$I147="",$AS147="VO Issued",$AS147="Open"),"",IF(OR($AD147="N/A"),$AD147,IF($I147="EOT",INDEX(Program_01!$AS:$AS,MATCH($B147,Program_01!$A:$A,0)),INDEX(Program_01!$BC:$BC,MATCH($B147,Program_01!$A:$A,0)))))</f>
        <v/>
      </c>
      <c r="AJ147" s="183" t="str">
        <f>IF(OR($D147="",$I147="",$AS147="Determination Issued",$AS147="Rejected",$AS147="Open"),"",IF(OR($AH147="Rejected",$AH147="Dealt Separately",$AH147="Superseded",$AH147="Withdrawn"),"N/A",IF($I147="EOT",INDEX(Program_01!AR:AR,MATCH($B147,Program_01!A:A,0)),INDEX(Program_01!BB:BB,MATCH($B147,Program_01!A:A,0)))))</f>
        <v/>
      </c>
      <c r="AK147" s="181" t="str">
        <f>IF(OR($A147="",$B147="",$I147="",$AS147="Determination Issued",$AS147="Rejected",$AS147="Open"),"",IF($AJ147="N/A","N/A",IF($I147="EOT",INDEX(Program_01!AS:AS,MATCH($B147,Program_01!A:A,0)),INDEX(Program_01!BC:BC,MATCH($B147,Program_01!A:A,0)))))</f>
        <v/>
      </c>
      <c r="AL147" s="51"/>
      <c r="AM147" s="184">
        <f>IFERROR(INDEX(Program_01!$BT:$BT,MATCH($B147,Program_01!$A:$A,0)),"")</f>
        <v>0</v>
      </c>
      <c r="AN147" s="184">
        <f>IFERROR(INDEX(Program_01!$BU:$BU,MATCH($B147,Program_01!$A:$A,0)),"")</f>
        <v>0</v>
      </c>
      <c r="AO147" s="184">
        <f>IFERROR(INDEX(Program_01!$BV:$BV,MATCH($B147,Program_01!$A:$A,0)),"")</f>
        <v>0</v>
      </c>
      <c r="AP147" s="51" t="str">
        <f t="shared" si="46"/>
        <v/>
      </c>
      <c r="AQ147" s="184">
        <f>IFERROR(INDEX(Program_01!$BN:$BN,MATCH($B147,Program_01!$A:$A,0)),"")</f>
        <v>0</v>
      </c>
      <c r="AR147" s="184" t="str">
        <f>IFERROR(INDEX(Program_01!$BO:$BO,MATCH($B147,Program_01!$A:$A,0)),"")</f>
        <v>Pending</v>
      </c>
      <c r="AS147" s="184" t="str">
        <f>IFERROR(INDEX(Program_01!$BP:$BP,MATCH($B147,Program_01!$A:$A,0)),"")</f>
        <v>Open</v>
      </c>
      <c r="AT147" s="185" t="str">
        <f>IFERROR(INDEX(Program_01!$BQ:$BQ,MATCH($B147,Program_01!$A:$A,0)),"")</f>
        <v>Commercial Team</v>
      </c>
      <c r="AU147" s="179" t="str">
        <f>IFERROR(INDEX(Program_01!$BR:$BR,MATCH($B147,Program_01!$A:$A,0)),"")</f>
        <v>19 Apr 26: Under review. Initial response shall be prepared by 15 May 26. There is a planning repsone to be sent asap to them. 
20 Apr 26: initial response to revise &amp; resubmit issued via AMA01009-CLRSP-000004 on 20 Apr 2026
04 May 26: Awaiting Contractor to response
17 May 26: Contractor submitted additional particulars via RQN01009-CLM-000002
18 May 26: Ditto, comm to issue a follow up letter
31 May 26: Contractor has addressed the Planning comments and resubmitted their Claim. Target date for review - 5 Jul 26
15 Jun 26:  Ditto
27 June 26: under review with commercial
13 Jul 26: Comments on the Contractor's EOT submission shall be issued by 30 Jul 26
25 Jul 26: Initial response under preparation. Target date remains same.
10 Aug 26: Initial response shall be issued by 15 Aug 26
22 Aug 26: Initial response shall be issued by 30 Aug 26
06 Sep 26: Meeting with Contractor scheduled on 7 Sep 26 to discuss EOT, following which a letter shall be issued
04 Oct 26:The shortcomings identified in the Contractor’s EOT  were formally communicated through Claim Response AMA01009-CLRSP-000006, requesting the Contractor to submit a revised EOT application incorporating a revised cut-off date of 30 August 2026. As of the date of this assessment, the revised submission remains outstanding.</v>
      </c>
      <c r="AV147" s="186" t="str">
        <f t="shared" ref="AV147:AV194" si="58">IF($I147="","",IF($S147&gt;$AV$16,"",IF($AS147="OPEN","OPEN",IF($AS147="","",IF(AND($AS147&lt;&gt;"OPEN",$AT147="CLOSED"),"CLOSED",IF(AND($AS147&lt;&gt;"OPEN",$AT147&lt;&gt;"CLOSED"),"OPEN",""))))))</f>
        <v/>
      </c>
      <c r="AW147" s="186" t="str">
        <f t="shared" si="47"/>
        <v>OPEN</v>
      </c>
      <c r="AX147" s="186" t="str">
        <f t="shared" ref="AX147:AX194" si="59">IF(OR($AV147="OPEN",$AV147="CLOSED"),$AV147,$AW147)</f>
        <v>OPEN</v>
      </c>
      <c r="AY147" s="181">
        <f t="shared" si="38"/>
        <v>46159</v>
      </c>
      <c r="AZ147" s="181" t="str">
        <f t="shared" ref="AZ147:AZ194" si="60">IF($AD147=0,"",AD147)</f>
        <v/>
      </c>
      <c r="BA147" s="181" t="str">
        <f t="shared" si="4"/>
        <v/>
      </c>
      <c r="BC147" s="181">
        <f>IFERROR(INDEX(Program_01!BF:BF,MATCH($B147,Program_01!$A:$A,0)),"")</f>
        <v>46159</v>
      </c>
      <c r="BD147" s="188">
        <f ca="1">IFERROR(INDEX(Program_01!BG:BG,MATCH($B147,Program_01!$A:$A,0)),"")</f>
        <v>141</v>
      </c>
      <c r="BE147" s="181">
        <f>IFERROR(INDEX(Program_01!BH:BH,MATCH($B147,Program_01!$A:$A,0)),"")</f>
        <v>0</v>
      </c>
      <c r="BF147" s="189">
        <f ca="1">IFERROR(INDEX(Program_01!BI:BI,MATCH($B147,Program_01!$A:$A,0)),"")</f>
        <v>0</v>
      </c>
      <c r="BG147" s="181">
        <f>IFERROR(INDEX(Program_01!BJ:BJ,MATCH($B147,Program_01!$A:$A,0)),"")</f>
        <v>0</v>
      </c>
      <c r="BH147" s="189">
        <f ca="1">IFERROR(INDEX(Program_01!BK:BK,MATCH($B147,Program_01!$A:$A,0)),"")</f>
        <v>0</v>
      </c>
      <c r="BI147" s="181">
        <f>IFERROR(INDEX(Program_01!BL:BL,MATCH($B147,Program_01!$A:$A,0)),"")</f>
        <v>0</v>
      </c>
      <c r="BK147" s="190" t="str">
        <f>IFERROR(IF(INDEX(Program_01!$BX:$BX,MATCH($B147,Program_01!$A:$A,0))=DATE(1900,1,0),"",INDEX(Program_01!$BX:$BX,MATCH($B147,Program_01!$A:$A,0))),"")</f>
        <v/>
      </c>
      <c r="BL147" s="190" t="str">
        <f>IFERROR(IF(INDEX(Program_01!$BY:$BY,MATCH($B147,Program_01!$A:$A,0))=DATE(1900,1,0),"",INDEX(Program_01!$BY:$BY,MATCH($B147,Program_01!$A:$A,0))),"")</f>
        <v/>
      </c>
      <c r="BM147" s="188" t="str">
        <f t="shared" ca="1" si="39"/>
        <v/>
      </c>
      <c r="BN147" s="191">
        <f t="shared" ca="1" si="40"/>
        <v>141</v>
      </c>
      <c r="BO147" s="188" t="str">
        <f t="shared" ref="BO147:BO194" si="61">IF(OR($AR147&lt;&gt;"ASSESSMENT REPORT ISSUED"),"",IF($BN147&lt;&gt;"",$BN147,""))</f>
        <v/>
      </c>
      <c r="BP147" s="188" t="str">
        <f t="shared" si="6"/>
        <v/>
      </c>
      <c r="BQ147" s="188">
        <f t="shared" ca="1" si="41"/>
        <v>141</v>
      </c>
      <c r="BR147" s="181" t="str">
        <f t="shared" ref="BR147:BR194" ca="1" si="62">IF(BQ147="","","1")</f>
        <v>1</v>
      </c>
      <c r="BT147" s="190" t="str">
        <f>IFERROR(IF(INDEX(Program_01!$BZ:$BZ,MATCH($B147,Program_01!$A:$A,0))=DATE(1900,1,0),"",INDEX(Program_01!$BZ:$BZ,MATCH($B147,Program_01!$A:$A,0))),"")</f>
        <v/>
      </c>
      <c r="BU147" s="182" t="str">
        <f t="shared" ca="1" si="48"/>
        <v/>
      </c>
      <c r="BV147" s="188" t="str">
        <f t="shared" ref="BV147:BV194" si="63">IF(OR($AS147="Determination Issued",$AS147="VO Issued"),$BU147,"")</f>
        <v/>
      </c>
      <c r="BW147" s="188" t="str">
        <f t="shared" si="8"/>
        <v/>
      </c>
      <c r="BX147" s="188" t="str">
        <f t="shared" ref="BX147:BX194" ca="1" si="64">IF(OR($AS147="Determination Issued",$AS147="VO Issued",$AS147="Rejected",$AS147="Canceled",$AS147="Superseded",$AS147="Not Applicable",$BU147=""),"",IF($BU147&gt;90,$BU147,""))</f>
        <v/>
      </c>
      <c r="BY147" s="181" t="str">
        <f t="shared" ref="BY147:BY194" ca="1" si="65">IF(BX147="","","1")</f>
        <v/>
      </c>
      <c r="CA147" s="192" t="str">
        <f t="shared" si="49"/>
        <v>N</v>
      </c>
      <c r="CB147" s="192" t="str">
        <f t="shared" si="50"/>
        <v>N</v>
      </c>
      <c r="CC147" s="193">
        <f>IFERROR(INDEX(Program_01!$CE:$CE,MATCH($B147,Program_01!$A:$A,0)),"")</f>
        <v>46131</v>
      </c>
      <c r="CD147" s="193">
        <f t="shared" ref="CD147:CD194" si="66">MAX(S147,CC147)</f>
        <v>46131</v>
      </c>
      <c r="CG147" s="194">
        <f>IFERROR(INDEX(Program_01!$AT:$AT,MATCH($B147,Program_01!$A:$A,0)),"")</f>
        <v>0</v>
      </c>
      <c r="CH147" s="194">
        <f>IFERROR(INDEX(Program_01!$AX:$AX,MATCH($B147,Program_01!$A:$A,0)),"")</f>
        <v>0</v>
      </c>
    </row>
    <row r="148" spans="1:86" s="187" customFormat="1" ht="323">
      <c r="A148" s="174" t="s">
        <v>1</v>
      </c>
      <c r="B148" s="201">
        <f t="shared" si="42"/>
        <v>130</v>
      </c>
      <c r="C148" s="176" t="str">
        <f>IFERROR(INDEX(Program_01!$B:$B,MATCH($B148,Program_01!$A:$A,0)),"")</f>
        <v>FULL TIA EAR</v>
      </c>
      <c r="D148" s="176" t="str">
        <f>IFERROR(INDEX(Program_01!$D:$D,MATCH($B148,Program_01!$A:$A,0)),"")</f>
        <v>1TB01006C42</v>
      </c>
      <c r="E148" s="176" t="str">
        <f>IFERROR(INDEX(Program_01!$E:$E,MATCH($B148,Program_01!$A:$A,0)),"")</f>
        <v>1.TB.01.006.99</v>
      </c>
      <c r="F148" s="176" t="str">
        <f>IFERROR(INDEX(Program_01!$F:$F,MATCH($B148,Program_01!$A:$A,0)),"")</f>
        <v>Village Boutique Hotel</v>
      </c>
      <c r="G148" s="176" t="str">
        <f>IFERROR(INDEX(Program_01!$G:$G,MATCH($B148,Program_01!$A:$A,0)),"")</f>
        <v>Construction of Amaala Triple Bay Marina - Village Boutique Hotel Fit-Out Package 2</v>
      </c>
      <c r="H148" s="176" t="str">
        <f>IFERROR(INDEX(Program_01!$H:$H,MATCH($B148,Program_01!$A:$A,0)),"")</f>
        <v>Havelock One Interiors Company</v>
      </c>
      <c r="I148" s="176" t="str">
        <f t="shared" ref="I148:I194" si="67">IFERROR(IF($D148="","",INDEX($J$16:$O$16,MATCH(1,J148:O148,0))),"")</f>
        <v>EOT</v>
      </c>
      <c r="J148" s="176">
        <f>IFERROR(INDEX(Program_01!$I:$I,MATCH($B148,Program_01!$A:$A,0)),"")</f>
        <v>1</v>
      </c>
      <c r="K148" s="176">
        <f>IFERROR(INDEX(Program_01!$J:$J,MATCH($B148,Program_01!$A:$A,0)),"")</f>
        <v>0</v>
      </c>
      <c r="L148" s="176">
        <f>IFERROR(INDEX(Program_01!$K:$K,MATCH($B148,Program_01!$A:$A,0)),"")</f>
        <v>0</v>
      </c>
      <c r="M148" s="176">
        <f>IFERROR(INDEX(Program_01!$L:$L,MATCH($B148,Program_01!$A:$A,0)),"")</f>
        <v>0</v>
      </c>
      <c r="N148" s="176">
        <f>IFERROR(INDEX(Program_01!$L:$L,MATCH($B148,Program_01!$A:$A,0)),"")</f>
        <v>0</v>
      </c>
      <c r="O148" s="176">
        <f>IFERROR(INDEX(Program_01!$N:$N,MATCH($B148,Program_01!$A:$A,0)),"")</f>
        <v>0</v>
      </c>
      <c r="P148" s="178"/>
      <c r="Q148" s="179" t="str">
        <f>IFERROR(INDEX(Program_01!$C:$C,MATCH($B148,Program_01!$A:$A,0)),"")</f>
        <v xml:space="preserve">Extension of Time Submission – 01 </v>
      </c>
      <c r="R148" s="176" t="str">
        <f>IFERROR(INDEX(Program_01!$V:$V,MATCH($B148,Program_01!$A:$A,0)),"")</f>
        <v>1TB01006-006C42-HOI-LTR-0034 
HOI01006-TRANSMIT-000152</v>
      </c>
      <c r="S148" s="180">
        <f>IFERROR(INDEX(Program_01!$W:$W,MATCH($B148,Program_01!$A:$A,0)),"")</f>
        <v>46134</v>
      </c>
      <c r="T148" s="178"/>
      <c r="U148" s="176">
        <f>IFERROR(INDEX(Program_01!$Z:$Z,MATCH($B148,Program_01!$A:$A,0)),"")</f>
        <v>0</v>
      </c>
      <c r="V148" s="181">
        <f>IFERROR(INDEX(Program_01!$AA:$AA,MATCH($B148,Program_01!$A:$A,0)),"")</f>
        <v>0</v>
      </c>
      <c r="W148" s="182">
        <f t="shared" ca="1" si="0"/>
        <v>166</v>
      </c>
      <c r="X148" s="51"/>
      <c r="Y148" s="179">
        <f>IFERROR(INDEX(Program_01!$BD:$BD,MATCH($B148,Program_01!$A:$A,0)),"")</f>
        <v>0</v>
      </c>
      <c r="Z148" s="51"/>
      <c r="AA148" s="183" t="str">
        <f>IFERROR(IF((INDEX(Program_01!$AD:$AD,MATCH($B148,Program_01!$A:$A,0))=""),INDEX(Program_01!$V:$V,MATCH($B148,Program_01!$A:$A,0)),INDEX(Program_01!$AD:$AD,MATCH($B148,Program_01!$A:$A,0))),"")</f>
        <v>1TB01006-006C42-HOI-LTR-0034 
HOI01006-TRANSMIT-000152</v>
      </c>
      <c r="AB148" s="147">
        <f>IFERROR(IF((INDEX(Program_01!$AE:$AE,MATCH($B148,Program_01!$A:$A,0))=""),INDEX(Program_01!$W:$W,MATCH($B148,Program_01!$A:$A,0)),INDEX(Program_01!$AE:$AE,MATCH($B148,Program_01!$A:$A,0))),"")</f>
        <v>46134</v>
      </c>
      <c r="AC148" s="183">
        <f>IFERROR(IF($I148="EOT",INDEX(Program_01!$AN:$AN,MATCH($B148,Program_01!$A:$A,0)),INDEX(Program_01!$AY:$AY,MATCH($B148,Program_01!$A:$A,0))),"")</f>
        <v>0</v>
      </c>
      <c r="AD148" s="181">
        <f>IFERROR(IF($I148="EOT",INDEX(Program_01!$AO:$AO,MATCH($B148,Program_01!$A:$A,0)),INDEX(Program_01!$AZ:$AZ,MATCH($B148,Program_01!$A:$A,0))),"")</f>
        <v>0</v>
      </c>
      <c r="AE148" s="51"/>
      <c r="AF148" s="183"/>
      <c r="AG148" s="181"/>
      <c r="AH148" s="183" t="str">
        <f>IF(OR($D148="",$AS148="VO Issued",$AS148="Open"),"",IF(OR($AC148="Rejected",$AC148="Superseded",$AC148="Dealt Separately"),$AC148,IF($I148="EOT",INDEX(Program_01!$AR:$AR,MATCH($B148,Program_01!$A:$A,0)),INDEX(Program_01!$BB:$BB,MATCH($B148,Program_01!$A:$A,0)))))</f>
        <v/>
      </c>
      <c r="AI148" s="181" t="str">
        <f>IF(OR($A148="",$B148="",$I148="",$AS148="VO Issued",$AS148="Open"),"",IF(OR($AD148="N/A"),$AD148,IF($I148="EOT",INDEX(Program_01!$AS:$AS,MATCH($B148,Program_01!$A:$A,0)),INDEX(Program_01!$BC:$BC,MATCH($B148,Program_01!$A:$A,0)))))</f>
        <v/>
      </c>
      <c r="AJ148" s="183" t="str">
        <f>IF(OR($D148="",$I148="",$AS148="Determination Issued",$AS148="Rejected",$AS148="Open"),"",IF(OR($AH148="Rejected",$AH148="Dealt Separately",$AH148="Superseded",$AH148="Withdrawn"),"N/A",IF($I148="EOT",INDEX(Program_01!AR:AR,MATCH($B148,Program_01!A:A,0)),INDEX(Program_01!BB:BB,MATCH($B148,Program_01!A:A,0)))))</f>
        <v/>
      </c>
      <c r="AK148" s="181" t="str">
        <f>IF(OR($A148="",$B148="",$I148="",$AS148="Determination Issued",$AS148="Rejected",$AS148="Open"),"",IF($AJ148="N/A","N/A",IF($I148="EOT",INDEX(Program_01!AS:AS,MATCH($B148,Program_01!A:A,0)),INDEX(Program_01!BC:BC,MATCH($B148,Program_01!A:A,0)))))</f>
        <v/>
      </c>
      <c r="AL148" s="51"/>
      <c r="AM148" s="184">
        <f>IFERROR(INDEX(Program_01!$BT:$BT,MATCH($B148,Program_01!$A:$A,0)),"")</f>
        <v>0</v>
      </c>
      <c r="AN148" s="184">
        <f>IFERROR(INDEX(Program_01!$BU:$BU,MATCH($B148,Program_01!$A:$A,0)),"")</f>
        <v>0</v>
      </c>
      <c r="AO148" s="184">
        <f>IFERROR(INDEX(Program_01!$BV:$BV,MATCH($B148,Program_01!$A:$A,0)),"")</f>
        <v>0</v>
      </c>
      <c r="AP148" s="51" t="str">
        <f t="shared" si="46"/>
        <v/>
      </c>
      <c r="AQ148" s="184">
        <f>IFERROR(INDEX(Program_01!$BN:$BN,MATCH($B148,Program_01!$A:$A,0)),"")</f>
        <v>0</v>
      </c>
      <c r="AR148" s="184" t="str">
        <f>IFERROR(INDEX(Program_01!$BO:$BO,MATCH($B148,Program_01!$A:$A,0)),"")</f>
        <v>Pending</v>
      </c>
      <c r="AS148" s="184" t="str">
        <f>IFERROR(INDEX(Program_01!$BP:$BP,MATCH($B148,Program_01!$A:$A,0)),"")</f>
        <v>Open</v>
      </c>
      <c r="AT148" s="185" t="str">
        <f>IFERROR(INDEX(Program_01!$BQ:$BQ,MATCH($B148,Program_01!$A:$A,0)),"")</f>
        <v>Commercial Team</v>
      </c>
      <c r="AU148" s="179" t="str">
        <f>IFERROR(INDEX(Program_01!$BR:$BR,MATCH($B148,Program_01!$A:$A,0)),"")</f>
        <v>23 Apr 26: Contractor submitted EOT-01 via 1TB01006-006C42-HOI-LTR-0034  on 22 Apr 26. currently under review with commercial. 
04 May 26: Ditto, Target date 20 May 26
14 May 26: Ditto
31 May 26: Target date is 14 June
04 Jun 26: Ditto
15 Jun 26:  EAR under process with commercial, Traget date TBC
28 Jun 26: Target date on 12 July 26
13 July 26: under review with commercial, targeted to submit to claim team by 23 Jul 26
26 July 26, Draft EAR to be issued to Claims team today. 27 July 26
09 Aug 26: EAR sent to claims team for review
10 Aug 26: EAR sent back to commercial with comments
24 Aug 26: Commercial to target by 30 Aug 26.
25 Aug 26: Draft EAR sent to claims team for review
02 Sep 26: EAR sent back to commercial with comments to resubmit
07 Sep 26: Commercial to target 9 Sept 26
07 Sept 26: Meeting between Claims and Commercial to be set up for this EOT
16 Sep 26: Updated draft EAR sent back to claims team for review
22 Sep 26: EAR sent back to commercial with further comments and to address previous open comments
05 October: Commercial target date 06 October 26</v>
      </c>
      <c r="AV148" s="186" t="str">
        <f t="shared" si="58"/>
        <v/>
      </c>
      <c r="AW148" s="186" t="str">
        <f t="shared" si="47"/>
        <v>OPEN</v>
      </c>
      <c r="AX148" s="186" t="str">
        <f t="shared" si="59"/>
        <v>OPEN</v>
      </c>
      <c r="AY148" s="181">
        <f t="shared" ref="AY148:AY194" si="68">IF(C148="HLEAR",BC148,AB148)</f>
        <v>46134</v>
      </c>
      <c r="AZ148" s="181" t="str">
        <f t="shared" si="60"/>
        <v/>
      </c>
      <c r="BA148" s="181" t="str">
        <f t="shared" si="4"/>
        <v/>
      </c>
      <c r="BC148" s="181">
        <f>IFERROR(INDEX(Program_01!BF:BF,MATCH($B148,Program_01!$A:$A,0)),"")</f>
        <v>46134</v>
      </c>
      <c r="BD148" s="188">
        <f ca="1">IFERROR(INDEX(Program_01!BG:BG,MATCH($B148,Program_01!$A:$A,0)),"")</f>
        <v>166</v>
      </c>
      <c r="BE148" s="181">
        <f>IFERROR(INDEX(Program_01!BH:BH,MATCH($B148,Program_01!$A:$A,0)),"")</f>
        <v>0</v>
      </c>
      <c r="BF148" s="189">
        <f ca="1">IFERROR(INDEX(Program_01!BI:BI,MATCH($B148,Program_01!$A:$A,0)),"")</f>
        <v>0</v>
      </c>
      <c r="BG148" s="181">
        <f>IFERROR(INDEX(Program_01!BJ:BJ,MATCH($B148,Program_01!$A:$A,0)),"")</f>
        <v>0</v>
      </c>
      <c r="BH148" s="189">
        <f ca="1">IFERROR(INDEX(Program_01!BK:BK,MATCH($B148,Program_01!$A:$A,0)),"")</f>
        <v>0</v>
      </c>
      <c r="BI148" s="181">
        <f>IFERROR(INDEX(Program_01!BL:BL,MATCH($B148,Program_01!$A:$A,0)),"")</f>
        <v>0</v>
      </c>
      <c r="BK148" s="190" t="str">
        <f>IFERROR(IF(INDEX(Program_01!$BX:$BX,MATCH($B148,Program_01!$A:$A,0))=DATE(1900,1,0),"",INDEX(Program_01!$BX:$BX,MATCH($B148,Program_01!$A:$A,0))),"")</f>
        <v/>
      </c>
      <c r="BL148" s="190" t="str">
        <f>IFERROR(IF(INDEX(Program_01!$BY:$BY,MATCH($B148,Program_01!$A:$A,0))=DATE(1900,1,0),"",INDEX(Program_01!$BY:$BY,MATCH($B148,Program_01!$A:$A,0))),"")</f>
        <v/>
      </c>
      <c r="BM148" s="188" t="str">
        <f t="shared" ref="BM148:BM194" ca="1" si="69">IF(OR($AZ148="",$AZ148="N/A"),"",IF(AND($AZ148="",$AY148&lt;&gt;""),TODAY()-$AY148,$AZ148-$AY148))</f>
        <v/>
      </c>
      <c r="BN148" s="191">
        <f t="shared" ref="BN148:BN194" ca="1" si="70">IF(OR($C148="DEOT",$C148="N/A",$I148=""),"",IF(OR($AM148="Revise &amp; resubmit",$AT148="Awaiting Conclusion of EoT",$AR148="Not Applicable",$AY148=0,$AY148="TBA",$AZ148="N/A",AY148=0),0,IF(AND($AR148="Assessment Report Issued",$AT148&lt;&gt;""),$AZ148-$AY148,IF(AND($AR148="Pending",$AT148="Contractor"),"",IF(AND($AZ148="",$AY148&lt;&gt;""),TODAY()-$AY148,$AZ148-$AY148)))))</f>
        <v>166</v>
      </c>
      <c r="BO148" s="188" t="str">
        <f t="shared" si="61"/>
        <v/>
      </c>
      <c r="BP148" s="188" t="str">
        <f t="shared" si="6"/>
        <v/>
      </c>
      <c r="BQ148" s="188">
        <f t="shared" ref="BQ148:BQ194" ca="1" si="71">IF(AND($AR148="Pending",$BN148&gt;140),$BN148,"")</f>
        <v>166</v>
      </c>
      <c r="BR148" s="181" t="str">
        <f t="shared" ca="1" si="62"/>
        <v>1</v>
      </c>
      <c r="BT148" s="190" t="str">
        <f>IFERROR(IF(INDEX(Program_01!$BZ:$BZ,MATCH($B148,Program_01!$A:$A,0))=DATE(1900,1,0),"",INDEX(Program_01!$BZ:$BZ,MATCH($B148,Program_01!$A:$A,0))),"")</f>
        <v/>
      </c>
      <c r="BU148" s="182" t="str">
        <f t="shared" ca="1" si="48"/>
        <v/>
      </c>
      <c r="BV148" s="188" t="str">
        <f t="shared" si="63"/>
        <v/>
      </c>
      <c r="BW148" s="188" t="str">
        <f t="shared" si="8"/>
        <v/>
      </c>
      <c r="BX148" s="188" t="str">
        <f t="shared" ca="1" si="64"/>
        <v/>
      </c>
      <c r="BY148" s="181" t="str">
        <f t="shared" ca="1" si="65"/>
        <v/>
      </c>
      <c r="CA148" s="192" t="str">
        <f t="shared" si="49"/>
        <v>N</v>
      </c>
      <c r="CB148" s="192" t="str">
        <f t="shared" si="50"/>
        <v>N</v>
      </c>
      <c r="CC148" s="193">
        <f>IFERROR(INDEX(Program_01!$CE:$CE,MATCH($B148,Program_01!$A:$A,0)),"")</f>
        <v>46135</v>
      </c>
      <c r="CD148" s="193">
        <f t="shared" si="66"/>
        <v>46135</v>
      </c>
      <c r="CG148" s="194">
        <f>IFERROR(INDEX(Program_01!$AT:$AT,MATCH($B148,Program_01!$A:$A,0)),"")</f>
        <v>0</v>
      </c>
      <c r="CH148" s="194">
        <f>IFERROR(INDEX(Program_01!$AX:$AX,MATCH($B148,Program_01!$A:$A,0)),"")</f>
        <v>0</v>
      </c>
    </row>
    <row r="149" spans="1:86" s="187" customFormat="1" ht="317.5" customHeight="1">
      <c r="A149" s="174" t="s">
        <v>1</v>
      </c>
      <c r="B149" s="175">
        <f t="shared" si="42"/>
        <v>131</v>
      </c>
      <c r="C149" s="176" t="str">
        <f>IFERROR(INDEX(Program_01!$B:$B,MATCH($B149,Program_01!$A:$A,0)),"")</f>
        <v>FULL TIA EAR</v>
      </c>
      <c r="D149" s="176" t="str">
        <f>IFERROR(INDEX(Program_01!$D:$D,MATCH($B149,Program_01!$A:$A,0)),"")</f>
        <v>1TB01005C11</v>
      </c>
      <c r="E149" s="176" t="str">
        <f>IFERROR(INDEX(Program_01!$E:$E,MATCH($B149,Program_01!$A:$A,0)),"")</f>
        <v>1.TB.01.005.01</v>
      </c>
      <c r="F149" s="176" t="str">
        <f>IFERROR(INDEX(Program_01!$F:$F,MATCH($B149,Program_01!$A:$A,0)),"")</f>
        <v>Red Sea Marine Life Institute</v>
      </c>
      <c r="G149" s="176" t="str">
        <f>IFERROR(INDEX(Program_01!$G:$G,MATCH($B149,Program_01!$A:$A,0)),"")</f>
        <v>Fit Out Works for Red Sea Marine Life Institute</v>
      </c>
      <c r="H149" s="176" t="str">
        <f>IFERROR(INDEX(Program_01!$H:$H,MATCH($B149,Program_01!$A:$A,0)),"")</f>
        <v>Alec Saudi Engineering and Contracting Company</v>
      </c>
      <c r="I149" s="176" t="str">
        <f t="shared" si="67"/>
        <v>EOT</v>
      </c>
      <c r="J149" s="176">
        <f>IFERROR(INDEX(Program_01!$I:$I,MATCH($B149,Program_01!$A:$A,0)),"")</f>
        <v>1</v>
      </c>
      <c r="K149" s="176">
        <f>IFERROR(INDEX(Program_01!$J:$J,MATCH($B149,Program_01!$A:$A,0)),"")</f>
        <v>0</v>
      </c>
      <c r="L149" s="176">
        <f>IFERROR(INDEX(Program_01!$K:$K,MATCH($B149,Program_01!$A:$A,0)),"")</f>
        <v>0</v>
      </c>
      <c r="M149" s="176">
        <f>IFERROR(INDEX(Program_01!$L:$L,MATCH($B149,Program_01!$A:$A,0)),"")</f>
        <v>0</v>
      </c>
      <c r="N149" s="176">
        <f>IFERROR(INDEX(Program_01!$L:$L,MATCH($B149,Program_01!$A:$A,0)),"")</f>
        <v>0</v>
      </c>
      <c r="O149" s="176">
        <f>IFERROR(INDEX(Program_01!$N:$N,MATCH($B149,Program_01!$A:$A,0)),"")</f>
        <v>0</v>
      </c>
      <c r="P149" s="178"/>
      <c r="Q149" s="179" t="str">
        <f>IFERROR(INDEX(Program_01!$C:$C,MATCH($B149,Program_01!$A:$A,0)),"")</f>
        <v>Interim Extension of Time Submission – 04</v>
      </c>
      <c r="R149" s="176" t="str">
        <f>IFERROR(INDEX(Program_01!$V:$V,MATCH($B149,Program_01!$A:$A,0)),"")</f>
        <v>1TB01005-005C11-ALE-LTR-0306</v>
      </c>
      <c r="S149" s="180">
        <f>IFERROR(INDEX(Program_01!$W:$W,MATCH($B149,Program_01!$A:$A,0)),"")</f>
        <v>46149</v>
      </c>
      <c r="T149" s="178"/>
      <c r="U149" s="176" t="str">
        <f>IFERROR(INDEX(Program_01!$Z:$Z,MATCH($B149,Program_01!$A:$A,0)),"")</f>
        <v>1TB01005-005C11-AMA-LTR-0171</v>
      </c>
      <c r="V149" s="181">
        <f>IFERROR(INDEX(Program_01!$AA:$AA,MATCH($B149,Program_01!$A:$A,0)),"")</f>
        <v>46160</v>
      </c>
      <c r="W149" s="182">
        <f t="shared" ca="1" si="0"/>
        <v>11</v>
      </c>
      <c r="X149" s="51"/>
      <c r="Y149" s="179">
        <f>IFERROR(INDEX(Program_01!$BD:$BD,MATCH($B149,Program_01!$A:$A,0)),"")</f>
        <v>0</v>
      </c>
      <c r="Z149" s="51"/>
      <c r="AA149" s="183" t="str">
        <f>IFERROR(IF((INDEX(Program_01!$AD:$AD,MATCH($B149,Program_01!$A:$A,0))=""),INDEX(Program_01!$V:$V,MATCH($B149,Program_01!$A:$A,0)),INDEX(Program_01!$AD:$AD,MATCH($B149,Program_01!$A:$A,0))),"")</f>
        <v>ALE01005-GENCORR-000272</v>
      </c>
      <c r="AB149" s="147">
        <f>IFERROR(IF((INDEX(Program_01!$AE:$AE,MATCH($B149,Program_01!$A:$A,0))=""),INDEX(Program_01!$W:$W,MATCH($B149,Program_01!$A:$A,0)),INDEX(Program_01!$AE:$AE,MATCH($B149,Program_01!$A:$A,0))),"")</f>
        <v>46259</v>
      </c>
      <c r="AC149" s="183">
        <f>IFERROR(IF($I149="EOT",INDEX(Program_01!$AN:$AN,MATCH($B149,Program_01!$A:$A,0)),INDEX(Program_01!$AY:$AY,MATCH($B149,Program_01!$A:$A,0))),"")</f>
        <v>0</v>
      </c>
      <c r="AD149" s="181">
        <f>IFERROR(IF($I149="EOT",INDEX(Program_01!$AO:$AO,MATCH($B149,Program_01!$A:$A,0)),INDEX(Program_01!$AZ:$AZ,MATCH($B149,Program_01!$A:$A,0))),"")</f>
        <v>0</v>
      </c>
      <c r="AE149" s="51"/>
      <c r="AF149" s="183"/>
      <c r="AG149" s="181"/>
      <c r="AH149" s="183" t="str">
        <f>IF(OR($D149="",$AS149="VO Issued",$AS149="Open"),"",IF(OR($AC149="Rejected",$AC149="Superseded",$AC149="Dealt Separately"),$AC149,IF($I149="EOT",INDEX(Program_01!$AR:$AR,MATCH($B149,Program_01!$A:$A,0)),INDEX(Program_01!$BB:$BB,MATCH($B149,Program_01!$A:$A,0)))))</f>
        <v/>
      </c>
      <c r="AI149" s="181" t="str">
        <f>IF(OR($A149="",$B149="",$I149="",$AS149="VO Issued",$AS149="Open"),"",IF(OR($AD149="N/A"),$AD149,IF($I149="EOT",INDEX(Program_01!$AS:$AS,MATCH($B149,Program_01!$A:$A,0)),INDEX(Program_01!$BC:$BC,MATCH($B149,Program_01!$A:$A,0)))))</f>
        <v/>
      </c>
      <c r="AJ149" s="183" t="str">
        <f>IF(OR($D149="",$I149="",$AS149="Determination Issued",$AS149="Rejected",$AS149="Open"),"",IF(OR($AH149="Rejected",$AH149="Dealt Separately",$AH149="Superseded",$AH149="Withdrawn"),"N/A",IF($I149="EOT",INDEX(Program_01!AR:AR,MATCH($B149,Program_01!A:A,0)),INDEX(Program_01!BB:BB,MATCH($B149,Program_01!A:A,0)))))</f>
        <v/>
      </c>
      <c r="AK149" s="181" t="str">
        <f>IF(OR($A149="",$B149="",$I149="",$AS149="Determination Issued",$AS149="Rejected",$AS149="Open"),"",IF($AJ149="N/A","N/A",IF($I149="EOT",INDEX(Program_01!AS:AS,MATCH($B149,Program_01!A:A,0)),INDEX(Program_01!BC:BC,MATCH($B149,Program_01!A:A,0)))))</f>
        <v/>
      </c>
      <c r="AL149" s="51"/>
      <c r="AM149" s="184">
        <f>IFERROR(INDEX(Program_01!$BT:$BT,MATCH($B149,Program_01!$A:$A,0)),"")</f>
        <v>0</v>
      </c>
      <c r="AN149" s="184">
        <f>IFERROR(INDEX(Program_01!$BU:$BU,MATCH($B149,Program_01!$A:$A,0)),"")</f>
        <v>0</v>
      </c>
      <c r="AO149" s="184">
        <f>IFERROR(INDEX(Program_01!$BV:$BV,MATCH($B149,Program_01!$A:$A,0)),"")</f>
        <v>0</v>
      </c>
      <c r="AP149" s="51" t="str">
        <f t="shared" si="46"/>
        <v/>
      </c>
      <c r="AQ149" s="184">
        <f>IFERROR(INDEX(Program_01!$BN:$BN,MATCH($B149,Program_01!$A:$A,0)),"")</f>
        <v>0</v>
      </c>
      <c r="AR149" s="184" t="str">
        <f>IFERROR(INDEX(Program_01!$BO:$BO,MATCH($B149,Program_01!$A:$A,0)),"")</f>
        <v>Pending</v>
      </c>
      <c r="AS149" s="184" t="str">
        <f>IFERROR(INDEX(Program_01!$BP:$BP,MATCH($B149,Program_01!$A:$A,0)),"")</f>
        <v>Open</v>
      </c>
      <c r="AT149" s="185" t="str">
        <f>IFERROR(INDEX(Program_01!$BQ:$BQ,MATCH($B149,Program_01!$A:$A,0)),"")</f>
        <v>Commercial Team</v>
      </c>
      <c r="AU149" s="179" t="str">
        <f>IFERROR(INDEX(Program_01!$BR:$BR,MATCH($B149,Program_01!$A:$A,0)),"")</f>
        <v>10 May 26: Contractor submitted EOT-01 via 1TB01005-005C11-ALE-LTR-0306 on 07 May 26. currently under review with commercial. Planning confimred that the TIA methodology is in compliance, Commercial to proceed with EAR
15 May 26: Further particulars requested by commercial team to enable the EAR to be completed -  1TB01005-005C11-AMA-LTR-0171 - Letter to be issued by 18 May
31 May 26: Awaiting Contractor's response on requested particulars
04 Jun 26: Ditto
15 Jun 26: Ditto, awaiting contractor to resubmit
28 June 26: Ditto
13 July 26: Ditto, commercial to issue a follow up letter
24 Jul 26: Ditto, verbally Alec have confirmed this is being prepared and it will be submitted imminently.
27 Jul 26: Ditto
10 Aug 26: Ditto, Commercial to issue a follow up letter
21 Aug 26: Letter being prepared and will be issued to WF by 30 Aug.
07 Sept 26: Updated particulars issued on 25 Aug and under review (ALE01005-GENCORR-000272). Target date to issue EAR to Claims is 25 Sept. Potentially will be combined with EoT 5 submission if possible.
19 Sept 26: This will be a combined assessment with EoT 05 - Target date 02 Oct
04 Oct 26: Being finalised and will be issued to Claims by 07 Oct.</v>
      </c>
      <c r="AV149" s="186" t="str">
        <f t="shared" si="58"/>
        <v/>
      </c>
      <c r="AW149" s="186" t="str">
        <f t="shared" si="47"/>
        <v>OPEN</v>
      </c>
      <c r="AX149" s="186" t="str">
        <f t="shared" si="59"/>
        <v>OPEN</v>
      </c>
      <c r="AY149" s="181">
        <f t="shared" si="68"/>
        <v>46259</v>
      </c>
      <c r="AZ149" s="181" t="str">
        <f t="shared" si="60"/>
        <v/>
      </c>
      <c r="BA149" s="181" t="str">
        <f t="shared" si="4"/>
        <v/>
      </c>
      <c r="BC149" s="181">
        <f>IFERROR(INDEX(Program_01!BF:BF,MATCH($B149,Program_01!$A:$A,0)),"")</f>
        <v>46259</v>
      </c>
      <c r="BD149" s="188">
        <f ca="1">IFERROR(INDEX(Program_01!BG:BG,MATCH($B149,Program_01!$A:$A,0)),"")</f>
        <v>41</v>
      </c>
      <c r="BE149" s="181">
        <f>IFERROR(INDEX(Program_01!BH:BH,MATCH($B149,Program_01!$A:$A,0)),"")</f>
        <v>0</v>
      </c>
      <c r="BF149" s="189">
        <f ca="1">IFERROR(INDEX(Program_01!BI:BI,MATCH($B149,Program_01!$A:$A,0)),"")</f>
        <v>0</v>
      </c>
      <c r="BG149" s="181">
        <f>IFERROR(INDEX(Program_01!BJ:BJ,MATCH($B149,Program_01!$A:$A,0)),"")</f>
        <v>0</v>
      </c>
      <c r="BH149" s="189">
        <f ca="1">IFERROR(INDEX(Program_01!BK:BK,MATCH($B149,Program_01!$A:$A,0)),"")</f>
        <v>0</v>
      </c>
      <c r="BI149" s="181">
        <f>IFERROR(INDEX(Program_01!BL:BL,MATCH($B149,Program_01!$A:$A,0)),"")</f>
        <v>0</v>
      </c>
      <c r="BK149" s="190" t="str">
        <f>IFERROR(IF(INDEX(Program_01!$BX:$BX,MATCH($B149,Program_01!$A:$A,0))=DATE(1900,1,0),"",INDEX(Program_01!$BX:$BX,MATCH($B149,Program_01!$A:$A,0))),"")</f>
        <v/>
      </c>
      <c r="BL149" s="190" t="str">
        <f>IFERROR(IF(INDEX(Program_01!$BY:$BY,MATCH($B149,Program_01!$A:$A,0))=DATE(1900,1,0),"",INDEX(Program_01!$BY:$BY,MATCH($B149,Program_01!$A:$A,0))),"")</f>
        <v/>
      </c>
      <c r="BM149" s="188" t="str">
        <f t="shared" ca="1" si="69"/>
        <v/>
      </c>
      <c r="BN149" s="191">
        <f t="shared" ca="1" si="70"/>
        <v>41</v>
      </c>
      <c r="BO149" s="188" t="str">
        <f t="shared" si="61"/>
        <v/>
      </c>
      <c r="BP149" s="188" t="str">
        <f t="shared" si="6"/>
        <v/>
      </c>
      <c r="BQ149" s="188" t="str">
        <f t="shared" ca="1" si="71"/>
        <v/>
      </c>
      <c r="BR149" s="181" t="str">
        <f t="shared" ca="1" si="62"/>
        <v/>
      </c>
      <c r="BT149" s="190" t="str">
        <f>IFERROR(IF(INDEX(Program_01!$BZ:$BZ,MATCH($B149,Program_01!$A:$A,0))=DATE(1900,1,0),"",INDEX(Program_01!$BZ:$BZ,MATCH($B149,Program_01!$A:$A,0))),"")</f>
        <v/>
      </c>
      <c r="BU149" s="182" t="str">
        <f t="shared" ca="1" si="48"/>
        <v/>
      </c>
      <c r="BV149" s="188" t="str">
        <f t="shared" si="63"/>
        <v/>
      </c>
      <c r="BW149" s="188" t="str">
        <f t="shared" si="8"/>
        <v/>
      </c>
      <c r="BX149" s="188" t="str">
        <f t="shared" ca="1" si="64"/>
        <v/>
      </c>
      <c r="BY149" s="181" t="str">
        <f t="shared" ca="1" si="65"/>
        <v/>
      </c>
      <c r="CA149" s="192" t="str">
        <f t="shared" si="49"/>
        <v>N</v>
      </c>
      <c r="CB149" s="192" t="str">
        <f t="shared" si="50"/>
        <v>N</v>
      </c>
      <c r="CC149" s="193">
        <f>IFERROR(INDEX(Program_01!$CE:$CE,MATCH($B149,Program_01!$A:$A,0)),"")</f>
        <v>46152</v>
      </c>
      <c r="CD149" s="193">
        <f t="shared" si="66"/>
        <v>46152</v>
      </c>
      <c r="CG149" s="194">
        <f>IFERROR(INDEX(Program_01!$AT:$AT,MATCH($B149,Program_01!$A:$A,0)),"")</f>
        <v>0</v>
      </c>
      <c r="CH149" s="194">
        <f>IFERROR(INDEX(Program_01!$AX:$AX,MATCH($B149,Program_01!$A:$A,0)),"")</f>
        <v>0</v>
      </c>
    </row>
    <row r="150" spans="1:86" s="187" customFormat="1" ht="102">
      <c r="A150" s="174" t="s">
        <v>1</v>
      </c>
      <c r="B150" s="175">
        <f t="shared" si="42"/>
        <v>132</v>
      </c>
      <c r="C150" s="176" t="str">
        <f>IFERROR(INDEX(Program_01!$B:$B,MATCH($B150,Program_01!$A:$A,0)),"")</f>
        <v>FULL TIA EAR</v>
      </c>
      <c r="D150" s="176" t="str">
        <f>IFERROR(INDEX(Program_01!$D:$D,MATCH($B150,Program_01!$A:$A,0)),"")</f>
        <v>1TB01100B01</v>
      </c>
      <c r="E150" s="176" t="str">
        <f>IFERROR(INDEX(Program_01!$E:$E,MATCH($B150,Program_01!$A:$A,0)),"")</f>
        <v>1.TB.01.100.00</v>
      </c>
      <c r="F150" s="176" t="str">
        <f>IFERROR(INDEX(Program_01!$F:$F,MATCH($B150,Program_01!$A:$A,0)),"")</f>
        <v>Marina Village - Wide</v>
      </c>
      <c r="G150" s="176" t="str">
        <f>IFERROR(INDEX(Program_01!$G:$G,MATCH($B150,Program_01!$A:$A,0)),"")</f>
        <v>Design and Construction of Pop-Ins Retail Development Works</v>
      </c>
      <c r="H150" s="176" t="str">
        <f>IFERROR(INDEX(Program_01!$H:$H,MATCH($B150,Program_01!$A:$A,0)),"")</f>
        <v>ID Work Limited Co</v>
      </c>
      <c r="I150" s="176" t="str">
        <f t="shared" si="67"/>
        <v>EOT</v>
      </c>
      <c r="J150" s="176">
        <f>IFERROR(INDEX(Program_01!$I:$I,MATCH($B150,Program_01!$A:$A,0)),"")</f>
        <v>1</v>
      </c>
      <c r="K150" s="176">
        <f>IFERROR(INDEX(Program_01!$J:$J,MATCH($B150,Program_01!$A:$A,0)),"")</f>
        <v>0</v>
      </c>
      <c r="L150" s="176">
        <f>IFERROR(INDEX(Program_01!$K:$K,MATCH($B150,Program_01!$A:$A,0)),"")</f>
        <v>0</v>
      </c>
      <c r="M150" s="176">
        <f>IFERROR(INDEX(Program_01!$L:$L,MATCH($B150,Program_01!$A:$A,0)),"")</f>
        <v>0</v>
      </c>
      <c r="N150" s="176">
        <f>IFERROR(INDEX(Program_01!$L:$L,MATCH($B150,Program_01!$A:$A,0)),"")</f>
        <v>0</v>
      </c>
      <c r="O150" s="176">
        <f>IFERROR(INDEX(Program_01!$N:$N,MATCH($B150,Program_01!$A:$A,0)),"")</f>
        <v>0</v>
      </c>
      <c r="P150" s="178"/>
      <c r="Q150" s="179" t="str">
        <f>IFERROR(INDEX(Program_01!$C:$C,MATCH($B150,Program_01!$A:$A,0)),"")</f>
        <v>100B01 - IDK - Submission of Extension of Time (EOT) Claim - 01</v>
      </c>
      <c r="R150" s="176" t="str">
        <f>IFERROR(INDEX(Program_01!$V:$V,MATCH($B150,Program_01!$A:$A,0)),"")</f>
        <v>IDK00MRA-TRANSMIT-000050
ATB00MRA-100B01-IDK-LTR-0018</v>
      </c>
      <c r="S150" s="180">
        <f>IFERROR(INDEX(Program_01!$W:$W,MATCH($B150,Program_01!$A:$A,0)),"")</f>
        <v>46086</v>
      </c>
      <c r="T150" s="178"/>
      <c r="U150" s="176">
        <f>IFERROR(INDEX(Program_01!$Z:$Z,MATCH($B150,Program_01!$A:$A,0)),"")</f>
        <v>0</v>
      </c>
      <c r="V150" s="181">
        <f>IFERROR(INDEX(Program_01!$AA:$AA,MATCH($B150,Program_01!$A:$A,0)),"")</f>
        <v>0</v>
      </c>
      <c r="W150" s="182">
        <f t="shared" ca="1" si="0"/>
        <v>214</v>
      </c>
      <c r="X150" s="51"/>
      <c r="Y150" s="179">
        <f>IFERROR(INDEX(Program_01!$BD:$BD,MATCH($B150,Program_01!$A:$A,0)),"")</f>
        <v>0</v>
      </c>
      <c r="Z150" s="51"/>
      <c r="AA150" s="183" t="str">
        <f>IFERROR(IF((INDEX(Program_01!$AD:$AD,MATCH($B150,Program_01!$A:$A,0))=""),INDEX(Program_01!$V:$V,MATCH($B150,Program_01!$A:$A,0)),INDEX(Program_01!$AD:$AD,MATCH($B150,Program_01!$A:$A,0))),"")</f>
        <v>IDK00MRA-TRANSMIT-000050
ATB00MRA-100B01-IDK-LTR-0018</v>
      </c>
      <c r="AB150" s="147">
        <f>IFERROR(IF((INDEX(Program_01!$AE:$AE,MATCH($B150,Program_01!$A:$A,0))=""),INDEX(Program_01!$W:$W,MATCH($B150,Program_01!$A:$A,0)),INDEX(Program_01!$AE:$AE,MATCH($B150,Program_01!$A:$A,0))),"")</f>
        <v>46086</v>
      </c>
      <c r="AC150" s="183">
        <f>IFERROR(IF($I150="EOT",INDEX(Program_01!$AN:$AN,MATCH($B150,Program_01!$A:$A,0)),INDEX(Program_01!$AY:$AY,MATCH($B150,Program_01!$A:$A,0))),"")</f>
        <v>0</v>
      </c>
      <c r="AD150" s="181">
        <f>IFERROR(IF($I150="EOT",INDEX(Program_01!$AO:$AO,MATCH($B150,Program_01!$A:$A,0)),INDEX(Program_01!$AZ:$AZ,MATCH($B150,Program_01!$A:$A,0))),"")</f>
        <v>0</v>
      </c>
      <c r="AE150" s="51"/>
      <c r="AF150" s="183"/>
      <c r="AG150" s="181"/>
      <c r="AH150" s="183" t="str">
        <f>IF(OR($D150="",$AS150="VO Issued",$AS150="Open"),"",IF(OR($AC150="Rejected",$AC150="Superseded",$AC150="Dealt Separately"),$AC150,IF($I150="EOT",INDEX(Program_01!$AR:$AR,MATCH($B150,Program_01!$A:$A,0)),INDEX(Program_01!$BB:$BB,MATCH($B150,Program_01!$A:$A,0)))))</f>
        <v/>
      </c>
      <c r="AI150" s="181" t="str">
        <f>IF(OR($A150="",$B150="",$I150="",$AS150="VO Issued",$AS150="Open"),"",IF(OR($AD150="N/A"),$AD150,IF($I150="EOT",INDEX(Program_01!$AS:$AS,MATCH($B150,Program_01!$A:$A,0)),INDEX(Program_01!$BC:$BC,MATCH($B150,Program_01!$A:$A,0)))))</f>
        <v/>
      </c>
      <c r="AJ150" s="183" t="str">
        <f>IF(OR($D150="",$I150="",$AS150="Determination Issued",$AS150="Rejected",$AS150="Open"),"",IF(OR($AH150="Rejected",$AH150="Dealt Separately",$AH150="Superseded",$AH150="Withdrawn"),"N/A",IF($I150="EOT",INDEX(Program_01!AR:AR,MATCH($B150,Program_01!A:A,0)),INDEX(Program_01!BB:BB,MATCH($B150,Program_01!A:A,0)))))</f>
        <v/>
      </c>
      <c r="AK150" s="181" t="str">
        <f>IF(OR($A150="",$B150="",$I150="",$AS150="Determination Issued",$AS150="Rejected",$AS150="Open"),"",IF($AJ150="N/A","N/A",IF($I150="EOT",INDEX(Program_01!AS:AS,MATCH($B150,Program_01!A:A,0)),INDEX(Program_01!BC:BC,MATCH($B150,Program_01!A:A,0)))))</f>
        <v/>
      </c>
      <c r="AL150" s="51"/>
      <c r="AM150" s="184" t="str">
        <f>IFERROR(INDEX(Program_01!$BT:$BT,MATCH($B150,Program_01!$A:$A,0)),"")</f>
        <v>Revise &amp; resubmit</v>
      </c>
      <c r="AN150" s="184">
        <f>IFERROR(INDEX(Program_01!$BU:$BU,MATCH($B150,Program_01!$A:$A,0)),"")</f>
        <v>0</v>
      </c>
      <c r="AO150" s="184">
        <f>IFERROR(INDEX(Program_01!$BV:$BV,MATCH($B150,Program_01!$A:$A,0)),"")</f>
        <v>0</v>
      </c>
      <c r="AP150" s="51" t="str">
        <f t="shared" si="46"/>
        <v/>
      </c>
      <c r="AQ150" s="184">
        <f>IFERROR(INDEX(Program_01!$BN:$BN,MATCH($B150,Program_01!$A:$A,0)),"")</f>
        <v>0</v>
      </c>
      <c r="AR150" s="184" t="str">
        <f>IFERROR(INDEX(Program_01!$BO:$BO,MATCH($B150,Program_01!$A:$A,0)),"")</f>
        <v>Pending</v>
      </c>
      <c r="AS150" s="184" t="str">
        <f>IFERROR(INDEX(Program_01!$BP:$BP,MATCH($B150,Program_01!$A:$A,0)),"")</f>
        <v>Open</v>
      </c>
      <c r="AT150" s="185" t="str">
        <f>IFERROR(INDEX(Program_01!$BQ:$BQ,MATCH($B150,Program_01!$A:$A,0)),"")</f>
        <v>Contractor</v>
      </c>
      <c r="AU150" s="179" t="str">
        <f>IFERROR(INDEX(Program_01!$BR:$BR,MATCH($B150,Program_01!$A:$A,0)),"")</f>
        <v>10 May 26: Contractor submitted EOT-01 via ATB00MRA-100B01-IDK-LTR-0018 on 05 Mar 26. currently under review with commercial. Commercial to aknowledge th submission and draft a detailed initial response in due coruse
04 Jun 26: No Update
15 Jun 26: 
13 Jul 26: 
24 Aug 26: With Van Harrera (NE to check)</v>
      </c>
      <c r="AV150" s="186" t="str">
        <f t="shared" si="58"/>
        <v/>
      </c>
      <c r="AW150" s="186" t="str">
        <f t="shared" si="47"/>
        <v>OPEN</v>
      </c>
      <c r="AX150" s="186" t="str">
        <f t="shared" si="59"/>
        <v>OPEN</v>
      </c>
      <c r="AY150" s="181">
        <f t="shared" si="68"/>
        <v>46086</v>
      </c>
      <c r="AZ150" s="181" t="str">
        <f t="shared" si="60"/>
        <v/>
      </c>
      <c r="BA150" s="181" t="str">
        <f t="shared" si="4"/>
        <v/>
      </c>
      <c r="BC150" s="181">
        <f>IFERROR(INDEX(Program_01!BF:BF,MATCH($B150,Program_01!$A:$A,0)),"")</f>
        <v>46086</v>
      </c>
      <c r="BD150" s="188">
        <f ca="1">IFERROR(INDEX(Program_01!BG:BG,MATCH($B150,Program_01!$A:$A,0)),"")</f>
        <v>0</v>
      </c>
      <c r="BE150" s="181">
        <f>IFERROR(INDEX(Program_01!BH:BH,MATCH($B150,Program_01!$A:$A,0)),"")</f>
        <v>0</v>
      </c>
      <c r="BF150" s="189">
        <f ca="1">IFERROR(INDEX(Program_01!BI:BI,MATCH($B150,Program_01!$A:$A,0)),"")</f>
        <v>0</v>
      </c>
      <c r="BG150" s="181">
        <f>IFERROR(INDEX(Program_01!BJ:BJ,MATCH($B150,Program_01!$A:$A,0)),"")</f>
        <v>0</v>
      </c>
      <c r="BH150" s="189">
        <f ca="1">IFERROR(INDEX(Program_01!BK:BK,MATCH($B150,Program_01!$A:$A,0)),"")</f>
        <v>0</v>
      </c>
      <c r="BI150" s="181">
        <f>IFERROR(INDEX(Program_01!BL:BL,MATCH($B150,Program_01!$A:$A,0)),"")</f>
        <v>0</v>
      </c>
      <c r="BK150" s="190" t="str">
        <f>IFERROR(IF(INDEX(Program_01!$BX:$BX,MATCH($B150,Program_01!$A:$A,0))=DATE(1900,1,0),"",INDEX(Program_01!$BX:$BX,MATCH($B150,Program_01!$A:$A,0))),"")</f>
        <v/>
      </c>
      <c r="BL150" s="190" t="str">
        <f>IFERROR(IF(INDEX(Program_01!$BY:$BY,MATCH($B150,Program_01!$A:$A,0))=DATE(1900,1,0),"",INDEX(Program_01!$BY:$BY,MATCH($B150,Program_01!$A:$A,0))),"")</f>
        <v/>
      </c>
      <c r="BM150" s="188" t="str">
        <f t="shared" ca="1" si="69"/>
        <v/>
      </c>
      <c r="BN150" s="191">
        <f t="shared" ca="1" si="70"/>
        <v>0</v>
      </c>
      <c r="BO150" s="188" t="str">
        <f t="shared" si="61"/>
        <v/>
      </c>
      <c r="BP150" s="188" t="str">
        <f t="shared" si="6"/>
        <v/>
      </c>
      <c r="BQ150" s="188" t="str">
        <f t="shared" ca="1" si="71"/>
        <v/>
      </c>
      <c r="BR150" s="181" t="str">
        <f t="shared" ca="1" si="62"/>
        <v/>
      </c>
      <c r="BT150" s="190" t="str">
        <f>IFERROR(IF(INDEX(Program_01!$BZ:$BZ,MATCH($B150,Program_01!$A:$A,0))=DATE(1900,1,0),"",INDEX(Program_01!$BZ:$BZ,MATCH($B150,Program_01!$A:$A,0))),"")</f>
        <v/>
      </c>
      <c r="BU150" s="182" t="str">
        <f t="shared" ca="1" si="48"/>
        <v/>
      </c>
      <c r="BV150" s="188" t="str">
        <f t="shared" si="63"/>
        <v/>
      </c>
      <c r="BW150" s="188" t="str">
        <f t="shared" si="8"/>
        <v/>
      </c>
      <c r="BX150" s="188" t="str">
        <f t="shared" ca="1" si="64"/>
        <v/>
      </c>
      <c r="BY150" s="181" t="str">
        <f t="shared" ca="1" si="65"/>
        <v/>
      </c>
      <c r="CA150" s="192" t="str">
        <f t="shared" si="49"/>
        <v>N</v>
      </c>
      <c r="CB150" s="192" t="str">
        <f t="shared" si="50"/>
        <v>N</v>
      </c>
      <c r="CC150" s="193">
        <f>IFERROR(INDEX(Program_01!$CE:$CE,MATCH($B150,Program_01!$A:$A,0)),"")</f>
        <v>46153</v>
      </c>
      <c r="CD150" s="193">
        <f t="shared" si="66"/>
        <v>46153</v>
      </c>
      <c r="CG150" s="194">
        <f>IFERROR(INDEX(Program_01!$AT:$AT,MATCH($B150,Program_01!$A:$A,0)),"")</f>
        <v>0</v>
      </c>
      <c r="CH150" s="194">
        <f>IFERROR(INDEX(Program_01!$AX:$AX,MATCH($B150,Program_01!$A:$A,0)),"")</f>
        <v>0</v>
      </c>
    </row>
    <row r="151" spans="1:86" s="187" customFormat="1" ht="306">
      <c r="A151" s="174" t="s">
        <v>1</v>
      </c>
      <c r="B151" s="175">
        <f t="shared" si="42"/>
        <v>133</v>
      </c>
      <c r="C151" s="176" t="str">
        <f>IFERROR(INDEX(Program_01!$B:$B,MATCH($B151,Program_01!$A:$A,0)),"")</f>
        <v>FULL TIA EAR</v>
      </c>
      <c r="D151" s="176" t="str">
        <f>IFERROR(INDEX(Program_01!$D:$D,MATCH($B151,Program_01!$A:$A,0)),"")</f>
        <v>1TB01031C10</v>
      </c>
      <c r="E151" s="176" t="str">
        <f>IFERROR(INDEX(Program_01!$E:$E,MATCH($B151,Program_01!$A:$A,0)),"")</f>
        <v>1.TB.01.031.10</v>
      </c>
      <c r="F151" s="176" t="str">
        <f>IFERROR(INDEX(Program_01!$F:$F,MATCH($B151,Program_01!$A:$A,0)),"")</f>
        <v>The Marina</v>
      </c>
      <c r="G151" s="176" t="str">
        <f>IFERROR(INDEX(Program_01!$G:$G,MATCH($B151,Program_01!$A:$A,0)),"")</f>
        <v>Design, Engineering, Procurement and Construction of Floating Pontoons for a The Marina at AMAALA Triple Bay</v>
      </c>
      <c r="H151" s="176" t="str">
        <f>IFERROR(INDEX(Program_01!$H:$H,MATCH($B151,Program_01!$A:$A,0)),"")</f>
        <v xml:space="preserve">MME Marine Engineering LLC </v>
      </c>
      <c r="I151" s="176" t="str">
        <f t="shared" si="67"/>
        <v>EOT</v>
      </c>
      <c r="J151" s="176">
        <f>IFERROR(INDEX(Program_01!$I:$I,MATCH($B151,Program_01!$A:$A,0)),"")</f>
        <v>1</v>
      </c>
      <c r="K151" s="176">
        <f>IFERROR(INDEX(Program_01!$J:$J,MATCH($B151,Program_01!$A:$A,0)),"")</f>
        <v>0</v>
      </c>
      <c r="L151" s="176">
        <f>IFERROR(INDEX(Program_01!$K:$K,MATCH($B151,Program_01!$A:$A,0)),"")</f>
        <v>0</v>
      </c>
      <c r="M151" s="176">
        <f>IFERROR(INDEX(Program_01!$L:$L,MATCH($B151,Program_01!$A:$A,0)),"")</f>
        <v>0</v>
      </c>
      <c r="N151" s="176">
        <f>IFERROR(INDEX(Program_01!$L:$L,MATCH($B151,Program_01!$A:$A,0)),"")</f>
        <v>0</v>
      </c>
      <c r="O151" s="176">
        <f>IFERROR(INDEX(Program_01!$N:$N,MATCH($B151,Program_01!$A:$A,0)),"")</f>
        <v>0</v>
      </c>
      <c r="P151" s="178"/>
      <c r="Q151" s="179" t="str">
        <f>IFERROR(INDEX(Program_01!$C:$C,MATCH($B151,Program_01!$A:$A,0)),"")</f>
        <v>EOT-03 TB Marina Project - Request for Extension of Time</v>
      </c>
      <c r="R151" s="176" t="str">
        <f>IFERROR(INDEX(Program_01!$V:$V,MATCH($B151,Program_01!$A:$A,0)),"")</f>
        <v>1TB01031-031C10-MME-LTR-0061</v>
      </c>
      <c r="S151" s="180">
        <f>IFERROR(INDEX(Program_01!$W:$W,MATCH($B151,Program_01!$A:$A,0)),"")</f>
        <v>46153</v>
      </c>
      <c r="T151" s="178"/>
      <c r="U151" s="176">
        <f>IFERROR(INDEX(Program_01!$Z:$Z,MATCH($B151,Program_01!$A:$A,0)),"")</f>
        <v>0</v>
      </c>
      <c r="V151" s="181">
        <f>IFERROR(INDEX(Program_01!$AA:$AA,MATCH($B151,Program_01!$A:$A,0)),"")</f>
        <v>0</v>
      </c>
      <c r="W151" s="182">
        <f t="shared" ca="1" si="0"/>
        <v>147</v>
      </c>
      <c r="X151" s="51"/>
      <c r="Y151" s="179">
        <f>IFERROR(INDEX(Program_01!$BD:$BD,MATCH($B151,Program_01!$A:$A,0)),"")</f>
        <v>0</v>
      </c>
      <c r="Z151" s="51"/>
      <c r="AA151" s="183" t="str">
        <f>IFERROR(IF((INDEX(Program_01!$AD:$AD,MATCH($B151,Program_01!$A:$A,0))=""),INDEX(Program_01!$V:$V,MATCH($B151,Program_01!$A:$A,0)),INDEX(Program_01!$AD:$AD,MATCH($B151,Program_01!$A:$A,0))),"")</f>
        <v>1TB01031-031C10-MME-LTR-0061</v>
      </c>
      <c r="AB151" s="147">
        <f>IFERROR(IF((INDEX(Program_01!$AE:$AE,MATCH($B151,Program_01!$A:$A,0))=""),INDEX(Program_01!$W:$W,MATCH($B151,Program_01!$A:$A,0)),INDEX(Program_01!$AE:$AE,MATCH($B151,Program_01!$A:$A,0))),"")</f>
        <v>46153</v>
      </c>
      <c r="AC151" s="183">
        <f>IFERROR(IF($I151="EOT",INDEX(Program_01!$AN:$AN,MATCH($B151,Program_01!$A:$A,0)),INDEX(Program_01!$AY:$AY,MATCH($B151,Program_01!$A:$A,0))),"")</f>
        <v>0</v>
      </c>
      <c r="AD151" s="181">
        <f>IFERROR(IF($I151="EOT",INDEX(Program_01!$AO:$AO,MATCH($B151,Program_01!$A:$A,0)),INDEX(Program_01!$AZ:$AZ,MATCH($B151,Program_01!$A:$A,0))),"")</f>
        <v>0</v>
      </c>
      <c r="AE151" s="51"/>
      <c r="AF151" s="183"/>
      <c r="AG151" s="181"/>
      <c r="AH151" s="183" t="str">
        <f>IF(OR($D151="",$AS151="VO Issued",$AS151="Open"),"",IF(OR($AC151="Rejected",$AC151="Superseded",$AC151="Dealt Separately"),$AC151,IF($I151="EOT",INDEX(Program_01!$AR:$AR,MATCH($B151,Program_01!$A:$A,0)),INDEX(Program_01!$BB:$BB,MATCH($B151,Program_01!$A:$A,0)))))</f>
        <v/>
      </c>
      <c r="AI151" s="181" t="str">
        <f>IF(OR($A151="",$B151="",$I151="",$AS151="VO Issued",$AS151="Open"),"",IF(OR($AD151="N/A"),$AD151,IF($I151="EOT",INDEX(Program_01!$AS:$AS,MATCH($B151,Program_01!$A:$A,0)),INDEX(Program_01!$BC:$BC,MATCH($B151,Program_01!$A:$A,0)))))</f>
        <v/>
      </c>
      <c r="AJ151" s="183" t="str">
        <f>IF(OR($D151="",$I151="",$AS151="Determination Issued",$AS151="Rejected",$AS151="Open"),"",IF(OR($AH151="Rejected",$AH151="Dealt Separately",$AH151="Superseded",$AH151="Withdrawn"),"N/A",IF($I151="EOT",INDEX(Program_01!AR:AR,MATCH($B151,Program_01!A:A,0)),INDEX(Program_01!BB:BB,MATCH($B151,Program_01!A:A,0)))))</f>
        <v/>
      </c>
      <c r="AK151" s="181" t="str">
        <f>IF(OR($A151="",$B151="",$I151="",$AS151="Determination Issued",$AS151="Rejected",$AS151="Open"),"",IF($AJ151="N/A","N/A",IF($I151="EOT",INDEX(Program_01!AS:AS,MATCH($B151,Program_01!A:A,0)),INDEX(Program_01!BC:BC,MATCH($B151,Program_01!A:A,0)))))</f>
        <v/>
      </c>
      <c r="AL151" s="51"/>
      <c r="AM151" s="184">
        <f>IFERROR(INDEX(Program_01!$BT:$BT,MATCH($B151,Program_01!$A:$A,0)),"")</f>
        <v>0</v>
      </c>
      <c r="AN151" s="184">
        <f>IFERROR(INDEX(Program_01!$BU:$BU,MATCH($B151,Program_01!$A:$A,0)),"")</f>
        <v>0</v>
      </c>
      <c r="AO151" s="184">
        <f>IFERROR(INDEX(Program_01!$BV:$BV,MATCH($B151,Program_01!$A:$A,0)),"")</f>
        <v>0</v>
      </c>
      <c r="AP151" s="51" t="str">
        <f t="shared" si="46"/>
        <v/>
      </c>
      <c r="AQ151" s="184">
        <f>IFERROR(INDEX(Program_01!$BN:$BN,MATCH($B151,Program_01!$A:$A,0)),"")</f>
        <v>0</v>
      </c>
      <c r="AR151" s="184" t="str">
        <f>IFERROR(INDEX(Program_01!$BO:$BO,MATCH($B151,Program_01!$A:$A,0)),"")</f>
        <v>Pending</v>
      </c>
      <c r="AS151" s="184" t="str">
        <f>IFERROR(INDEX(Program_01!$BP:$BP,MATCH($B151,Program_01!$A:$A,0)),"")</f>
        <v>Open</v>
      </c>
      <c r="AT151" s="185" t="str">
        <f>IFERROR(INDEX(Program_01!$BQ:$BQ,MATCH($B151,Program_01!$A:$A,0)),"")</f>
        <v>Commercial Team</v>
      </c>
      <c r="AU151" s="179" t="str">
        <f>IFERROR(INDEX(Program_01!$BR:$BR,MATCH($B151,Program_01!$A:$A,0)),"")</f>
        <v xml:space="preserve">16 May 26: EOT-03 claim received via 1TB01031-031C10-MME-LTR-0061 on 11th May 2026 from MME
31 May 2026: Claim is being reviwed and by Site comercial team
04 Jun 26: Target by 15 Jul 26
15 Jun 26: Ditto, under process with commercial, targeted to submit EAR to claims team by 30 Jun 26
28 June 26: Target moved to 14 July 26
13 July 26: Target date moved due to resources and expected to be completed by 27 July 2026
26 July 26: Discussion with MME team is ongoing regarding chronology, Target to be moved to 15 Aug 2026
10 Aug 26: Still with Commercial Team, This EOT-03 is claim of 280days with 13Nrs of Delay Events, many teams meeting held with MME, missing information is requested, considering 13Nrs of DE and 100s of chrnology to varify, target date is moved to 15 Sept 2026 - to be discussed after the meeting (NE)
24 Aug 26: Commercial to advise.
27 Aug 26: Draft EAR sent to site planning team for initial review
07 Sept 26: Ditto
14 Sep 26: comm to update
16 Sep 26: Commercial to review &amp; identify any input from planning's side
19 Sep 26: Draft EAR with review of the Chrnology is issued to Planning and Claims team to start TIA, delay analysis. 
28 Sep 26: Commercial to update and submit teh Draft EAR to claims team prior to Planning FULL TIA
29 Sep 26: Claims team to review the draft EAR
05 Oct 26: New template is issued by Claims team to update the previously issued DRAFT EAR, this will be responsed today.
</v>
      </c>
      <c r="AV151" s="186" t="str">
        <f t="shared" si="58"/>
        <v/>
      </c>
      <c r="AW151" s="186" t="str">
        <f t="shared" si="47"/>
        <v>OPEN</v>
      </c>
      <c r="AX151" s="186" t="str">
        <f t="shared" si="59"/>
        <v>OPEN</v>
      </c>
      <c r="AY151" s="181">
        <f t="shared" si="68"/>
        <v>46153</v>
      </c>
      <c r="AZ151" s="181" t="str">
        <f t="shared" si="60"/>
        <v/>
      </c>
      <c r="BA151" s="181" t="str">
        <f t="shared" si="4"/>
        <v/>
      </c>
      <c r="BC151" s="181">
        <f>IFERROR(INDEX(Program_01!BF:BF,MATCH($B151,Program_01!$A:$A,0)),"")</f>
        <v>46153</v>
      </c>
      <c r="BD151" s="188">
        <f ca="1">IFERROR(INDEX(Program_01!BG:BG,MATCH($B151,Program_01!$A:$A,0)),"")</f>
        <v>147</v>
      </c>
      <c r="BE151" s="181">
        <f>IFERROR(INDEX(Program_01!BH:BH,MATCH($B151,Program_01!$A:$A,0)),"")</f>
        <v>0</v>
      </c>
      <c r="BF151" s="189">
        <f ca="1">IFERROR(INDEX(Program_01!BI:BI,MATCH($B151,Program_01!$A:$A,0)),"")</f>
        <v>0</v>
      </c>
      <c r="BG151" s="181">
        <f>IFERROR(INDEX(Program_01!BJ:BJ,MATCH($B151,Program_01!$A:$A,0)),"")</f>
        <v>0</v>
      </c>
      <c r="BH151" s="189">
        <f ca="1">IFERROR(INDEX(Program_01!BK:BK,MATCH($B151,Program_01!$A:$A,0)),"")</f>
        <v>0</v>
      </c>
      <c r="BI151" s="181">
        <f>IFERROR(INDEX(Program_01!BL:BL,MATCH($B151,Program_01!$A:$A,0)),"")</f>
        <v>0</v>
      </c>
      <c r="BK151" s="190" t="str">
        <f>IFERROR(IF(INDEX(Program_01!$BX:$BX,MATCH($B151,Program_01!$A:$A,0))=DATE(1900,1,0),"",INDEX(Program_01!$BX:$BX,MATCH($B151,Program_01!$A:$A,0))),"")</f>
        <v/>
      </c>
      <c r="BL151" s="190" t="str">
        <f>IFERROR(IF(INDEX(Program_01!$BY:$BY,MATCH($B151,Program_01!$A:$A,0))=DATE(1900,1,0),"",INDEX(Program_01!$BY:$BY,MATCH($B151,Program_01!$A:$A,0))),"")</f>
        <v/>
      </c>
      <c r="BM151" s="188" t="str">
        <f t="shared" ca="1" si="69"/>
        <v/>
      </c>
      <c r="BN151" s="191">
        <f t="shared" ca="1" si="70"/>
        <v>147</v>
      </c>
      <c r="BO151" s="188" t="str">
        <f t="shared" si="61"/>
        <v/>
      </c>
      <c r="BP151" s="188" t="str">
        <f t="shared" si="6"/>
        <v/>
      </c>
      <c r="BQ151" s="188">
        <f t="shared" ca="1" si="71"/>
        <v>147</v>
      </c>
      <c r="BR151" s="181" t="str">
        <f t="shared" ca="1" si="62"/>
        <v>1</v>
      </c>
      <c r="BT151" s="190" t="str">
        <f>IFERROR(IF(INDEX(Program_01!$BZ:$BZ,MATCH($B151,Program_01!$A:$A,0))=DATE(1900,1,0),"",INDEX(Program_01!$BZ:$BZ,MATCH($B151,Program_01!$A:$A,0))),"")</f>
        <v/>
      </c>
      <c r="BU151" s="182" t="str">
        <f t="shared" ca="1" si="48"/>
        <v/>
      </c>
      <c r="BV151" s="188" t="str">
        <f t="shared" si="63"/>
        <v/>
      </c>
      <c r="BW151" s="188" t="str">
        <f t="shared" si="8"/>
        <v/>
      </c>
      <c r="BX151" s="188" t="str">
        <f t="shared" ca="1" si="64"/>
        <v/>
      </c>
      <c r="BY151" s="181" t="str">
        <f t="shared" ca="1" si="65"/>
        <v/>
      </c>
      <c r="CA151" s="192" t="str">
        <f t="shared" si="49"/>
        <v>N</v>
      </c>
      <c r="CB151" s="192" t="str">
        <f t="shared" si="50"/>
        <v>N</v>
      </c>
      <c r="CC151" s="193">
        <f>IFERROR(INDEX(Program_01!$CE:$CE,MATCH($B151,Program_01!$A:$A,0)),"")</f>
        <v>46159</v>
      </c>
      <c r="CD151" s="193">
        <f t="shared" si="66"/>
        <v>46159</v>
      </c>
      <c r="CG151" s="194">
        <f>IFERROR(INDEX(Program_01!$AT:$AT,MATCH($B151,Program_01!$A:$A,0)),"")</f>
        <v>0</v>
      </c>
      <c r="CH151" s="194">
        <f>IFERROR(INDEX(Program_01!$AX:$AX,MATCH($B151,Program_01!$A:$A,0)),"")</f>
        <v>0</v>
      </c>
    </row>
    <row r="152" spans="1:86" s="187" customFormat="1" ht="204">
      <c r="A152" s="174" t="s">
        <v>1</v>
      </c>
      <c r="B152" s="201">
        <f t="shared" si="42"/>
        <v>134</v>
      </c>
      <c r="C152" s="176" t="str">
        <f>IFERROR(INDEX(Program_01!$B:$B,MATCH($B152,Program_01!$A:$A,0)),"")</f>
        <v>FULL TIA EAR</v>
      </c>
      <c r="D152" s="176" t="str">
        <f>IFERROR(INDEX(Program_01!$D:$D,MATCH($B152,Program_01!$A:$A,0)),"")</f>
        <v>1TB01009C22</v>
      </c>
      <c r="E152" s="176" t="str">
        <f>IFERROR(INDEX(Program_01!$E:$E,MATCH($B152,Program_01!$A:$A,0)),"")</f>
        <v>1.TB.01.009.01</v>
      </c>
      <c r="F152" s="176" t="str">
        <f>IFERROR(INDEX(Program_01!$F:$F,MATCH($B152,Program_01!$A:$A,0)),"")</f>
        <v>Marina Hotel 3</v>
      </c>
      <c r="G152" s="176" t="str">
        <f>IFERROR(INDEX(Program_01!$G:$G,MATCH($B152,Program_01!$A:$A,0)),"")</f>
        <v>Marina Hotel 3 – Swimming Pools and Water Features</v>
      </c>
      <c r="H152" s="176" t="str">
        <f>IFERROR(INDEX(Program_01!$H:$H,MATCH($B152,Program_01!$A:$A,0)),"")</f>
        <v>MENTIGAT AL-MUTQADMA Ltd (Advance Products Company LTD.)</v>
      </c>
      <c r="I152" s="176" t="str">
        <f t="shared" si="67"/>
        <v>EOT</v>
      </c>
      <c r="J152" s="176">
        <f>IFERROR(INDEX(Program_01!$I:$I,MATCH($B152,Program_01!$A:$A,0)),"")</f>
        <v>1</v>
      </c>
      <c r="K152" s="176">
        <f>IFERROR(INDEX(Program_01!$J:$J,MATCH($B152,Program_01!$A:$A,0)),"")</f>
        <v>0</v>
      </c>
      <c r="L152" s="176">
        <f>IFERROR(INDEX(Program_01!$K:$K,MATCH($B152,Program_01!$A:$A,0)),"")</f>
        <v>0</v>
      </c>
      <c r="M152" s="176">
        <f>IFERROR(INDEX(Program_01!$L:$L,MATCH($B152,Program_01!$A:$A,0)),"")</f>
        <v>0</v>
      </c>
      <c r="N152" s="176">
        <f>IFERROR(INDEX(Program_01!$L:$L,MATCH($B152,Program_01!$A:$A,0)),"")</f>
        <v>0</v>
      </c>
      <c r="O152" s="176">
        <f>IFERROR(INDEX(Program_01!$N:$N,MATCH($B152,Program_01!$A:$A,0)),"")</f>
        <v>0</v>
      </c>
      <c r="P152" s="178"/>
      <c r="Q152" s="179" t="str">
        <f>IFERROR(INDEX(Program_01!$C:$C,MATCH($B152,Program_01!$A:$A,0)),"")</f>
        <v>Extension of Time Claim (EOT-01)</v>
      </c>
      <c r="R152" s="176" t="str">
        <f>IFERROR(INDEX(Program_01!$V:$V,MATCH($B152,Program_01!$A:$A,0)),"")</f>
        <v>1TB01009-009C22-APC-LTR-0041</v>
      </c>
      <c r="S152" s="180">
        <f>IFERROR(INDEX(Program_01!$W:$W,MATCH($B152,Program_01!$A:$A,0)),"")</f>
        <v>46144</v>
      </c>
      <c r="T152" s="178"/>
      <c r="U152" s="176" t="str">
        <f>IFERROR(INDEX(Program_01!$Z:$Z,MATCH($B152,Program_01!$A:$A,0)),"")</f>
        <v>1TB01009-009C22-AMA-LTR-0064</v>
      </c>
      <c r="V152" s="181">
        <f>IFERROR(INDEX(Program_01!$AA:$AA,MATCH($B152,Program_01!$A:$A,0)),"")</f>
        <v>46238</v>
      </c>
      <c r="W152" s="182">
        <f t="shared" ca="1" si="0"/>
        <v>94</v>
      </c>
      <c r="X152" s="51"/>
      <c r="Y152" s="179">
        <f>IFERROR(INDEX(Program_01!$BD:$BD,MATCH($B152,Program_01!$A:$A,0)),"")</f>
        <v>0</v>
      </c>
      <c r="Z152" s="51"/>
      <c r="AA152" s="183" t="str">
        <f>IFERROR(IF((INDEX(Program_01!$AD:$AD,MATCH($B152,Program_01!$A:$A,0))=""),INDEX(Program_01!$V:$V,MATCH($B152,Program_01!$A:$A,0)),INDEX(Program_01!$AD:$AD,MATCH($B152,Program_01!$A:$A,0))),"")</f>
        <v>1TB01009-009C22-APC-LTR-0041</v>
      </c>
      <c r="AB152" s="147">
        <f>IFERROR(IF((INDEX(Program_01!$AE:$AE,MATCH($B152,Program_01!$A:$A,0))=""),INDEX(Program_01!$W:$W,MATCH($B152,Program_01!$A:$A,0)),INDEX(Program_01!$AE:$AE,MATCH($B152,Program_01!$A:$A,0))),"")</f>
        <v>46144</v>
      </c>
      <c r="AC152" s="183">
        <f>IFERROR(IF($I152="EOT",INDEX(Program_01!$AN:$AN,MATCH($B152,Program_01!$A:$A,0)),INDEX(Program_01!$AY:$AY,MATCH($B152,Program_01!$A:$A,0))),"")</f>
        <v>0</v>
      </c>
      <c r="AD152" s="181">
        <f>IFERROR(IF($I152="EOT",INDEX(Program_01!$AO:$AO,MATCH($B152,Program_01!$A:$A,0)),INDEX(Program_01!$AZ:$AZ,MATCH($B152,Program_01!$A:$A,0))),"")</f>
        <v>0</v>
      </c>
      <c r="AE152" s="51"/>
      <c r="AF152" s="183"/>
      <c r="AG152" s="181"/>
      <c r="AH152" s="183" t="str">
        <f>IF(OR($D152="",$AS152="VO Issued",$AS152="Open"),"",IF(OR($AC152="Rejected",$AC152="Superseded",$AC152="Dealt Separately"),$AC152,IF($I152="EOT",INDEX(Program_01!$AR:$AR,MATCH($B152,Program_01!$A:$A,0)),INDEX(Program_01!$BB:$BB,MATCH($B152,Program_01!$A:$A,0)))))</f>
        <v/>
      </c>
      <c r="AI152" s="181" t="str">
        <f>IF(OR($A152="",$B152="",$I152="",$AS152="VO Issued",$AS152="Open"),"",IF(OR($AD152="N/A"),$AD152,IF($I152="EOT",INDEX(Program_01!$AS:$AS,MATCH($B152,Program_01!$A:$A,0)),INDEX(Program_01!$BC:$BC,MATCH($B152,Program_01!$A:$A,0)))))</f>
        <v/>
      </c>
      <c r="AJ152" s="183" t="str">
        <f>IF(OR($D152="",$I152="",$AS152="Determination Issued",$AS152="Rejected",$AS152="Open"),"",IF(OR($AH152="Rejected",$AH152="Dealt Separately",$AH152="Superseded",$AH152="Withdrawn"),"N/A",IF($I152="EOT",INDEX(Program_01!AR:AR,MATCH($B152,Program_01!A:A,0)),INDEX(Program_01!BB:BB,MATCH($B152,Program_01!A:A,0)))))</f>
        <v/>
      </c>
      <c r="AK152" s="181" t="str">
        <f>IF(OR($A152="",$B152="",$I152="",$AS152="Determination Issued",$AS152="Rejected",$AS152="Open"),"",IF($AJ152="N/A","N/A",IF($I152="EOT",INDEX(Program_01!AS:AS,MATCH($B152,Program_01!A:A,0)),INDEX(Program_01!BC:BC,MATCH($B152,Program_01!A:A,0)))))</f>
        <v/>
      </c>
      <c r="AL152" s="51"/>
      <c r="AM152" s="184" t="str">
        <f>IFERROR(INDEX(Program_01!$BT:$BT,MATCH($B152,Program_01!$A:$A,0)),"")</f>
        <v>Revise &amp; resubmit</v>
      </c>
      <c r="AN152" s="184">
        <f>IFERROR(INDEX(Program_01!$BU:$BU,MATCH($B152,Program_01!$A:$A,0)),"")</f>
        <v>0</v>
      </c>
      <c r="AO152" s="184">
        <f>IFERROR(INDEX(Program_01!$BV:$BV,MATCH($B152,Program_01!$A:$A,0)),"")</f>
        <v>0</v>
      </c>
      <c r="AP152" s="51" t="str">
        <f t="shared" si="46"/>
        <v/>
      </c>
      <c r="AQ152" s="184">
        <f>IFERROR(INDEX(Program_01!$BN:$BN,MATCH($B152,Program_01!$A:$A,0)),"")</f>
        <v>0</v>
      </c>
      <c r="AR152" s="184" t="str">
        <f>IFERROR(INDEX(Program_01!$BO:$BO,MATCH($B152,Program_01!$A:$A,0)),"")</f>
        <v>Pending</v>
      </c>
      <c r="AS152" s="184" t="str">
        <f>IFERROR(INDEX(Program_01!$BP:$BP,MATCH($B152,Program_01!$A:$A,0)),"")</f>
        <v>Open</v>
      </c>
      <c r="AT152" s="185" t="str">
        <f>IFERROR(INDEX(Program_01!$BQ:$BQ,MATCH($B152,Program_01!$A:$A,0)),"")</f>
        <v>Contractor</v>
      </c>
      <c r="AU152" s="179" t="str">
        <f>IFERROR(INDEX(Program_01!$BR:$BR,MATCH($B152,Program_01!$A:$A,0)),"")</f>
        <v>16 May 26: EOT received on 2 May 26. Under review, Initial response to be issued before 10 Jun 26
31 May 26: Ditto
15 Jun 26: under process with commercial, targte date TBC
29 June 26: Ditto , Comm to update
29 June 26:  Target date to confirm with KUMAR once he is back from leave
13 Jul 26: Contractor's claim shall be reviewed and if all details available, EAR shall be prepared by 10.Sep.26. If not, initial response shall be prepared by TBC
25 Jul 26: Draft response sent to claims team for review
28 Jul 26: claims team reverted to initiate WF for the issuance
8 Aug 26: RSG Comments issued via letter ref. 1TB01009-009C22-AMA-LTR-0064 dated 4 Aug 26 issued to Contractor. 
22 Aug 26: Awaiting feedback from Contractor
07 Sep 26: Ditto</v>
      </c>
      <c r="AV152" s="186" t="str">
        <f t="shared" si="58"/>
        <v/>
      </c>
      <c r="AW152" s="186" t="str">
        <f t="shared" si="47"/>
        <v>OPEN</v>
      </c>
      <c r="AX152" s="186" t="str">
        <f t="shared" si="59"/>
        <v>OPEN</v>
      </c>
      <c r="AY152" s="181">
        <f t="shared" si="68"/>
        <v>46144</v>
      </c>
      <c r="AZ152" s="181" t="str">
        <f t="shared" si="60"/>
        <v/>
      </c>
      <c r="BA152" s="181" t="str">
        <f t="shared" si="4"/>
        <v/>
      </c>
      <c r="BC152" s="181">
        <f>IFERROR(INDEX(Program_01!BF:BF,MATCH($B152,Program_01!$A:$A,0)),"")</f>
        <v>46144</v>
      </c>
      <c r="BD152" s="188">
        <f ca="1">IFERROR(INDEX(Program_01!BG:BG,MATCH($B152,Program_01!$A:$A,0)),"")</f>
        <v>0</v>
      </c>
      <c r="BE152" s="181">
        <f>IFERROR(INDEX(Program_01!BH:BH,MATCH($B152,Program_01!$A:$A,0)),"")</f>
        <v>0</v>
      </c>
      <c r="BF152" s="189">
        <f ca="1">IFERROR(INDEX(Program_01!BI:BI,MATCH($B152,Program_01!$A:$A,0)),"")</f>
        <v>0</v>
      </c>
      <c r="BG152" s="181">
        <f>IFERROR(INDEX(Program_01!BJ:BJ,MATCH($B152,Program_01!$A:$A,0)),"")</f>
        <v>0</v>
      </c>
      <c r="BH152" s="189">
        <f ca="1">IFERROR(INDEX(Program_01!BK:BK,MATCH($B152,Program_01!$A:$A,0)),"")</f>
        <v>0</v>
      </c>
      <c r="BI152" s="181">
        <f>IFERROR(INDEX(Program_01!BL:BL,MATCH($B152,Program_01!$A:$A,0)),"")</f>
        <v>0</v>
      </c>
      <c r="BK152" s="190" t="str">
        <f>IFERROR(IF(INDEX(Program_01!$BX:$BX,MATCH($B152,Program_01!$A:$A,0))=DATE(1900,1,0),"",INDEX(Program_01!$BX:$BX,MATCH($B152,Program_01!$A:$A,0))),"")</f>
        <v/>
      </c>
      <c r="BL152" s="190" t="str">
        <f>IFERROR(IF(INDEX(Program_01!$BY:$BY,MATCH($B152,Program_01!$A:$A,0))=DATE(1900,1,0),"",INDEX(Program_01!$BY:$BY,MATCH($B152,Program_01!$A:$A,0))),"")</f>
        <v/>
      </c>
      <c r="BM152" s="188" t="str">
        <f t="shared" ca="1" si="69"/>
        <v/>
      </c>
      <c r="BN152" s="191">
        <f t="shared" ca="1" si="70"/>
        <v>0</v>
      </c>
      <c r="BO152" s="188" t="str">
        <f t="shared" si="61"/>
        <v/>
      </c>
      <c r="BP152" s="188" t="str">
        <f t="shared" si="6"/>
        <v/>
      </c>
      <c r="BQ152" s="188" t="str">
        <f t="shared" ca="1" si="71"/>
        <v/>
      </c>
      <c r="BR152" s="181" t="str">
        <f t="shared" ca="1" si="62"/>
        <v/>
      </c>
      <c r="BT152" s="190" t="str">
        <f>IFERROR(IF(INDEX(Program_01!$BZ:$BZ,MATCH($B152,Program_01!$A:$A,0))=DATE(1900,1,0),"",INDEX(Program_01!$BZ:$BZ,MATCH($B152,Program_01!$A:$A,0))),"")</f>
        <v/>
      </c>
      <c r="BU152" s="182" t="str">
        <f t="shared" ca="1" si="48"/>
        <v/>
      </c>
      <c r="BV152" s="188" t="str">
        <f t="shared" si="63"/>
        <v/>
      </c>
      <c r="BW152" s="188" t="str">
        <f t="shared" si="8"/>
        <v/>
      </c>
      <c r="BX152" s="188" t="str">
        <f t="shared" ca="1" si="64"/>
        <v/>
      </c>
      <c r="BY152" s="181" t="str">
        <f t="shared" ca="1" si="65"/>
        <v/>
      </c>
      <c r="CA152" s="192" t="str">
        <f t="shared" si="49"/>
        <v>N</v>
      </c>
      <c r="CB152" s="192" t="str">
        <f t="shared" si="50"/>
        <v>N</v>
      </c>
      <c r="CC152" s="193">
        <f>IFERROR(INDEX(Program_01!$CE:$CE,MATCH($B152,Program_01!$A:$A,0)),"")</f>
        <v>46159</v>
      </c>
      <c r="CD152" s="193">
        <f t="shared" si="66"/>
        <v>46159</v>
      </c>
      <c r="CG152" s="194">
        <f>IFERROR(INDEX(Program_01!$AT:$AT,MATCH($B152,Program_01!$A:$A,0)),"")</f>
        <v>0</v>
      </c>
      <c r="CH152" s="194">
        <f>IFERROR(INDEX(Program_01!$AX:$AX,MATCH($B152,Program_01!$A:$A,0)),"")</f>
        <v>0</v>
      </c>
    </row>
    <row r="153" spans="1:86" s="187" customFormat="1" ht="194.5" customHeight="1">
      <c r="A153" s="174" t="s">
        <v>1</v>
      </c>
      <c r="B153" s="201">
        <f t="shared" si="42"/>
        <v>135</v>
      </c>
      <c r="C153" s="176" t="str">
        <f>IFERROR(INDEX(Program_01!$B:$B,MATCH($B153,Program_01!$A:$A,0)),"")</f>
        <v>FULL TIA EAR</v>
      </c>
      <c r="D153" s="176" t="str">
        <f>IFERROR(INDEX(Program_01!$D:$D,MATCH($B153,Program_01!$A:$A,0)),"")</f>
        <v>1TB01009C09</v>
      </c>
      <c r="E153" s="176" t="str">
        <f>IFERROR(INDEX(Program_01!$E:$E,MATCH($B153,Program_01!$A:$A,0)),"")</f>
        <v>1.TB.01.009.01</v>
      </c>
      <c r="F153" s="176" t="str">
        <f>IFERROR(INDEX(Program_01!$F:$F,MATCH($B153,Program_01!$A:$A,0)),"")</f>
        <v>Marina Hotel 3</v>
      </c>
      <c r="G153" s="176" t="str">
        <f>IFERROR(INDEX(Program_01!$G:$G,MATCH($B153,Program_01!$A:$A,0)),"")</f>
        <v>AMAALA Triple Bay – Marina Hotel 3 – Guest Rooms &amp; Corridor Fit-Out Works Package.</v>
      </c>
      <c r="H153" s="176" t="str">
        <f>IFERROR(INDEX(Program_01!$H:$H,MATCH($B153,Program_01!$A:$A,0)),"")</f>
        <v>IMAR Overseas Saudi Arabia Company</v>
      </c>
      <c r="I153" s="176" t="str">
        <f t="shared" si="67"/>
        <v>EOT</v>
      </c>
      <c r="J153" s="176">
        <f>IFERROR(INDEX(Program_01!$I:$I,MATCH($B153,Program_01!$A:$A,0)),"")</f>
        <v>1</v>
      </c>
      <c r="K153" s="176">
        <f>IFERROR(INDEX(Program_01!$J:$J,MATCH($B153,Program_01!$A:$A,0)),"")</f>
        <v>0</v>
      </c>
      <c r="L153" s="176">
        <f>IFERROR(INDEX(Program_01!$K:$K,MATCH($B153,Program_01!$A:$A,0)),"")</f>
        <v>0</v>
      </c>
      <c r="M153" s="176">
        <f>IFERROR(INDEX(Program_01!$L:$L,MATCH($B153,Program_01!$A:$A,0)),"")</f>
        <v>0</v>
      </c>
      <c r="N153" s="176">
        <f>IFERROR(INDEX(Program_01!$L:$L,MATCH($B153,Program_01!$A:$A,0)),"")</f>
        <v>0</v>
      </c>
      <c r="O153" s="176">
        <f>IFERROR(INDEX(Program_01!$N:$N,MATCH($B153,Program_01!$A:$A,0)),"")</f>
        <v>0</v>
      </c>
      <c r="P153" s="178"/>
      <c r="Q153" s="179" t="str">
        <f>IFERROR(INDEX(Program_01!$C:$C,MATCH($B153,Program_01!$A:$A,0)),"")</f>
        <v>Extension of Time Claim (EOT-02)</v>
      </c>
      <c r="R153" s="176" t="str">
        <f>IFERROR(INDEX(Program_01!$V:$V,MATCH($B153,Program_01!$A:$A,0)),"")</f>
        <v>1TB01009-009C09-IMR-LTR-0118</v>
      </c>
      <c r="S153" s="180">
        <f>IFERROR(INDEX(Program_01!$W:$W,MATCH($B153,Program_01!$A:$A,0)),"")</f>
        <v>46120</v>
      </c>
      <c r="T153" s="178"/>
      <c r="U153" s="176" t="str">
        <f>IFERROR(INDEX(Program_01!$Z:$Z,MATCH($B153,Program_01!$A:$A,0)),"")</f>
        <v>1TB01009-009C09-AMA-LTR-0094</v>
      </c>
      <c r="V153" s="181">
        <f>IFERROR(INDEX(Program_01!$AA:$AA,MATCH($B153,Program_01!$A:$A,0)),"")</f>
        <v>46181</v>
      </c>
      <c r="W153" s="182">
        <f t="shared" ca="1" si="0"/>
        <v>61</v>
      </c>
      <c r="X153" s="51"/>
      <c r="Y153" s="179">
        <f>IFERROR(INDEX(Program_01!$BD:$BD,MATCH($B153,Program_01!$A:$A,0)),"")</f>
        <v>0</v>
      </c>
      <c r="Z153" s="51"/>
      <c r="AA153" s="183" t="str">
        <f>IFERROR(IF((INDEX(Program_01!$AD:$AD,MATCH($B153,Program_01!$A:$A,0))=""),INDEX(Program_01!$V:$V,MATCH($B153,Program_01!$A:$A,0)),INDEX(Program_01!$AD:$AD,MATCH($B153,Program_01!$A:$A,0))),"")</f>
        <v>1TB01009-009C09-IMR-LTR-0126</v>
      </c>
      <c r="AB153" s="147">
        <f>IFERROR(IF((INDEX(Program_01!$AE:$AE,MATCH($B153,Program_01!$A:$A,0))=""),INDEX(Program_01!$W:$W,MATCH($B153,Program_01!$A:$A,0)),INDEX(Program_01!$AE:$AE,MATCH($B153,Program_01!$A:$A,0))),"")</f>
        <v>46190</v>
      </c>
      <c r="AC153" s="183">
        <f>IFERROR(IF($I153="EOT",INDEX(Program_01!$AN:$AN,MATCH($B153,Program_01!$A:$A,0)),INDEX(Program_01!$AY:$AY,MATCH($B153,Program_01!$A:$A,0))),"")</f>
        <v>0</v>
      </c>
      <c r="AD153" s="181">
        <f>IFERROR(IF($I153="EOT",INDEX(Program_01!$AO:$AO,MATCH($B153,Program_01!$A:$A,0)),INDEX(Program_01!$AZ:$AZ,MATCH($B153,Program_01!$A:$A,0))),"")</f>
        <v>0</v>
      </c>
      <c r="AE153" s="51"/>
      <c r="AF153" s="183"/>
      <c r="AG153" s="181"/>
      <c r="AH153" s="183" t="str">
        <f>IF(OR($D153="",$AS153="VO Issued",$AS153="Open"),"",IF(OR($AC153="Rejected",$AC153="Superseded",$AC153="Dealt Separately"),$AC153,IF($I153="EOT",INDEX(Program_01!$AR:$AR,MATCH($B153,Program_01!$A:$A,0)),INDEX(Program_01!$BB:$BB,MATCH($B153,Program_01!$A:$A,0)))))</f>
        <v/>
      </c>
      <c r="AI153" s="181" t="str">
        <f>IF(OR($A153="",$B153="",$I153="",$AS153="VO Issued",$AS153="Open"),"",IF(OR($AD153="N/A"),$AD153,IF($I153="EOT",INDEX(Program_01!$AS:$AS,MATCH($B153,Program_01!$A:$A,0)),INDEX(Program_01!$BC:$BC,MATCH($B153,Program_01!$A:$A,0)))))</f>
        <v/>
      </c>
      <c r="AJ153" s="183" t="str">
        <f>IF(OR($D153="",$I153="",$AS153="Determination Issued",$AS153="Rejected",$AS153="Open"),"",IF(OR($AH153="Rejected",$AH153="Dealt Separately",$AH153="Superseded",$AH153="Withdrawn"),"N/A",IF($I153="EOT",INDEX(Program_01!AR:AR,MATCH($B153,Program_01!A:A,0)),INDEX(Program_01!BB:BB,MATCH($B153,Program_01!A:A,0)))))</f>
        <v/>
      </c>
      <c r="AK153" s="181" t="str">
        <f>IF(OR($A153="",$B153="",$I153="",$AS153="Determination Issued",$AS153="Rejected",$AS153="Open"),"",IF($AJ153="N/A","N/A",IF($I153="EOT",INDEX(Program_01!AS:AS,MATCH($B153,Program_01!A:A,0)),INDEX(Program_01!BC:BC,MATCH($B153,Program_01!A:A,0)))))</f>
        <v/>
      </c>
      <c r="AL153" s="51"/>
      <c r="AM153" s="184">
        <f>IFERROR(INDEX(Program_01!$BT:$BT,MATCH($B153,Program_01!$A:$A,0)),"")</f>
        <v>0</v>
      </c>
      <c r="AN153" s="184">
        <f>IFERROR(INDEX(Program_01!$BU:$BU,MATCH($B153,Program_01!$A:$A,0)),"")</f>
        <v>0</v>
      </c>
      <c r="AO153" s="184">
        <f>IFERROR(INDEX(Program_01!$BV:$BV,MATCH($B153,Program_01!$A:$A,0)),"")</f>
        <v>0</v>
      </c>
      <c r="AP153" s="51" t="str">
        <f t="shared" si="46"/>
        <v/>
      </c>
      <c r="AQ153" s="184">
        <f>IFERROR(INDEX(Program_01!$BN:$BN,MATCH($B153,Program_01!$A:$A,0)),"")</f>
        <v>0</v>
      </c>
      <c r="AR153" s="184" t="str">
        <f>IFERROR(INDEX(Program_01!$BO:$BO,MATCH($B153,Program_01!$A:$A,0)),"")</f>
        <v>Pending</v>
      </c>
      <c r="AS153" s="184" t="str">
        <f>IFERROR(INDEX(Program_01!$BP:$BP,MATCH($B153,Program_01!$A:$A,0)),"")</f>
        <v>Open</v>
      </c>
      <c r="AT153" s="185" t="str">
        <f>IFERROR(INDEX(Program_01!$BQ:$BQ,MATCH($B153,Program_01!$A:$A,0)),"")</f>
        <v>Commercial Team</v>
      </c>
      <c r="AU153" s="179" t="str">
        <f>IFERROR(INDEX(Program_01!$BR:$BR,MATCH($B153,Program_01!$A:$A,0)),"")</f>
        <v>18 May 26: under review with Commercial
04 Jun 26: Letter to be issued to Contractor under WF089388
08 Jun 26: initial response issued via 1TB01009-009C09-AMA-LTR-0094
15 Jun 26: letter issued or not TBC
17 Jun 26: contrator responded with further clarification and substantiation via 1TB01009-009C09-IMR-LTR-0126 // Draft EAR sent to planning team for TIA
25 Jun 26: TIA incorporated and sent back to commercial
27 Jun 26: Ditto
13 Jul 26: Commercial target date to complete EAR by 20 Aug 2026
25 Jul 26: Ditto
10 Aug 26: EAR under preparation. Target date remains same (20 Aug 26)
22 Aug 26: EAR is being prepared along with EOT 03 (combined 02 &amp; 03)
07 Sep 26: EAR being prepared along with EOT No. 03.</v>
      </c>
      <c r="AV153" s="186" t="str">
        <f t="shared" si="58"/>
        <v/>
      </c>
      <c r="AW153" s="186" t="str">
        <f t="shared" si="47"/>
        <v>OPEN</v>
      </c>
      <c r="AX153" s="186" t="str">
        <f t="shared" si="59"/>
        <v>OPEN</v>
      </c>
      <c r="AY153" s="181">
        <f t="shared" si="68"/>
        <v>46190</v>
      </c>
      <c r="AZ153" s="181" t="str">
        <f t="shared" si="60"/>
        <v/>
      </c>
      <c r="BA153" s="181" t="str">
        <f t="shared" si="4"/>
        <v/>
      </c>
      <c r="BC153" s="181">
        <f>IFERROR(INDEX(Program_01!BF:BF,MATCH($B153,Program_01!$A:$A,0)),"")</f>
        <v>46190</v>
      </c>
      <c r="BD153" s="188">
        <f ca="1">IFERROR(INDEX(Program_01!BG:BG,MATCH($B153,Program_01!$A:$A,0)),"")</f>
        <v>0</v>
      </c>
      <c r="BE153" s="181">
        <f>IFERROR(INDEX(Program_01!BH:BH,MATCH($B153,Program_01!$A:$A,0)),"")</f>
        <v>46190</v>
      </c>
      <c r="BF153" s="189">
        <f ca="1">IFERROR(INDEX(Program_01!BI:BI,MATCH($B153,Program_01!$A:$A,0)),"")</f>
        <v>8</v>
      </c>
      <c r="BG153" s="181">
        <f>IFERROR(INDEX(Program_01!BJ:BJ,MATCH($B153,Program_01!$A:$A,0)),"")</f>
        <v>46198</v>
      </c>
      <c r="BH153" s="189">
        <f ca="1">IFERROR(INDEX(Program_01!BK:BK,MATCH($B153,Program_01!$A:$A,0)),"")</f>
        <v>102</v>
      </c>
      <c r="BI153" s="181">
        <f>IFERROR(INDEX(Program_01!BL:BL,MATCH($B153,Program_01!$A:$A,0)),"")</f>
        <v>0</v>
      </c>
      <c r="BK153" s="190" t="str">
        <f>IFERROR(IF(INDEX(Program_01!$BX:$BX,MATCH($B153,Program_01!$A:$A,0))=DATE(1900,1,0),"",INDEX(Program_01!$BX:$BX,MATCH($B153,Program_01!$A:$A,0))),"")</f>
        <v/>
      </c>
      <c r="BL153" s="190" t="str">
        <f>IFERROR(IF(INDEX(Program_01!$BY:$BY,MATCH($B153,Program_01!$A:$A,0))=DATE(1900,1,0),"",INDEX(Program_01!$BY:$BY,MATCH($B153,Program_01!$A:$A,0))),"")</f>
        <v/>
      </c>
      <c r="BM153" s="188" t="str">
        <f t="shared" ca="1" si="69"/>
        <v/>
      </c>
      <c r="BN153" s="191">
        <f t="shared" ca="1" si="70"/>
        <v>110</v>
      </c>
      <c r="BO153" s="188" t="str">
        <f t="shared" si="61"/>
        <v/>
      </c>
      <c r="BP153" s="188" t="str">
        <f t="shared" si="6"/>
        <v/>
      </c>
      <c r="BQ153" s="188" t="str">
        <f t="shared" ca="1" si="71"/>
        <v/>
      </c>
      <c r="BR153" s="181" t="str">
        <f t="shared" ca="1" si="62"/>
        <v/>
      </c>
      <c r="BT153" s="190" t="str">
        <f>IFERROR(IF(INDEX(Program_01!$BZ:$BZ,MATCH($B153,Program_01!$A:$A,0))=DATE(1900,1,0),"",INDEX(Program_01!$BZ:$BZ,MATCH($B153,Program_01!$A:$A,0))),"")</f>
        <v/>
      </c>
      <c r="BU153" s="182" t="str">
        <f t="shared" ca="1" si="48"/>
        <v/>
      </c>
      <c r="BV153" s="188" t="str">
        <f t="shared" si="63"/>
        <v/>
      </c>
      <c r="BW153" s="188" t="str">
        <f t="shared" si="8"/>
        <v/>
      </c>
      <c r="BX153" s="188" t="str">
        <f t="shared" ca="1" si="64"/>
        <v/>
      </c>
      <c r="BY153" s="181" t="str">
        <f t="shared" ca="1" si="65"/>
        <v/>
      </c>
      <c r="CA153" s="192" t="str">
        <f t="shared" si="49"/>
        <v>N</v>
      </c>
      <c r="CB153" s="192" t="str">
        <f t="shared" si="50"/>
        <v>N</v>
      </c>
      <c r="CC153" s="193">
        <f>IFERROR(INDEX(Program_01!$CE:$CE,MATCH($B153,Program_01!$A:$A,0)),"")</f>
        <v>46160</v>
      </c>
      <c r="CD153" s="193">
        <f t="shared" si="66"/>
        <v>46160</v>
      </c>
      <c r="CG153" s="194">
        <f>IFERROR(INDEX(Program_01!$AT:$AT,MATCH($B153,Program_01!$A:$A,0)),"")</f>
        <v>0</v>
      </c>
      <c r="CH153" s="194">
        <f>IFERROR(INDEX(Program_01!$AX:$AX,MATCH($B153,Program_01!$A:$A,0)),"")</f>
        <v>0</v>
      </c>
    </row>
    <row r="154" spans="1:86" s="187" customFormat="1" ht="153">
      <c r="A154" s="174" t="s">
        <v>1</v>
      </c>
      <c r="B154" s="175">
        <f t="shared" si="42"/>
        <v>136</v>
      </c>
      <c r="C154" s="176" t="str">
        <f>IFERROR(INDEX(Program_01!$B:$B,MATCH($B154,Program_01!$A:$A,0)),"")</f>
        <v>FULL TIA EAR</v>
      </c>
      <c r="D154" s="176" t="str">
        <f>IFERROR(INDEX(Program_01!$D:$D,MATCH($B154,Program_01!$A:$A,0)),"")</f>
        <v>1TB01009C09</v>
      </c>
      <c r="E154" s="176" t="str">
        <f>IFERROR(INDEX(Program_01!$E:$E,MATCH($B154,Program_01!$A:$A,0)),"")</f>
        <v>1.TB.01.009.01</v>
      </c>
      <c r="F154" s="176" t="str">
        <f>IFERROR(INDEX(Program_01!$F:$F,MATCH($B154,Program_01!$A:$A,0)),"")</f>
        <v>Marina Hotel 3</v>
      </c>
      <c r="G154" s="176" t="str">
        <f>IFERROR(INDEX(Program_01!$G:$G,MATCH($B154,Program_01!$A:$A,0)),"")</f>
        <v>AMAALA Triple Bay – Marina Hotel 3 – Guest Rooms &amp; Corridor Fit-Out Works Package.</v>
      </c>
      <c r="H154" s="176" t="str">
        <f>IFERROR(INDEX(Program_01!$H:$H,MATCH($B154,Program_01!$A:$A,0)),"")</f>
        <v>IMAR Overseas Saudi Arabia Company</v>
      </c>
      <c r="I154" s="176" t="str">
        <f t="shared" si="67"/>
        <v>Prolongation</v>
      </c>
      <c r="J154" s="176">
        <f>IFERROR(INDEX(Program_01!$I:$I,MATCH($B154,Program_01!$A:$A,0)),"")</f>
        <v>0</v>
      </c>
      <c r="K154" s="176">
        <f>IFERROR(INDEX(Program_01!$J:$J,MATCH($B154,Program_01!$A:$A,0)),"")</f>
        <v>1</v>
      </c>
      <c r="L154" s="176">
        <f>IFERROR(INDEX(Program_01!$K:$K,MATCH($B154,Program_01!$A:$A,0)),"")</f>
        <v>0</v>
      </c>
      <c r="M154" s="176">
        <f>IFERROR(INDEX(Program_01!$L:$L,MATCH($B154,Program_01!$A:$A,0)),"")</f>
        <v>0</v>
      </c>
      <c r="N154" s="176">
        <f>IFERROR(INDEX(Program_01!$L:$L,MATCH($B154,Program_01!$A:$A,0)),"")</f>
        <v>0</v>
      </c>
      <c r="O154" s="176">
        <f>IFERROR(INDEX(Program_01!$N:$N,MATCH($B154,Program_01!$A:$A,0)),"")</f>
        <v>0</v>
      </c>
      <c r="P154" s="178"/>
      <c r="Q154" s="179" t="str">
        <f>IFERROR(INDEX(Program_01!$C:$C,MATCH($B154,Program_01!$A:$A,0)),"")</f>
        <v>Extension of Time Claim (EOT-02 - Prolongation cost</v>
      </c>
      <c r="R154" s="176" t="str">
        <f>IFERROR(INDEX(Program_01!$V:$V,MATCH($B154,Program_01!$A:$A,0)),"")</f>
        <v>1TB01009-009C09-IMR-LTR-0118</v>
      </c>
      <c r="S154" s="180">
        <f>IFERROR(INDEX(Program_01!$W:$W,MATCH($B154,Program_01!$A:$A,0)),"")</f>
        <v>46120</v>
      </c>
      <c r="T154" s="178"/>
      <c r="U154" s="176">
        <f>IFERROR(INDEX(Program_01!$Z:$Z,MATCH($B154,Program_01!$A:$A,0)),"")</f>
        <v>0</v>
      </c>
      <c r="V154" s="181">
        <f>IFERROR(INDEX(Program_01!$AA:$AA,MATCH($B154,Program_01!$A:$A,0)),"")</f>
        <v>0</v>
      </c>
      <c r="W154" s="182">
        <f t="shared" ca="1" si="0"/>
        <v>180</v>
      </c>
      <c r="X154" s="51"/>
      <c r="Y154" s="179">
        <f>IFERROR(INDEX(Program_01!$BD:$BD,MATCH($B154,Program_01!$A:$A,0)),"")</f>
        <v>0</v>
      </c>
      <c r="Z154" s="51"/>
      <c r="AA154" s="183" t="str">
        <f>IFERROR(IF((INDEX(Program_01!$AD:$AD,MATCH($B154,Program_01!$A:$A,0))=""),INDEX(Program_01!$V:$V,MATCH($B154,Program_01!$A:$A,0)),INDEX(Program_01!$AD:$AD,MATCH($B154,Program_01!$A:$A,0))),"")</f>
        <v>1TB01009-009C09-IMR-LTR-0118</v>
      </c>
      <c r="AB154" s="147">
        <f>IFERROR(IF((INDEX(Program_01!$AE:$AE,MATCH($B154,Program_01!$A:$A,0))=""),INDEX(Program_01!$W:$W,MATCH($B154,Program_01!$A:$A,0)),INDEX(Program_01!$AE:$AE,MATCH($B154,Program_01!$A:$A,0))),"")</f>
        <v>46120</v>
      </c>
      <c r="AC154" s="183">
        <f>IFERROR(IF($I154="EOT",INDEX(Program_01!$AN:$AN,MATCH($B154,Program_01!$A:$A,0)),INDEX(Program_01!$AY:$AY,MATCH($B154,Program_01!$A:$A,0))),"")</f>
        <v>0</v>
      </c>
      <c r="AD154" s="181">
        <f>IFERROR(IF($I154="EOT",INDEX(Program_01!$AO:$AO,MATCH($B154,Program_01!$A:$A,0)),INDEX(Program_01!$AZ:$AZ,MATCH($B154,Program_01!$A:$A,0))),"")</f>
        <v>0</v>
      </c>
      <c r="AE154" s="51"/>
      <c r="AF154" s="183"/>
      <c r="AG154" s="181"/>
      <c r="AH154" s="183" t="str">
        <f>IF(OR($D154="",$AS154="VO Issued",$AS154="Open"),"",IF(OR($AC154="Rejected",$AC154="Superseded",$AC154="Dealt Separately"),$AC154,IF($I154="EOT",INDEX(Program_01!$AR:$AR,MATCH($B154,Program_01!$A:$A,0)),INDEX(Program_01!$BB:$BB,MATCH($B154,Program_01!$A:$A,0)))))</f>
        <v/>
      </c>
      <c r="AI154" s="181" t="str">
        <f>IF(OR($A154="",$B154="",$I154="",$AS154="VO Issued",$AS154="Open"),"",IF(OR($AD154="N/A"),$AD154,IF($I154="EOT",INDEX(Program_01!$AS:$AS,MATCH($B154,Program_01!$A:$A,0)),INDEX(Program_01!$BC:$BC,MATCH($B154,Program_01!$A:$A,0)))))</f>
        <v/>
      </c>
      <c r="AJ154" s="183" t="str">
        <f>IF(OR($D154="",$I154="",$AS154="Determination Issued",$AS154="Rejected",$AS154="Open"),"",IF(OR($AH154="Rejected",$AH154="Dealt Separately",$AH154="Superseded",$AH154="Withdrawn"),"N/A",IF($I154="EOT",INDEX(Program_01!AR:AR,MATCH($B154,Program_01!A:A,0)),INDEX(Program_01!BB:BB,MATCH($B154,Program_01!A:A,0)))))</f>
        <v/>
      </c>
      <c r="AK154" s="181" t="str">
        <f>IF(OR($A154="",$B154="",$I154="",$AS154="Determination Issued",$AS154="Rejected",$AS154="Open"),"",IF($AJ154="N/A","N/A",IF($I154="EOT",INDEX(Program_01!AS:AS,MATCH($B154,Program_01!A:A,0)),INDEX(Program_01!BC:BC,MATCH($B154,Program_01!A:A,0)))))</f>
        <v/>
      </c>
      <c r="AL154" s="51"/>
      <c r="AM154" s="184">
        <f>IFERROR(INDEX(Program_01!$BT:$BT,MATCH($B154,Program_01!$A:$A,0)),"")</f>
        <v>0</v>
      </c>
      <c r="AN154" s="184">
        <f>IFERROR(INDEX(Program_01!$BU:$BU,MATCH($B154,Program_01!$A:$A,0)),"")</f>
        <v>0</v>
      </c>
      <c r="AO154" s="184">
        <f>IFERROR(INDEX(Program_01!$BV:$BV,MATCH($B154,Program_01!$A:$A,0)),"")</f>
        <v>0</v>
      </c>
      <c r="AP154" s="51" t="str">
        <f t="shared" si="46"/>
        <v/>
      </c>
      <c r="AQ154" s="184">
        <f>IFERROR(INDEX(Program_01!$BN:$BN,MATCH($B154,Program_01!$A:$A,0)),"")</f>
        <v>0</v>
      </c>
      <c r="AR154" s="184" t="str">
        <f>IFERROR(INDEX(Program_01!$BO:$BO,MATCH($B154,Program_01!$A:$A,0)),"")</f>
        <v>Pending</v>
      </c>
      <c r="AS154" s="184" t="str">
        <f>IFERROR(INDEX(Program_01!$BP:$BP,MATCH($B154,Program_01!$A:$A,0)),"")</f>
        <v>Open</v>
      </c>
      <c r="AT154" s="185" t="str">
        <f>IFERROR(INDEX(Program_01!$BQ:$BQ,MATCH($B154,Program_01!$A:$A,0)),"")</f>
        <v>Awaiting conclusion of EoT</v>
      </c>
      <c r="AU154" s="179" t="str">
        <f>IFERROR(INDEX(Program_01!$BR:$BR,MATCH($B154,Program_01!$A:$A,0)),"")</f>
        <v>18 May 26: under review with Commercial
04 Jun 26: Letter to be issued to Contractor under WF089388
15 Jun 26: letter issued or not TBC
29 Jun 26: letter requesting contractor to revise &amp; resubmit has been issued via 1TB01009-009C09-AMA-LTR-0094 on Date
12 Jul 26: Awaiting finalization and issuance of EAR. Subsequently, letter to submit concurrency analaysis and comments on the Cost submission shall be issued by 5 Aug 26
25 Jul 26: Ditto
10 Aug 26: Awaiting conclusion of EOT 03
07 Sep 26: Ditto</v>
      </c>
      <c r="AV154" s="186" t="str">
        <f t="shared" si="58"/>
        <v/>
      </c>
      <c r="AW154" s="186" t="str">
        <f t="shared" si="47"/>
        <v>OPEN</v>
      </c>
      <c r="AX154" s="186" t="str">
        <f t="shared" si="59"/>
        <v>OPEN</v>
      </c>
      <c r="AY154" s="181">
        <f t="shared" si="68"/>
        <v>46120</v>
      </c>
      <c r="AZ154" s="181" t="str">
        <f t="shared" si="60"/>
        <v/>
      </c>
      <c r="BA154" s="181" t="str">
        <f t="shared" si="4"/>
        <v/>
      </c>
      <c r="BC154" s="181">
        <f>IFERROR(INDEX(Program_01!BF:BF,MATCH($B154,Program_01!$A:$A,0)),"")</f>
        <v>46120</v>
      </c>
      <c r="BD154" s="188">
        <f ca="1">IFERROR(INDEX(Program_01!BG:BG,MATCH($B154,Program_01!$A:$A,0)),"")</f>
        <v>0</v>
      </c>
      <c r="BE154" s="181">
        <f>IFERROR(INDEX(Program_01!BH:BH,MATCH($B154,Program_01!$A:$A,0)),"")</f>
        <v>0</v>
      </c>
      <c r="BF154" s="189">
        <f ca="1">IFERROR(INDEX(Program_01!BI:BI,MATCH($B154,Program_01!$A:$A,0)),"")</f>
        <v>0</v>
      </c>
      <c r="BG154" s="181">
        <f>IFERROR(INDEX(Program_01!BJ:BJ,MATCH($B154,Program_01!$A:$A,0)),"")</f>
        <v>0</v>
      </c>
      <c r="BH154" s="189">
        <f ca="1">IFERROR(INDEX(Program_01!BK:BK,MATCH($B154,Program_01!$A:$A,0)),"")</f>
        <v>0</v>
      </c>
      <c r="BI154" s="181">
        <f>IFERROR(INDEX(Program_01!BL:BL,MATCH($B154,Program_01!$A:$A,0)),"")</f>
        <v>0</v>
      </c>
      <c r="BK154" s="190" t="str">
        <f>IFERROR(IF(INDEX(Program_01!$BX:$BX,MATCH($B154,Program_01!$A:$A,0))=DATE(1900,1,0),"",INDEX(Program_01!$BX:$BX,MATCH($B154,Program_01!$A:$A,0))),"")</f>
        <v/>
      </c>
      <c r="BL154" s="190" t="str">
        <f>IFERROR(IF(INDEX(Program_01!$BY:$BY,MATCH($B154,Program_01!$A:$A,0))=DATE(1900,1,0),"",INDEX(Program_01!$BY:$BY,MATCH($B154,Program_01!$A:$A,0))),"")</f>
        <v/>
      </c>
      <c r="BM154" s="188" t="str">
        <f t="shared" ca="1" si="69"/>
        <v/>
      </c>
      <c r="BN154" s="191">
        <f t="shared" ca="1" si="70"/>
        <v>0</v>
      </c>
      <c r="BO154" s="188" t="str">
        <f t="shared" si="61"/>
        <v/>
      </c>
      <c r="BP154" s="188" t="str">
        <f t="shared" si="6"/>
        <v/>
      </c>
      <c r="BQ154" s="188" t="str">
        <f t="shared" ca="1" si="71"/>
        <v/>
      </c>
      <c r="BR154" s="181" t="str">
        <f t="shared" ca="1" si="62"/>
        <v/>
      </c>
      <c r="BT154" s="190" t="str">
        <f>IFERROR(IF(INDEX(Program_01!$BZ:$BZ,MATCH($B154,Program_01!$A:$A,0))=DATE(1900,1,0),"",INDEX(Program_01!$BZ:$BZ,MATCH($B154,Program_01!$A:$A,0))),"")</f>
        <v/>
      </c>
      <c r="BU154" s="182" t="str">
        <f t="shared" ca="1" si="48"/>
        <v/>
      </c>
      <c r="BV154" s="188" t="str">
        <f t="shared" si="63"/>
        <v/>
      </c>
      <c r="BW154" s="188" t="str">
        <f t="shared" si="8"/>
        <v/>
      </c>
      <c r="BX154" s="188" t="str">
        <f t="shared" ca="1" si="64"/>
        <v/>
      </c>
      <c r="BY154" s="181" t="str">
        <f t="shared" ca="1" si="65"/>
        <v/>
      </c>
      <c r="CA154" s="192" t="str">
        <f t="shared" si="49"/>
        <v>N</v>
      </c>
      <c r="CB154" s="192" t="str">
        <f t="shared" si="50"/>
        <v>N</v>
      </c>
      <c r="CC154" s="193">
        <f>IFERROR(INDEX(Program_01!$CE:$CE,MATCH($B154,Program_01!$A:$A,0)),"")</f>
        <v>46160</v>
      </c>
      <c r="CD154" s="193">
        <f t="shared" si="66"/>
        <v>46160</v>
      </c>
      <c r="CG154" s="194">
        <f>IFERROR(INDEX(Program_01!$AT:$AT,MATCH($B154,Program_01!$A:$A,0)),"")</f>
        <v>1797154.46</v>
      </c>
      <c r="CH154" s="194">
        <f>IFERROR(INDEX(Program_01!$AX:$AX,MATCH($B154,Program_01!$A:$A,0)),"")</f>
        <v>0</v>
      </c>
    </row>
    <row r="155" spans="1:86" s="187" customFormat="1" ht="372">
      <c r="A155" s="174" t="s">
        <v>1</v>
      </c>
      <c r="B155" s="175">
        <f t="shared" si="42"/>
        <v>137</v>
      </c>
      <c r="C155" s="176" t="str">
        <f>IFERROR(INDEX(Program_01!$B:$B,MATCH($B155,Program_01!$A:$A,0)),"")</f>
        <v>FULL TIA EAR</v>
      </c>
      <c r="D155" s="176" t="str">
        <f>IFERROR(INDEX(Program_01!$D:$D,MATCH($B155,Program_01!$A:$A,0)),"")</f>
        <v>1OC96996B02</v>
      </c>
      <c r="E155" s="176" t="str">
        <f>IFERROR(INDEX(Program_01!$E:$E,MATCH($B155,Program_01!$A:$A,0)),"")</f>
        <v>1.OC.00.999.99</v>
      </c>
      <c r="F155" s="176" t="str">
        <f>IFERROR(INDEX(Program_01!$F:$F,MATCH($B155,Program_01!$A:$A,0)),"")</f>
        <v>Marine Life Operation Facility</v>
      </c>
      <c r="G155" s="176" t="str">
        <f>IFERROR(INDEX(Program_01!$G:$G,MATCH($B155,Program_01!$A:$A,0)),"")</f>
        <v>Package 2 – Design and Build components, changes to base build, AV and Exhibition features</v>
      </c>
      <c r="H155" s="176" t="str">
        <f>IFERROR(INDEX(Program_01!$H:$H,MATCH($B155,Program_01!$A:$A,0)),"")</f>
        <v>Alec Interior Decoration</v>
      </c>
      <c r="I155" s="176" t="str">
        <f t="shared" si="67"/>
        <v>EOT</v>
      </c>
      <c r="J155" s="176">
        <f>IFERROR(INDEX(Program_01!$I:$I,MATCH($B155,Program_01!$A:$A,0)),"")</f>
        <v>1</v>
      </c>
      <c r="K155" s="176">
        <f>IFERROR(INDEX(Program_01!$J:$J,MATCH($B155,Program_01!$A:$A,0)),"")</f>
        <v>0</v>
      </c>
      <c r="L155" s="176">
        <f>IFERROR(INDEX(Program_01!$K:$K,MATCH($B155,Program_01!$A:$A,0)),"")</f>
        <v>0</v>
      </c>
      <c r="M155" s="176">
        <f>IFERROR(INDEX(Program_01!$L:$L,MATCH($B155,Program_01!$A:$A,0)),"")</f>
        <v>0</v>
      </c>
      <c r="N155" s="176">
        <f>IFERROR(INDEX(Program_01!$L:$L,MATCH($B155,Program_01!$A:$A,0)),"")</f>
        <v>0</v>
      </c>
      <c r="O155" s="176">
        <f>IFERROR(INDEX(Program_01!$N:$N,MATCH($B155,Program_01!$A:$A,0)),"")</f>
        <v>0</v>
      </c>
      <c r="P155" s="178"/>
      <c r="Q155" s="179" t="str">
        <f>IFERROR(INDEX(Program_01!$C:$C,MATCH($B155,Program_01!$A:$A,0)),"")</f>
        <v xml:space="preserve">Interim Extension of Time Claim No. 01 </v>
      </c>
      <c r="R155" s="176" t="str">
        <f>IFERROR(INDEX(Program_01!$V:$V,MATCH($B155,Program_01!$A:$A,0)),"")</f>
        <v>1OC96996-996B02-ALI-LTR-0031 
AMA96996-TRANSMIT-000046</v>
      </c>
      <c r="S155" s="180">
        <f>IFERROR(INDEX(Program_01!$W:$W,MATCH($B155,Program_01!$A:$A,0)),"")</f>
        <v>46132</v>
      </c>
      <c r="T155" s="178"/>
      <c r="U155" s="176" t="str">
        <f>IFERROR(INDEX(Program_01!$Z:$Z,MATCH($B155,Program_01!$A:$A,0)),"")</f>
        <v>1OC96996-996B02-AMA-LTR-0005</v>
      </c>
      <c r="V155" s="181">
        <f>IFERROR(INDEX(Program_01!$AA:$AA,MATCH($B155,Program_01!$A:$A,0)),"")</f>
        <v>46179</v>
      </c>
      <c r="W155" s="182">
        <f t="shared" ca="1" si="0"/>
        <v>47</v>
      </c>
      <c r="X155" s="51"/>
      <c r="Y155" s="179">
        <f>IFERROR(INDEX(Program_01!$BD:$BD,MATCH($B155,Program_01!$A:$A,0)),"")</f>
        <v>0</v>
      </c>
      <c r="Z155" s="51"/>
      <c r="AA155" s="183" t="str">
        <f>IFERROR(IF((INDEX(Program_01!$AD:$AD,MATCH($B155,Program_01!$A:$A,0))=""),INDEX(Program_01!$V:$V,MATCH($B155,Program_01!$A:$A,0)),INDEX(Program_01!$AD:$AD,MATCH($B155,Program_01!$A:$A,0))),"")</f>
        <v>1OC96996-996B02-ALI-LTR-0049</v>
      </c>
      <c r="AB155" s="147">
        <f>IFERROR(IF((INDEX(Program_01!$AE:$AE,MATCH($B155,Program_01!$A:$A,0))=""),INDEX(Program_01!$W:$W,MATCH($B155,Program_01!$A:$A,0)),INDEX(Program_01!$AE:$AE,MATCH($B155,Program_01!$A:$A,0))),"")</f>
        <v>46230</v>
      </c>
      <c r="AC155" s="183">
        <f>IFERROR(IF($I155="EOT",INDEX(Program_01!$AN:$AN,MATCH($B155,Program_01!$A:$A,0)),INDEX(Program_01!$AY:$AY,MATCH($B155,Program_01!$A:$A,0))),"")</f>
        <v>0</v>
      </c>
      <c r="AD155" s="181">
        <f>IFERROR(IF($I155="EOT",INDEX(Program_01!$AO:$AO,MATCH($B155,Program_01!$A:$A,0)),INDEX(Program_01!$AZ:$AZ,MATCH($B155,Program_01!$A:$A,0))),"")</f>
        <v>0</v>
      </c>
      <c r="AE155" s="51"/>
      <c r="AF155" s="183"/>
      <c r="AG155" s="181"/>
      <c r="AH155" s="183" t="str">
        <f>IF(OR($D155="",$AS155="VO Issued",$AS155="Open"),"",IF(OR($AC155="Rejected",$AC155="Superseded",$AC155="Dealt Separately"),$AC155,IF($I155="EOT",INDEX(Program_01!$AR:$AR,MATCH($B155,Program_01!$A:$A,0)),INDEX(Program_01!$BB:$BB,MATCH($B155,Program_01!$A:$A,0)))))</f>
        <v/>
      </c>
      <c r="AI155" s="181" t="str">
        <f>IF(OR($A155="",$B155="",$I155="",$AS155="VO Issued",$AS155="Open"),"",IF(OR($AD155="N/A"),$AD155,IF($I155="EOT",INDEX(Program_01!$AS:$AS,MATCH($B155,Program_01!$A:$A,0)),INDEX(Program_01!$BC:$BC,MATCH($B155,Program_01!$A:$A,0)))))</f>
        <v/>
      </c>
      <c r="AJ155" s="183" t="str">
        <f>IF(OR($D155="",$I155="",$AS155="Determination Issued",$AS155="Rejected",$AS155="Open"),"",IF(OR($AH155="Rejected",$AH155="Dealt Separately",$AH155="Superseded",$AH155="Withdrawn"),"N/A",IF($I155="EOT",INDEX(Program_01!AR:AR,MATCH($B155,Program_01!A:A,0)),INDEX(Program_01!BB:BB,MATCH($B155,Program_01!A:A,0)))))</f>
        <v/>
      </c>
      <c r="AK155" s="181" t="str">
        <f>IF(OR($A155="",$B155="",$I155="",$AS155="Determination Issued",$AS155="Rejected",$AS155="Open"),"",IF($AJ155="N/A","N/A",IF($I155="EOT",INDEX(Program_01!AS:AS,MATCH($B155,Program_01!A:A,0)),INDEX(Program_01!BC:BC,MATCH($B155,Program_01!A:A,0)))))</f>
        <v/>
      </c>
      <c r="AL155" s="51"/>
      <c r="AM155" s="184">
        <f>IFERROR(INDEX(Program_01!$BT:$BT,MATCH($B155,Program_01!$A:$A,0)),"")</f>
        <v>0</v>
      </c>
      <c r="AN155" s="184">
        <f>IFERROR(INDEX(Program_01!$BU:$BU,MATCH($B155,Program_01!$A:$A,0)),"")</f>
        <v>0</v>
      </c>
      <c r="AO155" s="184">
        <f>IFERROR(INDEX(Program_01!$BV:$BV,MATCH($B155,Program_01!$A:$A,0)),"")</f>
        <v>0</v>
      </c>
      <c r="AP155" s="51" t="str">
        <f t="shared" si="46"/>
        <v/>
      </c>
      <c r="AQ155" s="184">
        <f>IFERROR(INDEX(Program_01!$BN:$BN,MATCH($B155,Program_01!$A:$A,0)),"")</f>
        <v>0</v>
      </c>
      <c r="AR155" s="184" t="str">
        <f>IFERROR(INDEX(Program_01!$BO:$BO,MATCH($B155,Program_01!$A:$A,0)),"")</f>
        <v>Pending</v>
      </c>
      <c r="AS155" s="184" t="str">
        <f>IFERROR(INDEX(Program_01!$BP:$BP,MATCH($B155,Program_01!$A:$A,0)),"")</f>
        <v>Open</v>
      </c>
      <c r="AT155" s="185" t="str">
        <f>IFERROR(INDEX(Program_01!$BQ:$BQ,MATCH($B155,Program_01!$A:$A,0)),"")</f>
        <v>Planning Team</v>
      </c>
      <c r="AU155" s="179" t="str">
        <f>IFERROR(INDEX(Program_01!$BR:$BR,MATCH($B155,Program_01!$A:$A,0)),"")</f>
        <v>26 May 26: under review with Commercial
04 Jun 26: Target date TBC
15 Jun 26: commercial to issue an initial response 
29 Jun 26: Paul M to update
06 Jun 26: Initial response rejecting the claim issued to contractor via 1OC96996-996B02-AMA-LTR-0005
29 Jun 26: Pending with Alec to revise and resubmit the Claim
12 Jul 26: Alec have responded (07 Jul 26) -  1OC96996-996B02-ALI-LTR-0047 stating they do not accept the Employer's rejection. Site team to arrange a meeting to review / discuss with Alec w/c 19 Jul 26.
24 Jul 26: Meeting arranged with Contractor for 27 Jul. Alec cancelled the meeting arranged for 20 Jul.
08 Aug 26: Meeting held and rejection letter issued (1OC96996-996B02-AMA-LTR-0008) on 03 Aug. Contractor responded (1OC96996-996B02-ALI-LTR-0052) on 06 Aug not accepting the rejection and also requesting that the Employer completes a full assessment of EoT 02. We request for the Claim team to review the claims and confirm if they should be accepted for EAR? Planning team have confirmed that the TIA is acceptable.
10 Aug 26: Contractor submitted revised claim with updated cutoff date upto 11 Oct 2026, via 1OC96996-996B02-ALI-LTR-0049 on 27 Jul 2026, under review with commercial.
21 Aug 26: Are Claims team able to review and comment on the claim - Email request sent on 10 August 
07 Sep 26: Ditto
07 Sept 26: Awaiting Planning input (Tareq/Shaju)
14 Sep 26: Shaju to discuss with NE in the afternoon
19 Sep 26: EAR draft Sent to claims team for review
21 Sep 26: Claims team targeted to revert by 26 Sep 26
23 Sep 26: EAR sent to planning for TIA
04 Oct 26: Ditto issued to planning on 23 Sept 26</v>
      </c>
      <c r="AV155" s="186" t="str">
        <f t="shared" si="58"/>
        <v/>
      </c>
      <c r="AW155" s="186" t="str">
        <f t="shared" si="47"/>
        <v>OPEN</v>
      </c>
      <c r="AX155" s="186" t="str">
        <f t="shared" si="59"/>
        <v>OPEN</v>
      </c>
      <c r="AY155" s="181">
        <f t="shared" si="68"/>
        <v>46230</v>
      </c>
      <c r="AZ155" s="181" t="str">
        <f t="shared" si="60"/>
        <v/>
      </c>
      <c r="BA155" s="181" t="str">
        <f t="shared" si="4"/>
        <v/>
      </c>
      <c r="BC155" s="181">
        <f>IFERROR(INDEX(Program_01!BF:BF,MATCH($B155,Program_01!$A:$A,0)),"")</f>
        <v>46230</v>
      </c>
      <c r="BD155" s="188">
        <f ca="1">IFERROR(INDEX(Program_01!BG:BG,MATCH($B155,Program_01!$A:$A,0)),"")</f>
        <v>58</v>
      </c>
      <c r="BE155" s="181">
        <f>IFERROR(INDEX(Program_01!BH:BH,MATCH($B155,Program_01!$A:$A,0)),"")</f>
        <v>46288</v>
      </c>
      <c r="BF155" s="189">
        <f ca="1">IFERROR(INDEX(Program_01!BI:BI,MATCH($B155,Program_01!$A:$A,0)),"")</f>
        <v>12</v>
      </c>
      <c r="BG155" s="181">
        <f>IFERROR(INDEX(Program_01!BJ:BJ,MATCH($B155,Program_01!$A:$A,0)),"")</f>
        <v>0</v>
      </c>
      <c r="BH155" s="189">
        <f ca="1">IFERROR(INDEX(Program_01!BK:BK,MATCH($B155,Program_01!$A:$A,0)),"")</f>
        <v>0</v>
      </c>
      <c r="BI155" s="181">
        <f>IFERROR(INDEX(Program_01!BL:BL,MATCH($B155,Program_01!$A:$A,0)),"")</f>
        <v>0</v>
      </c>
      <c r="BK155" s="190" t="str">
        <f>IFERROR(IF(INDEX(Program_01!$BX:$BX,MATCH($B155,Program_01!$A:$A,0))=DATE(1900,1,0),"",INDEX(Program_01!$BX:$BX,MATCH($B155,Program_01!$A:$A,0))),"")</f>
        <v/>
      </c>
      <c r="BL155" s="190" t="str">
        <f>IFERROR(IF(INDEX(Program_01!$BY:$BY,MATCH($B155,Program_01!$A:$A,0))=DATE(1900,1,0),"",INDEX(Program_01!$BY:$BY,MATCH($B155,Program_01!$A:$A,0))),"")</f>
        <v/>
      </c>
      <c r="BM155" s="188" t="str">
        <f t="shared" ca="1" si="69"/>
        <v/>
      </c>
      <c r="BN155" s="191">
        <f t="shared" ca="1" si="70"/>
        <v>70</v>
      </c>
      <c r="BO155" s="188" t="str">
        <f t="shared" si="61"/>
        <v/>
      </c>
      <c r="BP155" s="188" t="str">
        <f t="shared" si="6"/>
        <v/>
      </c>
      <c r="BQ155" s="188" t="str">
        <f t="shared" ca="1" si="71"/>
        <v/>
      </c>
      <c r="BR155" s="181" t="str">
        <f t="shared" ca="1" si="62"/>
        <v/>
      </c>
      <c r="BT155" s="190" t="str">
        <f>IFERROR(IF(INDEX(Program_01!$BZ:$BZ,MATCH($B155,Program_01!$A:$A,0))=DATE(1900,1,0),"",INDEX(Program_01!$BZ:$BZ,MATCH($B155,Program_01!$A:$A,0))),"")</f>
        <v/>
      </c>
      <c r="BU155" s="182" t="str">
        <f t="shared" ca="1" si="48"/>
        <v/>
      </c>
      <c r="BV155" s="188" t="str">
        <f t="shared" si="63"/>
        <v/>
      </c>
      <c r="BW155" s="188" t="str">
        <f t="shared" si="8"/>
        <v/>
      </c>
      <c r="BX155" s="188" t="str">
        <f t="shared" ca="1" si="64"/>
        <v/>
      </c>
      <c r="BY155" s="181" t="str">
        <f t="shared" ca="1" si="65"/>
        <v/>
      </c>
      <c r="CA155" s="192" t="str">
        <f t="shared" si="49"/>
        <v>N</v>
      </c>
      <c r="CB155" s="192" t="str">
        <f t="shared" si="50"/>
        <v>N</v>
      </c>
      <c r="CC155" s="193">
        <f>IFERROR(INDEX(Program_01!$CE:$CE,MATCH($B155,Program_01!$A:$A,0)),"")</f>
        <v>46168</v>
      </c>
      <c r="CD155" s="193">
        <f t="shared" si="66"/>
        <v>46168</v>
      </c>
      <c r="CG155" s="194">
        <f>IFERROR(INDEX(Program_01!$AT:$AT,MATCH($B155,Program_01!$A:$A,0)),"")</f>
        <v>0</v>
      </c>
      <c r="CH155" s="194">
        <f>IFERROR(INDEX(Program_01!$AX:$AX,MATCH($B155,Program_01!$A:$A,0)),"")</f>
        <v>0</v>
      </c>
    </row>
    <row r="156" spans="1:86" s="187" customFormat="1" ht="381.75" customHeight="1">
      <c r="A156" s="174" t="s">
        <v>1</v>
      </c>
      <c r="B156" s="175">
        <f t="shared" si="42"/>
        <v>138</v>
      </c>
      <c r="C156" s="176" t="str">
        <f>IFERROR(INDEX(Program_01!$B:$B,MATCH($B156,Program_01!$A:$A,0)),"")</f>
        <v>FULL TIA EAR</v>
      </c>
      <c r="D156" s="176" t="str">
        <f>IFERROR(INDEX(Program_01!$D:$D,MATCH($B156,Program_01!$A:$A,0)),"")</f>
        <v>1TB01002C22</v>
      </c>
      <c r="E156" s="176" t="str">
        <f>IFERROR(INDEX(Program_01!$E:$E,MATCH($B156,Program_01!$A:$A,0)),"")</f>
        <v>1.TB.01.002.99</v>
      </c>
      <c r="F156" s="176" t="str">
        <f>IFERROR(INDEX(Program_01!$F:$F,MATCH($B156,Program_01!$A:$A,0)),"")</f>
        <v>Marina Lifestyle Hotel &amp; Village</v>
      </c>
      <c r="G156" s="176" t="str">
        <f>IFERROR(INDEX(Program_01!$G:$G,MATCH($B156,Program_01!$A:$A,0)),"")</f>
        <v>Structural Steel Works</v>
      </c>
      <c r="H156" s="176" t="str">
        <f>IFERROR(INDEX(Program_01!$H:$H,MATCH($B156,Program_01!$A:$A,0)),"")</f>
        <v>Cleveland Bridge Steel Co. LTD</v>
      </c>
      <c r="I156" s="176" t="str">
        <f t="shared" si="67"/>
        <v>EOT</v>
      </c>
      <c r="J156" s="176">
        <f>IFERROR(INDEX(Program_01!$I:$I,MATCH($B156,Program_01!$A:$A,0)),"")</f>
        <v>1</v>
      </c>
      <c r="K156" s="176">
        <f>IFERROR(INDEX(Program_01!$J:$J,MATCH($B156,Program_01!$A:$A,0)),"")</f>
        <v>0</v>
      </c>
      <c r="L156" s="176">
        <f>IFERROR(INDEX(Program_01!$K:$K,MATCH($B156,Program_01!$A:$A,0)),"")</f>
        <v>0</v>
      </c>
      <c r="M156" s="176">
        <f>IFERROR(INDEX(Program_01!$L:$L,MATCH($B156,Program_01!$A:$A,0)),"")</f>
        <v>0</v>
      </c>
      <c r="N156" s="176">
        <f>IFERROR(INDEX(Program_01!$L:$L,MATCH($B156,Program_01!$A:$A,0)),"")</f>
        <v>0</v>
      </c>
      <c r="O156" s="176">
        <f>IFERROR(INDEX(Program_01!$N:$N,MATCH($B156,Program_01!$A:$A,0)),"")</f>
        <v>0</v>
      </c>
      <c r="P156" s="178"/>
      <c r="Q156" s="179" t="str">
        <f>IFERROR(INDEX(Program_01!$C:$C,MATCH($B156,Program_01!$A:$A,0)),"")</f>
        <v>Extension of Time Claim (EOT-02)</v>
      </c>
      <c r="R156" s="176" t="str">
        <f>IFERROR(INDEX(Program_01!$V:$V,MATCH($B156,Program_01!$A:$A,0)),"")</f>
        <v xml:space="preserve">CBE01002-GENCORR-000060 </v>
      </c>
      <c r="S156" s="180">
        <f>IFERROR(INDEX(Program_01!$W:$W,MATCH($B156,Program_01!$A:$A,0)),"")</f>
        <v>46121</v>
      </c>
      <c r="T156" s="178"/>
      <c r="U156" s="176">
        <f>IFERROR(INDEX(Program_01!$Z:$Z,MATCH($B156,Program_01!$A:$A,0)),"")</f>
        <v>0</v>
      </c>
      <c r="V156" s="181" t="str">
        <f>IFERROR(INDEX(Program_01!$AA:$AA,MATCH($B156,Program_01!$A:$A,0)),"")</f>
        <v>N/A</v>
      </c>
      <c r="W156" s="182" t="str">
        <f t="shared" ca="1" si="0"/>
        <v/>
      </c>
      <c r="X156" s="51"/>
      <c r="Y156" s="179">
        <f>IFERROR(INDEX(Program_01!$BD:$BD,MATCH($B156,Program_01!$A:$A,0)),"")</f>
        <v>0</v>
      </c>
      <c r="Z156" s="51"/>
      <c r="AA156" s="183" t="str">
        <f>IFERROR(IF((INDEX(Program_01!$AD:$AD,MATCH($B156,Program_01!$A:$A,0))=""),INDEX(Program_01!$V:$V,MATCH($B156,Program_01!$A:$A,0)),INDEX(Program_01!$AD:$AD,MATCH($B156,Program_01!$A:$A,0))),"")</f>
        <v>1TB01002-002C22-CBE-LTR-0035.pdf
CBE01002-GENCORR-000065
CBE01002-GENCORR-000066</v>
      </c>
      <c r="AB156" s="147">
        <f>IFERROR(IF((INDEX(Program_01!$AE:$AE,MATCH($B156,Program_01!$A:$A,0))=""),INDEX(Program_01!$W:$W,MATCH($B156,Program_01!$A:$A,0)),INDEX(Program_01!$AE:$AE,MATCH($B156,Program_01!$A:$A,0))),"")</f>
        <v>46162</v>
      </c>
      <c r="AC156" s="183" t="str">
        <f>IFERROR(IF($I156="EOT",INDEX(Program_01!$AN:$AN,MATCH($B156,Program_01!$A:$A,0)),INDEX(Program_01!$AY:$AY,MATCH($B156,Program_01!$A:$A,0))),"")</f>
        <v>01 Oct 26: Workflow initiated via WF-044527</v>
      </c>
      <c r="AD156" s="181">
        <f>IFERROR(IF($I156="EOT",INDEX(Program_01!$AO:$AO,MATCH($B156,Program_01!$A:$A,0)),INDEX(Program_01!$AZ:$AZ,MATCH($B156,Program_01!$A:$A,0))),"")</f>
        <v>46303</v>
      </c>
      <c r="AE156" s="51"/>
      <c r="AF156" s="183"/>
      <c r="AG156" s="181"/>
      <c r="AH156" s="183" t="str">
        <f>IF(OR($D156="",$AS156="VO Issued",$AS156="Open"),"",IF(OR($AC156="Rejected",$AC156="Superseded",$AC156="Dealt Separately"),$AC156,IF($I156="EOT",INDEX(Program_01!$AR:$AR,MATCH($B156,Program_01!$A:$A,0)),INDEX(Program_01!$BB:$BB,MATCH($B156,Program_01!$A:$A,0)))))</f>
        <v/>
      </c>
      <c r="AI156" s="181" t="str">
        <f>IF(OR($A156="",$B156="",$I156="",$AS156="VO Issued",$AS156="Open"),"",IF(OR($AD156="N/A"),$AD156,IF($I156="EOT",INDEX(Program_01!$AS:$AS,MATCH($B156,Program_01!$A:$A,0)),INDEX(Program_01!$BC:$BC,MATCH($B156,Program_01!$A:$A,0)))))</f>
        <v/>
      </c>
      <c r="AJ156" s="183" t="str">
        <f>IF(OR($D156="",$I156="",$AS156="Determination Issued",$AS156="Rejected",$AS156="Open"),"",IF(OR($AH156="Rejected",$AH156="Dealt Separately",$AH156="Superseded",$AH156="Withdrawn"),"N/A",IF($I156="EOT",INDEX(Program_01!AR:AR,MATCH($B156,Program_01!A:A,0)),INDEX(Program_01!BB:BB,MATCH($B156,Program_01!A:A,0)))))</f>
        <v/>
      </c>
      <c r="AK156" s="181" t="str">
        <f>IF(OR($A156="",$B156="",$I156="",$AS156="Determination Issued",$AS156="Rejected",$AS156="Open"),"",IF($AJ156="N/A","N/A",IF($I156="EOT",INDEX(Program_01!AS:AS,MATCH($B156,Program_01!A:A,0)),INDEX(Program_01!BC:BC,MATCH($B156,Program_01!A:A,0)))))</f>
        <v/>
      </c>
      <c r="AL156" s="51"/>
      <c r="AM156" s="184">
        <f>IFERROR(INDEX(Program_01!$BT:$BT,MATCH($B156,Program_01!$A:$A,0)),"")</f>
        <v>0</v>
      </c>
      <c r="AN156" s="184">
        <f>IFERROR(INDEX(Program_01!$BU:$BU,MATCH($B156,Program_01!$A:$A,0)),"")</f>
        <v>0</v>
      </c>
      <c r="AO156" s="184">
        <f>IFERROR(INDEX(Program_01!$BV:$BV,MATCH($B156,Program_01!$A:$A,0)),"")</f>
        <v>0</v>
      </c>
      <c r="AP156" s="51" t="str">
        <f t="shared" si="46"/>
        <v/>
      </c>
      <c r="AQ156" s="184">
        <f>IFERROR(INDEX(Program_01!$BN:$BN,MATCH($B156,Program_01!$A:$A,0)),"")</f>
        <v>0</v>
      </c>
      <c r="AR156" s="184" t="str">
        <f>IFERROR(INDEX(Program_01!$BO:$BO,MATCH($B156,Program_01!$A:$A,0)),"")</f>
        <v>Assessment Report Issued</v>
      </c>
      <c r="AS156" s="184" t="str">
        <f>IFERROR(INDEX(Program_01!$BP:$BP,MATCH($B156,Program_01!$A:$A,0)),"")</f>
        <v>Open</v>
      </c>
      <c r="AT156" s="185" t="str">
        <f>IFERROR(INDEX(Program_01!$BQ:$BQ,MATCH($B156,Program_01!$A:$A,0)),"")</f>
        <v>Assessment in WF</v>
      </c>
      <c r="AU156" s="179" t="str">
        <f>IFERROR(INDEX(Program_01!$BR:$BR,MATCH($B156,Program_01!$A:$A,0)),"")</f>
        <v>31 May 26: Contractor submitted a consolidated claim that included DEs already assessed in EOT 1 and a new Delay event. the EAR reaffirms the Employer's position as set out in the earlier EARs, noting that the Contractor has not provided any additional particulars or substantiating information, other than an updated programme submitted in support of its Time Impact Analysis (TIA). Draft EAr sent to claims team for review
01 Jun 26: EAR sent back to commercial with comments
04 Jun 26: Ditto
15 Jun 26: with commercial to update and resubmit for further review
20 Jun 26: Draft EAR sent to claims team for review
25 Jun 26: EAR sent to planning team for TIA
28 June 26: EAR sent to Planning for TIA on 25 June 26
02 Jul 26: EAR sent back to commercial to provide chronology for the events which were ongoing in EOT1, Updated draft EAR sent to claims team for final review prior to TIA
05 Jul 26: Commercial to update and submit the final draft for TIA
06 Jul 26: Draf EAR updated sent to claims team for review prior to TIA
07 Jul 26: EAR sent to planning team for TIA
13 Jul 26: Ditto, Targeted to conclude TIA by 20 Jul 26
20 Jul 26: Targeted to revert by 26 Jul 26
26 Jul 26 : -Ditto-, TIA action with Planning team 
29 Jul 26: TIA incorporated and sent to commercial for finalisation
08 Aug 26:  EAR under finalization by Commercial , target to complete by 12 Aug 26
23 Aug 26: Yet to receive the feedback from Claims team based on the Planning team's email dated 29 JUly 2026. 
29 Aug 26: updated to EAR addressing planning's comments sent to claims team for review
06 Sep 26: EAR sent back from Claims to commercial with comments
12 Sep 26: updated EAR sent to claims team for review
21 Sep 26: Targeted to revert by 26 Sep 26
23 Sep 26: EAR approved and sent back to commercial for WF process
01 Oct 26: Workflow initiated via WF-044527</v>
      </c>
      <c r="AV156" s="186" t="str">
        <f t="shared" si="58"/>
        <v/>
      </c>
      <c r="AW156" s="186" t="str">
        <f t="shared" si="47"/>
        <v>OPEN</v>
      </c>
      <c r="AX156" s="186" t="str">
        <f t="shared" si="59"/>
        <v>OPEN</v>
      </c>
      <c r="AY156" s="181">
        <f t="shared" si="68"/>
        <v>46162</v>
      </c>
      <c r="AZ156" s="181">
        <f t="shared" si="60"/>
        <v>46303</v>
      </c>
      <c r="BA156" s="181" t="str">
        <f t="shared" si="4"/>
        <v/>
      </c>
      <c r="BC156" s="181">
        <f>IFERROR(INDEX(Program_01!BF:BF,MATCH($B156,Program_01!$A:$A,0)),"")</f>
        <v>46162</v>
      </c>
      <c r="BD156" s="188">
        <f ca="1">IFERROR(INDEX(Program_01!BG:BG,MATCH($B156,Program_01!$A:$A,0)),"")</f>
        <v>36</v>
      </c>
      <c r="BE156" s="181">
        <f>IFERROR(INDEX(Program_01!BH:BH,MATCH($B156,Program_01!$A:$A,0)),"")</f>
        <v>46198</v>
      </c>
      <c r="BF156" s="189">
        <f ca="1">IFERROR(INDEX(Program_01!BI:BI,MATCH($B156,Program_01!$A:$A,0)),"")</f>
        <v>34</v>
      </c>
      <c r="BG156" s="181">
        <f>IFERROR(INDEX(Program_01!BJ:BJ,MATCH($B156,Program_01!$A:$A,0)),"")</f>
        <v>46232</v>
      </c>
      <c r="BH156" s="189">
        <f ca="1">IFERROR(INDEX(Program_01!BK:BK,MATCH($B156,Program_01!$A:$A,0)),"")</f>
        <v>68</v>
      </c>
      <c r="BI156" s="181">
        <f>IFERROR(INDEX(Program_01!BL:BL,MATCH($B156,Program_01!$A:$A,0)),"")</f>
        <v>0</v>
      </c>
      <c r="BK156" s="190">
        <f>IFERROR(IF(INDEX(Program_01!$BX:$BX,MATCH($B156,Program_01!$A:$A,0))=DATE(1900,1,0),"",INDEX(Program_01!$BX:$BX,MATCH($B156,Program_01!$A:$A,0))),"")</f>
        <v>46296</v>
      </c>
      <c r="BL156" s="190" t="str">
        <f>IFERROR(IF(INDEX(Program_01!$BY:$BY,MATCH($B156,Program_01!$A:$A,0))=DATE(1900,1,0),"",INDEX(Program_01!$BY:$BY,MATCH($B156,Program_01!$A:$A,0))),"")</f>
        <v/>
      </c>
      <c r="BM156" s="188">
        <f t="shared" ca="1" si="69"/>
        <v>141</v>
      </c>
      <c r="BN156" s="191">
        <f t="shared" ca="1" si="70"/>
        <v>141</v>
      </c>
      <c r="BO156" s="188">
        <f t="shared" ca="1" si="61"/>
        <v>141</v>
      </c>
      <c r="BP156" s="188" t="str">
        <f t="shared" si="6"/>
        <v>1</v>
      </c>
      <c r="BQ156" s="188" t="str">
        <f t="shared" ca="1" si="71"/>
        <v/>
      </c>
      <c r="BR156" s="181" t="str">
        <f t="shared" ca="1" si="62"/>
        <v/>
      </c>
      <c r="BT156" s="190" t="str">
        <f>IFERROR(IF(INDEX(Program_01!$BZ:$BZ,MATCH($B156,Program_01!$A:$A,0))=DATE(1900,1,0),"",INDEX(Program_01!$BZ:$BZ,MATCH($B156,Program_01!$A:$A,0))),"")</f>
        <v/>
      </c>
      <c r="BU156" s="182" t="str">
        <f t="shared" ca="1" si="48"/>
        <v/>
      </c>
      <c r="BV156" s="188" t="str">
        <f t="shared" si="63"/>
        <v/>
      </c>
      <c r="BW156" s="188" t="str">
        <f t="shared" si="8"/>
        <v/>
      </c>
      <c r="BX156" s="188" t="str">
        <f t="shared" ca="1" si="64"/>
        <v/>
      </c>
      <c r="BY156" s="181" t="str">
        <f t="shared" ca="1" si="65"/>
        <v/>
      </c>
      <c r="CA156" s="192" t="str">
        <f t="shared" si="49"/>
        <v>Y</v>
      </c>
      <c r="CB156" s="192" t="str">
        <f t="shared" si="50"/>
        <v>N</v>
      </c>
      <c r="CC156" s="193">
        <f>IFERROR(INDEX(Program_01!$CE:$CE,MATCH($B156,Program_01!$A:$A,0)),"")</f>
        <v>46173</v>
      </c>
      <c r="CD156" s="193">
        <f t="shared" si="66"/>
        <v>46173</v>
      </c>
      <c r="CG156" s="194">
        <f>IFERROR(INDEX(Program_01!$AT:$AT,MATCH($B156,Program_01!$A:$A,0)),"")</f>
        <v>0</v>
      </c>
      <c r="CH156" s="194">
        <f>IFERROR(INDEX(Program_01!$AX:$AX,MATCH($B156,Program_01!$A:$A,0)),"")</f>
        <v>0</v>
      </c>
    </row>
    <row r="157" spans="1:86" s="187" customFormat="1" ht="136">
      <c r="A157" s="174" t="s">
        <v>1</v>
      </c>
      <c r="B157" s="175">
        <f t="shared" si="42"/>
        <v>139</v>
      </c>
      <c r="C157" s="176" t="str">
        <f>IFERROR(INDEX(Program_01!$B:$B,MATCH($B157,Program_01!$A:$A,0)),"")</f>
        <v>FULL TIA EAR</v>
      </c>
      <c r="D157" s="176" t="str">
        <f>IFERROR(INDEX(Program_01!$D:$D,MATCH($B157,Program_01!$A:$A,0)),"")</f>
        <v>1TB01003C09</v>
      </c>
      <c r="E157" s="176" t="str">
        <f>IFERROR(INDEX(Program_01!$E:$E,MATCH($B157,Program_01!$A:$A,0)),"")</f>
        <v>1.TB.01.003.01</v>
      </c>
      <c r="F157" s="176" t="str">
        <f>IFERROR(INDEX(Program_01!$F:$F,MATCH($B157,Program_01!$A:$A,0)),"")</f>
        <v xml:space="preserve">AMAALA Yacht Club </v>
      </c>
      <c r="G157" s="176" t="str">
        <f>IFERROR(INDEX(Program_01!$G:$G,MATCH($B157,Program_01!$A:$A,0)),"")</f>
        <v>Fit-out works for Amaala Yacht Club</v>
      </c>
      <c r="H157" s="176" t="str">
        <f>IFERROR(INDEX(Program_01!$H:$H,MATCH($B157,Program_01!$A:$A,0)),"")</f>
        <v>DEPA Saudi Arabia for Contracting and Interior Decoration Co. Ltd</v>
      </c>
      <c r="I157" s="176" t="str">
        <f t="shared" si="67"/>
        <v>EOT</v>
      </c>
      <c r="J157" s="176">
        <f>IFERROR(INDEX(Program_01!$I:$I,MATCH($B157,Program_01!$A:$A,0)),"")</f>
        <v>1</v>
      </c>
      <c r="K157" s="176">
        <f>IFERROR(INDEX(Program_01!$J:$J,MATCH($B157,Program_01!$A:$A,0)),"")</f>
        <v>0</v>
      </c>
      <c r="L157" s="176">
        <f>IFERROR(INDEX(Program_01!$K:$K,MATCH($B157,Program_01!$A:$A,0)),"")</f>
        <v>0</v>
      </c>
      <c r="M157" s="176">
        <f>IFERROR(INDEX(Program_01!$L:$L,MATCH($B157,Program_01!$A:$A,0)),"")</f>
        <v>0</v>
      </c>
      <c r="N157" s="176">
        <f>IFERROR(INDEX(Program_01!$L:$L,MATCH($B157,Program_01!$A:$A,0)),"")</f>
        <v>0</v>
      </c>
      <c r="O157" s="176">
        <f>IFERROR(INDEX(Program_01!$N:$N,MATCH($B157,Program_01!$A:$A,0)),"")</f>
        <v>0</v>
      </c>
      <c r="P157" s="178"/>
      <c r="Q157" s="179" t="str">
        <f>IFERROR(INDEX(Program_01!$C:$C,MATCH($B157,Program_01!$A:$A,0)),"")</f>
        <v>TB AYC - Letter to RSG-Amaala-Contractor’s Claim – Interim Extension of Time For Completion No. 03 - Using Time Impact Analysis - EOT -03</v>
      </c>
      <c r="R157" s="176" t="str">
        <f>IFERROR(INDEX(Program_01!$V:$V,MATCH($B157,Program_01!$A:$A,0)),"")</f>
        <v>1TB01003-003C09-DCC-LTR-0384</v>
      </c>
      <c r="S157" s="180">
        <f>IFERROR(INDEX(Program_01!$W:$W,MATCH($B157,Program_01!$A:$A,0)),"")</f>
        <v>46060</v>
      </c>
      <c r="T157" s="178"/>
      <c r="U157" s="176">
        <f>IFERROR(INDEX(Program_01!$Z:$Z,MATCH($B157,Program_01!$A:$A,0)),"")</f>
        <v>0</v>
      </c>
      <c r="V157" s="181">
        <f>IFERROR(INDEX(Program_01!$AA:$AA,MATCH($B157,Program_01!$A:$A,0)),"")</f>
        <v>0</v>
      </c>
      <c r="W157" s="182">
        <f t="shared" ca="1" si="0"/>
        <v>240</v>
      </c>
      <c r="X157" s="51"/>
      <c r="Y157" s="179">
        <f>IFERROR(INDEX(Program_01!$BD:$BD,MATCH($B157,Program_01!$A:$A,0)),"")</f>
        <v>0</v>
      </c>
      <c r="Z157" s="51"/>
      <c r="AA157" s="183" t="str">
        <f>IFERROR(IF((INDEX(Program_01!$AD:$AD,MATCH($B157,Program_01!$A:$A,0))=""),INDEX(Program_01!$V:$V,MATCH($B157,Program_01!$A:$A,0)),INDEX(Program_01!$AD:$AD,MATCH($B157,Program_01!$A:$A,0))),"")</f>
        <v>1TB01003-003C09-DCC-LTR-0384</v>
      </c>
      <c r="AB157" s="147">
        <f>IFERROR(IF((INDEX(Program_01!$AE:$AE,MATCH($B157,Program_01!$A:$A,0))=""),INDEX(Program_01!$W:$W,MATCH($B157,Program_01!$A:$A,0)),INDEX(Program_01!$AE:$AE,MATCH($B157,Program_01!$A:$A,0))),"")</f>
        <v>46060</v>
      </c>
      <c r="AC157" s="183">
        <f>IFERROR(IF($I157="EOT",INDEX(Program_01!$AN:$AN,MATCH($B157,Program_01!$A:$A,0)),INDEX(Program_01!$AY:$AY,MATCH($B157,Program_01!$A:$A,0))),"")</f>
        <v>0</v>
      </c>
      <c r="AD157" s="181">
        <f>IFERROR(IF($I157="EOT",INDEX(Program_01!$AO:$AO,MATCH($B157,Program_01!$A:$A,0)),INDEX(Program_01!$AZ:$AZ,MATCH($B157,Program_01!$A:$A,0))),"")</f>
        <v>0</v>
      </c>
      <c r="AE157" s="51"/>
      <c r="AF157" s="183"/>
      <c r="AG157" s="181"/>
      <c r="AH157" s="183" t="str">
        <f>IF(OR($D157="",$AS157="VO Issued",$AS157="Open"),"",IF(OR($AC157="Rejected",$AC157="Superseded",$AC157="Dealt Separately"),$AC157,IF($I157="EOT",INDEX(Program_01!$AR:$AR,MATCH($B157,Program_01!$A:$A,0)),INDEX(Program_01!$BB:$BB,MATCH($B157,Program_01!$A:$A,0)))))</f>
        <v/>
      </c>
      <c r="AI157" s="181" t="str">
        <f>IF(OR($A157="",$B157="",$I157="",$AS157="VO Issued",$AS157="Open"),"",IF(OR($AD157="N/A"),$AD157,IF($I157="EOT",INDEX(Program_01!$AS:$AS,MATCH($B157,Program_01!$A:$A,0)),INDEX(Program_01!$BC:$BC,MATCH($B157,Program_01!$A:$A,0)))))</f>
        <v/>
      </c>
      <c r="AJ157" s="183" t="str">
        <f>IF(OR($D157="",$I157="",$AS157="Determination Issued",$AS157="Rejected",$AS157="Open"),"",IF(OR($AH157="Rejected",$AH157="Dealt Separately",$AH157="Superseded",$AH157="Withdrawn"),"N/A",IF($I157="EOT",INDEX(Program_01!AR:AR,MATCH($B157,Program_01!A:A,0)),INDEX(Program_01!BB:BB,MATCH($B157,Program_01!A:A,0)))))</f>
        <v/>
      </c>
      <c r="AK157" s="181" t="str">
        <f>IF(OR($A157="",$B157="",$I157="",$AS157="Determination Issued",$AS157="Rejected",$AS157="Open"),"",IF($AJ157="N/A","N/A",IF($I157="EOT",INDEX(Program_01!AS:AS,MATCH($B157,Program_01!A:A,0)),INDEX(Program_01!BC:BC,MATCH($B157,Program_01!A:A,0)))))</f>
        <v/>
      </c>
      <c r="AL157" s="51"/>
      <c r="AM157" s="184" t="str">
        <f>IFERROR(INDEX(Program_01!$BT:$BT,MATCH($B157,Program_01!$A:$A,0)),"")</f>
        <v>Revise &amp; resubmit</v>
      </c>
      <c r="AN157" s="184">
        <f>IFERROR(INDEX(Program_01!$BU:$BU,MATCH($B157,Program_01!$A:$A,0)),"")</f>
        <v>0</v>
      </c>
      <c r="AO157" s="184">
        <f>IFERROR(INDEX(Program_01!$BV:$BV,MATCH($B157,Program_01!$A:$A,0)),"")</f>
        <v>0</v>
      </c>
      <c r="AP157" s="51" t="str">
        <f t="shared" si="46"/>
        <v/>
      </c>
      <c r="AQ157" s="184">
        <f>IFERROR(INDEX(Program_01!$BN:$BN,MATCH($B157,Program_01!$A:$A,0)),"")</f>
        <v>0</v>
      </c>
      <c r="AR157" s="184" t="str">
        <f>IFERROR(INDEX(Program_01!$BO:$BO,MATCH($B157,Program_01!$A:$A,0)),"")</f>
        <v>Pending</v>
      </c>
      <c r="AS157" s="184" t="str">
        <f>IFERROR(INDEX(Program_01!$BP:$BP,MATCH($B157,Program_01!$A:$A,0)),"")</f>
        <v>Open</v>
      </c>
      <c r="AT157" s="185" t="str">
        <f>IFERROR(INDEX(Program_01!$BQ:$BQ,MATCH($B157,Program_01!$A:$A,0)),"")</f>
        <v>Contractor</v>
      </c>
      <c r="AU157" s="179" t="str">
        <f>IFERROR(INDEX(Program_01!$BR:$BR,MATCH($B157,Program_01!$A:$A,0)),"")</f>
        <v>31 May 26: Draft EAR (Commercial) sent to Rufino for review prior to issuance to Claims Team.
04 Jun 26: Target 15 Jun 26.
09 Jun 26: letter issued to contractor to resubmit with further particulars via letter ref AMA01003-GENCORR-001555
15 Jun 26: Ditto, awaiting response from contractor
13 Jul 26: Ditto
26 July 26: Ditto
10 Aug 26: Ditto, commercial to issue a follow up letter
07 Sep 26: Ditto</v>
      </c>
      <c r="AV157" s="186" t="str">
        <f t="shared" si="58"/>
        <v/>
      </c>
      <c r="AW157" s="186" t="str">
        <f t="shared" si="47"/>
        <v>OPEN</v>
      </c>
      <c r="AX157" s="186" t="str">
        <f t="shared" si="59"/>
        <v>OPEN</v>
      </c>
      <c r="AY157" s="181">
        <f t="shared" si="68"/>
        <v>46060</v>
      </c>
      <c r="AZ157" s="181" t="str">
        <f t="shared" si="60"/>
        <v/>
      </c>
      <c r="BA157" s="181" t="str">
        <f t="shared" si="4"/>
        <v/>
      </c>
      <c r="BC157" s="181">
        <f>IFERROR(INDEX(Program_01!BF:BF,MATCH($B157,Program_01!$A:$A,0)),"")</f>
        <v>46060</v>
      </c>
      <c r="BD157" s="188">
        <f ca="1">IFERROR(INDEX(Program_01!BG:BG,MATCH($B157,Program_01!$A:$A,0)),"")</f>
        <v>0</v>
      </c>
      <c r="BE157" s="181">
        <f>IFERROR(INDEX(Program_01!BH:BH,MATCH($B157,Program_01!$A:$A,0)),"")</f>
        <v>0</v>
      </c>
      <c r="BF157" s="189">
        <f ca="1">IFERROR(INDEX(Program_01!BI:BI,MATCH($B157,Program_01!$A:$A,0)),"")</f>
        <v>0</v>
      </c>
      <c r="BG157" s="181">
        <f>IFERROR(INDEX(Program_01!BJ:BJ,MATCH($B157,Program_01!$A:$A,0)),"")</f>
        <v>0</v>
      </c>
      <c r="BH157" s="189">
        <f ca="1">IFERROR(INDEX(Program_01!BK:BK,MATCH($B157,Program_01!$A:$A,0)),"")</f>
        <v>0</v>
      </c>
      <c r="BI157" s="181">
        <f>IFERROR(INDEX(Program_01!BL:BL,MATCH($B157,Program_01!$A:$A,0)),"")</f>
        <v>0</v>
      </c>
      <c r="BK157" s="190" t="str">
        <f>IFERROR(IF(INDEX(Program_01!$BX:$BX,MATCH($B157,Program_01!$A:$A,0))=DATE(1900,1,0),"",INDEX(Program_01!$BX:$BX,MATCH($B157,Program_01!$A:$A,0))),"")</f>
        <v/>
      </c>
      <c r="BL157" s="190" t="str">
        <f>IFERROR(IF(INDEX(Program_01!$BY:$BY,MATCH($B157,Program_01!$A:$A,0))=DATE(1900,1,0),"",INDEX(Program_01!$BY:$BY,MATCH($B157,Program_01!$A:$A,0))),"")</f>
        <v/>
      </c>
      <c r="BM157" s="188" t="str">
        <f t="shared" ca="1" si="69"/>
        <v/>
      </c>
      <c r="BN157" s="191">
        <f t="shared" ca="1" si="70"/>
        <v>0</v>
      </c>
      <c r="BO157" s="188" t="str">
        <f t="shared" si="61"/>
        <v/>
      </c>
      <c r="BP157" s="188" t="str">
        <f t="shared" si="6"/>
        <v/>
      </c>
      <c r="BQ157" s="188" t="str">
        <f t="shared" ca="1" si="71"/>
        <v/>
      </c>
      <c r="BR157" s="181" t="str">
        <f t="shared" ca="1" si="62"/>
        <v/>
      </c>
      <c r="BT157" s="190" t="str">
        <f>IFERROR(IF(INDEX(Program_01!$BZ:$BZ,MATCH($B157,Program_01!$A:$A,0))=DATE(1900,1,0),"",INDEX(Program_01!$BZ:$BZ,MATCH($B157,Program_01!$A:$A,0))),"")</f>
        <v/>
      </c>
      <c r="BU157" s="182" t="str">
        <f t="shared" ca="1" si="48"/>
        <v/>
      </c>
      <c r="BV157" s="188" t="str">
        <f t="shared" si="63"/>
        <v/>
      </c>
      <c r="BW157" s="188" t="str">
        <f t="shared" si="8"/>
        <v/>
      </c>
      <c r="BX157" s="188" t="str">
        <f t="shared" ca="1" si="64"/>
        <v/>
      </c>
      <c r="BY157" s="181" t="str">
        <f t="shared" ca="1" si="65"/>
        <v/>
      </c>
      <c r="CA157" s="192" t="str">
        <f t="shared" si="49"/>
        <v>N</v>
      </c>
      <c r="CB157" s="192" t="str">
        <f t="shared" si="50"/>
        <v>N</v>
      </c>
      <c r="CC157" s="193">
        <f>IFERROR(INDEX(Program_01!$CE:$CE,MATCH($B157,Program_01!$A:$A,0)),"")</f>
        <v>46175</v>
      </c>
      <c r="CD157" s="193">
        <f t="shared" si="66"/>
        <v>46175</v>
      </c>
      <c r="CG157" s="194">
        <f>IFERROR(INDEX(Program_01!$AT:$AT,MATCH($B157,Program_01!$A:$A,0)),"")</f>
        <v>0</v>
      </c>
      <c r="CH157" s="194">
        <f>IFERROR(INDEX(Program_01!$AX:$AX,MATCH($B157,Program_01!$A:$A,0)),"")</f>
        <v>0</v>
      </c>
    </row>
    <row r="158" spans="1:86" s="187" customFormat="1" ht="409" customHeight="1">
      <c r="A158" s="174" t="s">
        <v>1</v>
      </c>
      <c r="B158" s="175">
        <f t="shared" ref="B158:B194" si="72">+B157+1</f>
        <v>140</v>
      </c>
      <c r="C158" s="176" t="str">
        <f>IFERROR(INDEX(Program_01!$B:$B,MATCH($B158,Program_01!$A:$A,0)),"")</f>
        <v>FULL TIA EAR</v>
      </c>
      <c r="D158" s="176" t="str">
        <f>IFERROR(INDEX(Program_01!$D:$D,MATCH($B158,Program_01!$A:$A,0)),"")</f>
        <v>1TB01003C09</v>
      </c>
      <c r="E158" s="176" t="str">
        <f>IFERROR(INDEX(Program_01!$E:$E,MATCH($B158,Program_01!$A:$A,0)),"")</f>
        <v>1.TB.01.003.01</v>
      </c>
      <c r="F158" s="176" t="str">
        <f>IFERROR(INDEX(Program_01!$F:$F,MATCH($B158,Program_01!$A:$A,0)),"")</f>
        <v xml:space="preserve">AMAALA Yacht Club </v>
      </c>
      <c r="G158" s="176" t="str">
        <f>IFERROR(INDEX(Program_01!$G:$G,MATCH($B158,Program_01!$A:$A,0)),"")</f>
        <v>Fit-out works for Amaala Yacht Club</v>
      </c>
      <c r="H158" s="176" t="str">
        <f>IFERROR(INDEX(Program_01!$H:$H,MATCH($B158,Program_01!$A:$A,0)),"")</f>
        <v>DEPA Saudi Arabia for Contracting and Interior Decoration Co. Ltd</v>
      </c>
      <c r="I158" s="176" t="str">
        <f t="shared" si="67"/>
        <v>EOT</v>
      </c>
      <c r="J158" s="176">
        <f>IFERROR(INDEX(Program_01!$I:$I,MATCH($B158,Program_01!$A:$A,0)),"")</f>
        <v>1</v>
      </c>
      <c r="K158" s="176">
        <f>IFERROR(INDEX(Program_01!$J:$J,MATCH($B158,Program_01!$A:$A,0)),"")</f>
        <v>0</v>
      </c>
      <c r="L158" s="176">
        <f>IFERROR(INDEX(Program_01!$K:$K,MATCH($B158,Program_01!$A:$A,0)),"")</f>
        <v>0</v>
      </c>
      <c r="M158" s="176">
        <f>IFERROR(INDEX(Program_01!$L:$L,MATCH($B158,Program_01!$A:$A,0)),"")</f>
        <v>0</v>
      </c>
      <c r="N158" s="176">
        <f>IFERROR(INDEX(Program_01!$L:$L,MATCH($B158,Program_01!$A:$A,0)),"")</f>
        <v>0</v>
      </c>
      <c r="O158" s="176">
        <f>IFERROR(INDEX(Program_01!$N:$N,MATCH($B158,Program_01!$A:$A,0)),"")</f>
        <v>0</v>
      </c>
      <c r="P158" s="178"/>
      <c r="Q158" s="179" t="str">
        <f>IFERROR(INDEX(Program_01!$C:$C,MATCH($B158,Program_01!$A:$A,0)),"")</f>
        <v>Extension of Time For Completion No. 02 Rev 01
reassessment of item no. 96 above</v>
      </c>
      <c r="R158" s="176" t="str">
        <f>IFERROR(INDEX(Program_01!$V:$V,MATCH($B158,Program_01!$A:$A,0)),"")</f>
        <v>1TB01003-003C09-DCC-LTR-0410</v>
      </c>
      <c r="S158" s="180">
        <f>IFERROR(INDEX(Program_01!$W:$W,MATCH($B158,Program_01!$A:$A,0)),"")</f>
        <v>46167</v>
      </c>
      <c r="T158" s="178"/>
      <c r="U158" s="176">
        <f>IFERROR(INDEX(Program_01!$Z:$Z,MATCH($B158,Program_01!$A:$A,0)),"")</f>
        <v>0</v>
      </c>
      <c r="V158" s="181" t="str">
        <f>IFERROR(INDEX(Program_01!$AA:$AA,MATCH($B158,Program_01!$A:$A,0)),"")</f>
        <v>N/A</v>
      </c>
      <c r="W158" s="182" t="str">
        <f t="shared" ca="1" si="0"/>
        <v/>
      </c>
      <c r="X158" s="51"/>
      <c r="Y158" s="179">
        <f>IFERROR(INDEX(Program_01!$BD:$BD,MATCH($B158,Program_01!$A:$A,0)),"")</f>
        <v>0</v>
      </c>
      <c r="Z158" s="51"/>
      <c r="AA158" s="183" t="str">
        <f>IFERROR(IF((INDEX(Program_01!$AD:$AD,MATCH($B158,Program_01!$A:$A,0))=""),INDEX(Program_01!$V:$V,MATCH($B158,Program_01!$A:$A,0)),INDEX(Program_01!$AD:$AD,MATCH($B158,Program_01!$A:$A,0))),"")</f>
        <v>1TB01003-003C09-DCC-LTR-0410</v>
      </c>
      <c r="AB158" s="147">
        <f>IFERROR(IF((INDEX(Program_01!$AE:$AE,MATCH($B158,Program_01!$A:$A,0))=""),INDEX(Program_01!$W:$W,MATCH($B158,Program_01!$A:$A,0)),INDEX(Program_01!$AE:$AE,MATCH($B158,Program_01!$A:$A,0))),"")</f>
        <v>46167</v>
      </c>
      <c r="AC158" s="183" t="str">
        <f>IFERROR(IF($I158="EOT",INDEX(Program_01!$AN:$AN,MATCH($B158,Program_01!$A:$A,0)),INDEX(Program_01!$AY:$AY,MATCH($B158,Program_01!$A:$A,0))),"")</f>
        <v>EAR put in Workflow for approval under ref WF-022266 on 02 Aug 26
1TB01003-003C09-AMA-RPT-PM-0004
(AMA01003-WTRAN-053378)
5 Sep 26: Revised EAR issued to DEPA under 1TB01003-003C09-AMA-LTR-0264 for DEPA's review and agreement.</v>
      </c>
      <c r="AD158" s="181">
        <f>IFERROR(IF($I158="EOT",INDEX(Program_01!$AO:$AO,MATCH($B158,Program_01!$A:$A,0)),INDEX(Program_01!$AZ:$AZ,MATCH($B158,Program_01!$A:$A,0))),"")</f>
        <v>46243</v>
      </c>
      <c r="AE158" s="51"/>
      <c r="AF158" s="183"/>
      <c r="AG158" s="181"/>
      <c r="AH158" s="183" t="str">
        <f>IF(OR($D158="",$AS158="VO Issued",$AS158="Open"),"",IF(OR($AC158="Rejected",$AC158="Superseded",$AC158="Dealt Separately"),$AC158,IF($I158="EOT",INDEX(Program_01!$AR:$AR,MATCH($B158,Program_01!$A:$A,0)),INDEX(Program_01!$BB:$BB,MATCH($B158,Program_01!$A:$A,0)))))</f>
        <v/>
      </c>
      <c r="AI158" s="181" t="str">
        <f>IF(OR($A158="",$B158="",$I158="",$AS158="VO Issued",$AS158="Open"),"",IF(OR($AD158="N/A"),$AD158,IF($I158="EOT",INDEX(Program_01!$AS:$AS,MATCH($B158,Program_01!$A:$A,0)),INDEX(Program_01!$BC:$BC,MATCH($B158,Program_01!$A:$A,0)))))</f>
        <v/>
      </c>
      <c r="AJ158" s="183" t="str">
        <f>IF(OR($D158="",$I158="",$AS158="Determination Issued",$AS158="Rejected",$AS158="Open"),"",IF(OR($AH158="Rejected",$AH158="Dealt Separately",$AH158="Superseded",$AH158="Withdrawn"),"N/A",IF($I158="EOT",INDEX(Program_01!AR:AR,MATCH($B158,Program_01!A:A,0)),INDEX(Program_01!BB:BB,MATCH($B158,Program_01!A:A,0)))))</f>
        <v/>
      </c>
      <c r="AK158" s="181" t="str">
        <f>IF(OR($A158="",$B158="",$I158="",$AS158="Determination Issued",$AS158="Rejected",$AS158="Open"),"",IF($AJ158="N/A","N/A",IF($I158="EOT",INDEX(Program_01!AS:AS,MATCH($B158,Program_01!A:A,0)),INDEX(Program_01!BC:BC,MATCH($B158,Program_01!A:A,0)))))</f>
        <v/>
      </c>
      <c r="AL158" s="51"/>
      <c r="AM158" s="184">
        <f>IFERROR(INDEX(Program_01!$BT:$BT,MATCH($B158,Program_01!$A:$A,0)),"")</f>
        <v>0</v>
      </c>
      <c r="AN158" s="184">
        <f>IFERROR(INDEX(Program_01!$BU:$BU,MATCH($B158,Program_01!$A:$A,0)),"")</f>
        <v>0</v>
      </c>
      <c r="AO158" s="184">
        <f>IFERROR(INDEX(Program_01!$BV:$BV,MATCH($B158,Program_01!$A:$A,0)),"")</f>
        <v>0</v>
      </c>
      <c r="AP158" s="51" t="str">
        <f t="shared" si="46"/>
        <v/>
      </c>
      <c r="AQ158" s="184">
        <f>IFERROR(INDEX(Program_01!$BN:$BN,MATCH($B158,Program_01!$A:$A,0)),"")</f>
        <v>0</v>
      </c>
      <c r="AR158" s="184" t="str">
        <f>IFERROR(INDEX(Program_01!$BO:$BO,MATCH($B158,Program_01!$A:$A,0)),"")</f>
        <v>Assessment Report Issued</v>
      </c>
      <c r="AS158" s="184" t="str">
        <f>IFERROR(INDEX(Program_01!$BP:$BP,MATCH($B158,Program_01!$A:$A,0)),"")</f>
        <v>Open</v>
      </c>
      <c r="AT158" s="185" t="str">
        <f>IFERROR(INDEX(Program_01!$BQ:$BQ,MATCH($B158,Program_01!$A:$A,0)),"")</f>
        <v>Contractor</v>
      </c>
      <c r="AU158" s="179" t="str">
        <f>IFERROR(INDEX(Program_01!$BR:$BR,MATCH($B158,Program_01!$A:$A,0)),"")</f>
        <v>27 Jan 26: TIA incorporated and sent to commercial for finalisation
09 Feb 26: Commercial drafting a letter to response to EOT 01 DEPA . Then EAR would be finalized by BK
18 Feb 26: Final Draft EAR sent to Claims Team for Pre-approval
23 Feb 26: Ditto, targeted to revert by 01 Mar 2026
25 Feb 26: EAR approved and Sent back to commercial to initiate WF
09 Mar 26: EAR put in WF-020320 on 25 Feb 26 and is under approval.
24 Mar 26: EAR issued to DEPA on 24 Mar 26 under 1TB01003-003C09-AMA-LTR-0230. 
06 Apr 26: Awaiting acceptance from DEPA.
19 Apr 26:  Depa requested xer files, sent on 14 April, awaiting response from DEPA
04 May 26: Awaiting DEPA's response to EAR. Comm to issue a follow up, if they dont respond in a week's time
16 May 26: Reminder/follow-up to DEPA for the response to EAR drafted/initiated in WF-021266 for approval.
31 May 26: DEPA provided their response on 25 May 26 (1TB01003-003C09-DCC-LTR-0410). Commercial and Planning teams are to respond accordingly (target 10 June 26).
04 Jun 26: Revised draft sent to Planning 03 Jun 26.
08 Jun 26: Target 25 Jun 26
15 Jun 26: Ditto
22 Jun 26: Planning team provided input and sent to commercial team
24 Jun 26: Draft EAR sent to claims team for review
30 Jun 26: EAR sent to planning for TIA
06 Jul 26: TIA tageted to conclude by 14 Jul 26
13 Jul 26: Ditto
14 Jul 26: TIA incorporated and sent to claims team / Commercial team for finalisation pre approval prior to WF process (SV)
22 Jul 26: Final Draft EAR sent to claims team for pre-approval prior to WF
26 July 26: With Claims team to obtain offline approval
27 Jul 26: Claims team targeted to revert by 03 Aug 26
30 Jul 26: EAR approved by Claims team and sent to commercial to initiate WF
02 Aug 26: EAR put in Workflow for approval under ref WF-022266
10 Aug 26: Ditto
24 Aug 26: Commercial to confirm that it is closed.
5 Sep 26: Revised EAR issued to DEPA under 1TB01003-003C09-AMA-LTR-0264 for DEPA's review and agreement.</v>
      </c>
      <c r="AV158" s="186" t="str">
        <f t="shared" si="58"/>
        <v/>
      </c>
      <c r="AW158" s="186" t="str">
        <f t="shared" si="47"/>
        <v>OPEN</v>
      </c>
      <c r="AX158" s="186" t="str">
        <f t="shared" si="59"/>
        <v>OPEN</v>
      </c>
      <c r="AY158" s="181">
        <f t="shared" si="68"/>
        <v>46167</v>
      </c>
      <c r="AZ158" s="181">
        <f t="shared" si="60"/>
        <v>46243</v>
      </c>
      <c r="BA158" s="181" t="str">
        <f t="shared" si="4"/>
        <v/>
      </c>
      <c r="BC158" s="181">
        <f>IFERROR(INDEX(Program_01!BF:BF,MATCH($B158,Program_01!$A:$A,0)),"")</f>
        <v>46167</v>
      </c>
      <c r="BD158" s="188">
        <f ca="1">IFERROR(INDEX(Program_01!BG:BG,MATCH($B158,Program_01!$A:$A,0)),"")</f>
        <v>36</v>
      </c>
      <c r="BE158" s="181">
        <f>IFERROR(INDEX(Program_01!BH:BH,MATCH($B158,Program_01!$A:$A,0)),"")</f>
        <v>46203</v>
      </c>
      <c r="BF158" s="189">
        <f ca="1">IFERROR(INDEX(Program_01!BI:BI,MATCH($B158,Program_01!$A:$A,0)),"")</f>
        <v>14</v>
      </c>
      <c r="BG158" s="181">
        <f>IFERROR(INDEX(Program_01!BJ:BJ,MATCH($B158,Program_01!$A:$A,0)),"")</f>
        <v>46217</v>
      </c>
      <c r="BH158" s="189">
        <f ca="1">IFERROR(INDEX(Program_01!BK:BK,MATCH($B158,Program_01!$A:$A,0)),"")</f>
        <v>83</v>
      </c>
      <c r="BI158" s="181">
        <f>IFERROR(INDEX(Program_01!BL:BL,MATCH($B158,Program_01!$A:$A,0)),"")</f>
        <v>0</v>
      </c>
      <c r="BK158" s="190">
        <f>IFERROR(IF(INDEX(Program_01!$BX:$BX,MATCH($B158,Program_01!$A:$A,0))=DATE(1900,1,0),"",INDEX(Program_01!$BX:$BX,MATCH($B158,Program_01!$A:$A,0))),"")</f>
        <v>46235</v>
      </c>
      <c r="BL158" s="190" t="str">
        <f>IFERROR(IF(INDEX(Program_01!$BY:$BY,MATCH($B158,Program_01!$A:$A,0))=DATE(1900,1,0),"",INDEX(Program_01!$BY:$BY,MATCH($B158,Program_01!$A:$A,0))),"")</f>
        <v/>
      </c>
      <c r="BM158" s="188">
        <f t="shared" ca="1" si="69"/>
        <v>76</v>
      </c>
      <c r="BN158" s="191">
        <f t="shared" ca="1" si="70"/>
        <v>76</v>
      </c>
      <c r="BO158" s="188">
        <f t="shared" ca="1" si="61"/>
        <v>76</v>
      </c>
      <c r="BP158" s="188" t="str">
        <f t="shared" si="6"/>
        <v>1</v>
      </c>
      <c r="BQ158" s="188" t="str">
        <f t="shared" ca="1" si="71"/>
        <v/>
      </c>
      <c r="BR158" s="181" t="str">
        <f t="shared" ca="1" si="62"/>
        <v/>
      </c>
      <c r="BT158" s="190" t="str">
        <f>IFERROR(IF(INDEX(Program_01!$BZ:$BZ,MATCH($B158,Program_01!$A:$A,0))=DATE(1900,1,0),"",INDEX(Program_01!$BZ:$BZ,MATCH($B158,Program_01!$A:$A,0))),"")</f>
        <v/>
      </c>
      <c r="BU158" s="182" t="str">
        <f t="shared" ca="1" si="48"/>
        <v/>
      </c>
      <c r="BV158" s="188" t="str">
        <f t="shared" si="63"/>
        <v/>
      </c>
      <c r="BW158" s="188" t="str">
        <f t="shared" si="8"/>
        <v/>
      </c>
      <c r="BX158" s="188" t="str">
        <f t="shared" ca="1" si="64"/>
        <v/>
      </c>
      <c r="BY158" s="181" t="str">
        <f t="shared" ca="1" si="65"/>
        <v/>
      </c>
      <c r="CA158" s="192" t="str">
        <f t="shared" si="49"/>
        <v>Y</v>
      </c>
      <c r="CB158" s="192" t="str">
        <f t="shared" si="50"/>
        <v>N</v>
      </c>
      <c r="CC158" s="193">
        <f>IFERROR(INDEX(Program_01!$CE:$CE,MATCH($B158,Program_01!$A:$A,0)),"")</f>
        <v>46188</v>
      </c>
      <c r="CD158" s="193">
        <f t="shared" si="66"/>
        <v>46188</v>
      </c>
      <c r="CG158" s="194">
        <f>IFERROR(INDEX(Program_01!$AT:$AT,MATCH($B158,Program_01!$A:$A,0)),"")</f>
        <v>0</v>
      </c>
      <c r="CH158" s="194">
        <f>IFERROR(INDEX(Program_01!$AX:$AX,MATCH($B158,Program_01!$A:$A,0)),"")</f>
        <v>0</v>
      </c>
    </row>
    <row r="159" spans="1:86" s="187" customFormat="1" ht="272">
      <c r="A159" s="174" t="s">
        <v>1</v>
      </c>
      <c r="B159" s="175">
        <f t="shared" si="72"/>
        <v>141</v>
      </c>
      <c r="C159" s="176" t="str">
        <f>IFERROR(INDEX(Program_01!$B:$B,MATCH($B159,Program_01!$A:$A,0)),"")</f>
        <v>FULL TIA EAR</v>
      </c>
      <c r="D159" s="176" t="str">
        <f>IFERROR(INDEX(Program_01!$D:$D,MATCH($B159,Program_01!$A:$A,0)),"")</f>
        <v>1TB01100C29</v>
      </c>
      <c r="E159" s="176" t="str">
        <f>IFERROR(INDEX(Program_01!$E:$E,MATCH($B159,Program_01!$A:$A,0)),"")</f>
        <v>1.TB.01.100.00</v>
      </c>
      <c r="F159" s="176" t="str">
        <f>IFERROR(INDEX(Program_01!$F:$F,MATCH($B159,Program_01!$A:$A,0)),"")</f>
        <v>Marina Village - Wide</v>
      </c>
      <c r="G159" s="176" t="str">
        <f>IFERROR(INDEX(Program_01!$G:$G,MATCH($B159,Program_01!$A:$A,0)),"")</f>
        <v>AMAALA  Secondary Infrastructure Concrete Chambers MV Cabling  Dry  Wet Utilities South Corridor Works Package</v>
      </c>
      <c r="H159" s="176" t="str">
        <f>IFERROR(INDEX(Program_01!$H:$H,MATCH($B159,Program_01!$A:$A,0)),"")</f>
        <v>Arab Supply &amp; Trading Co. (ASTRA Construction)</v>
      </c>
      <c r="I159" s="176" t="str">
        <f t="shared" si="67"/>
        <v>EOT</v>
      </c>
      <c r="J159" s="176">
        <f>IFERROR(INDEX(Program_01!$I:$I,MATCH($B159,Program_01!$A:$A,0)),"")</f>
        <v>1</v>
      </c>
      <c r="K159" s="176">
        <f>IFERROR(INDEX(Program_01!$J:$J,MATCH($B159,Program_01!$A:$A,0)),"")</f>
        <v>0</v>
      </c>
      <c r="L159" s="176">
        <f>IFERROR(INDEX(Program_01!$K:$K,MATCH($B159,Program_01!$A:$A,0)),"")</f>
        <v>0</v>
      </c>
      <c r="M159" s="176">
        <f>IFERROR(INDEX(Program_01!$L:$L,MATCH($B159,Program_01!$A:$A,0)),"")</f>
        <v>0</v>
      </c>
      <c r="N159" s="176">
        <f>IFERROR(INDEX(Program_01!$L:$L,MATCH($B159,Program_01!$A:$A,0)),"")</f>
        <v>0</v>
      </c>
      <c r="O159" s="176">
        <f>IFERROR(INDEX(Program_01!$N:$N,MATCH($B159,Program_01!$A:$A,0)),"")</f>
        <v>0</v>
      </c>
      <c r="P159" s="178"/>
      <c r="Q159" s="179" t="str">
        <f>IFERROR(INDEX(Program_01!$C:$C,MATCH($B159,Program_01!$A:$A,0)),"")</f>
        <v>Extension of Time Claim (EOT-02)</v>
      </c>
      <c r="R159" s="176" t="str">
        <f>IFERROR(INDEX(Program_01!$V:$V,MATCH($B159,Program_01!$A:$A,0)),"")</f>
        <v>1TB01100-100C29-ACC-LTR-0183</v>
      </c>
      <c r="S159" s="180">
        <f>IFERROR(INDEX(Program_01!$W:$W,MATCH($B159,Program_01!$A:$A,0)),"")</f>
        <v>46173</v>
      </c>
      <c r="T159" s="178"/>
      <c r="U159" s="176" t="str">
        <f>IFERROR(INDEX(Program_01!$Z:$Z,MATCH($B159,Program_01!$A:$A,0)),"")</f>
        <v>1TB01100-100C29-AMA-LTR-0090</v>
      </c>
      <c r="V159" s="181">
        <f>IFERROR(INDEX(Program_01!$AA:$AA,MATCH($B159,Program_01!$A:$A,0)),"")</f>
        <v>46188</v>
      </c>
      <c r="W159" s="182">
        <f t="shared" ca="1" si="0"/>
        <v>15</v>
      </c>
      <c r="X159" s="51"/>
      <c r="Y159" s="179">
        <f>IFERROR(INDEX(Program_01!$BD:$BD,MATCH($B159,Program_01!$A:$A,0)),"")</f>
        <v>0</v>
      </c>
      <c r="Z159" s="51"/>
      <c r="AA159" s="183" t="str">
        <f>IFERROR(IF((INDEX(Program_01!$AD:$AD,MATCH($B159,Program_01!$A:$A,0))=""),INDEX(Program_01!$V:$V,MATCH($B159,Program_01!$A:$A,0)),INDEX(Program_01!$AD:$AD,MATCH($B159,Program_01!$A:$A,0))),"")</f>
        <v>1TB01100-100C29-ACC-LTR-0222 on 29 Jul 26
1TB01100-100C29-ACC-LTR-0241</v>
      </c>
      <c r="AB159" s="147">
        <f>IFERROR(IF((INDEX(Program_01!$AE:$AE,MATCH($B159,Program_01!$A:$A,0))=""),INDEX(Program_01!$W:$W,MATCH($B159,Program_01!$A:$A,0)),INDEX(Program_01!$AE:$AE,MATCH($B159,Program_01!$A:$A,0))),"")</f>
        <v>46278</v>
      </c>
      <c r="AC159" s="183">
        <f>IFERROR(IF($I159="EOT",INDEX(Program_01!$AN:$AN,MATCH($B159,Program_01!$A:$A,0)),INDEX(Program_01!$AY:$AY,MATCH($B159,Program_01!$A:$A,0))),"")</f>
        <v>0</v>
      </c>
      <c r="AD159" s="181">
        <f>IFERROR(IF($I159="EOT",INDEX(Program_01!$AO:$AO,MATCH($B159,Program_01!$A:$A,0)),INDEX(Program_01!$AZ:$AZ,MATCH($B159,Program_01!$A:$A,0))),"")</f>
        <v>0</v>
      </c>
      <c r="AE159" s="51"/>
      <c r="AF159" s="183"/>
      <c r="AG159" s="181"/>
      <c r="AH159" s="183" t="str">
        <f>IF(OR($D159="",$AS159="VO Issued",$AS159="Open"),"",IF(OR($AC159="Rejected",$AC159="Superseded",$AC159="Dealt Separately"),$AC159,IF($I159="EOT",INDEX(Program_01!$AR:$AR,MATCH($B159,Program_01!$A:$A,0)),INDEX(Program_01!$BB:$BB,MATCH($B159,Program_01!$A:$A,0)))))</f>
        <v/>
      </c>
      <c r="AI159" s="181" t="str">
        <f>IF(OR($A159="",$B159="",$I159="",$AS159="VO Issued",$AS159="Open"),"",IF(OR($AD159="N/A"),$AD159,IF($I159="EOT",INDEX(Program_01!$AS:$AS,MATCH($B159,Program_01!$A:$A,0)),INDEX(Program_01!$BC:$BC,MATCH($B159,Program_01!$A:$A,0)))))</f>
        <v/>
      </c>
      <c r="AJ159" s="183" t="str">
        <f>IF(OR($D159="",$I159="",$AS159="Determination Issued",$AS159="Rejected",$AS159="Open"),"",IF(OR($AH159="Rejected",$AH159="Dealt Separately",$AH159="Superseded",$AH159="Withdrawn"),"N/A",IF($I159="EOT",INDEX(Program_01!AR:AR,MATCH($B159,Program_01!A:A,0)),INDEX(Program_01!BB:BB,MATCH($B159,Program_01!A:A,0)))))</f>
        <v/>
      </c>
      <c r="AK159" s="181" t="str">
        <f>IF(OR($A159="",$B159="",$I159="",$AS159="Determination Issued",$AS159="Rejected",$AS159="Open"),"",IF($AJ159="N/A","N/A",IF($I159="EOT",INDEX(Program_01!AS:AS,MATCH($B159,Program_01!A:A,0)),INDEX(Program_01!BC:BC,MATCH($B159,Program_01!A:A,0)))))</f>
        <v/>
      </c>
      <c r="AL159" s="51"/>
      <c r="AM159" s="184">
        <f>IFERROR(INDEX(Program_01!$BT:$BT,MATCH($B159,Program_01!$A:$A,0)),"")</f>
        <v>0</v>
      </c>
      <c r="AN159" s="184">
        <f>IFERROR(INDEX(Program_01!$BU:$BU,MATCH($B159,Program_01!$A:$A,0)),"")</f>
        <v>0</v>
      </c>
      <c r="AO159" s="184">
        <f>IFERROR(INDEX(Program_01!$BV:$BV,MATCH($B159,Program_01!$A:$A,0)),"")</f>
        <v>0</v>
      </c>
      <c r="AP159" s="51" t="str">
        <f t="shared" ref="AP159:AP194" si="73">IF(OR($AN159="Yes",$AO159="Yes"),"1","")</f>
        <v/>
      </c>
      <c r="AQ159" s="184">
        <f>IFERROR(INDEX(Program_01!$BN:$BN,MATCH($B159,Program_01!$A:$A,0)),"")</f>
        <v>0</v>
      </c>
      <c r="AR159" s="184" t="str">
        <f>IFERROR(INDEX(Program_01!$BO:$BO,MATCH($B159,Program_01!$A:$A,0)),"")</f>
        <v>Pending</v>
      </c>
      <c r="AS159" s="184" t="str">
        <f>IFERROR(INDEX(Program_01!$BP:$BP,MATCH($B159,Program_01!$A:$A,0)),"")</f>
        <v>Open</v>
      </c>
      <c r="AT159" s="185" t="str">
        <f>IFERROR(INDEX(Program_01!$BQ:$BQ,MATCH($B159,Program_01!$A:$A,0)),"")</f>
        <v>Planning Team</v>
      </c>
      <c r="AU159" s="179" t="str">
        <f>IFERROR(INDEX(Program_01!$BR:$BR,MATCH($B159,Program_01!$A:$A,0)),"")</f>
        <v>08 Jun 26: Contractor submitted EOT 02 via 1TB01100-100C29-ACC-LTR-0183on 31 May 2026, an initiall response was issued to revised &amp; resubmit the claim
25 Jun 26: Ditto
13 Jul 26: Ditto, Commercial to issue a follow up letter
25 Jul 26: Commercial issued follow up letter ref. 1TB01100-100C29-ACC-LTR-0183 dated 23 July 2026
27 Jul 26: Awaiting response from contractor
29 Aug 26: Revised Claim received via 1TB01100-100C29-ACC-LTR-0222 on 29 July 2026. 
10 Aug 26: Commercial Team reviewing with target to submit to Calims Team by 16 August 2026.
23 Aug 26: Commercial Team reviewing with target to submit to Claims Team by 30 August 2026 (if CA not required).
07 Sep 26: Commercial Team reviewing . As per meeting with HOC on 31 Aug26, CA wont be required and EOT to be assesed to impact Time of Completion for Whole Works (opposed to sections). Revised target submission is 10Sept26. Contractot to submit under cover of letter, supplementary information thereby re-setting their submission date to a current date. 
13 Sep 26: Contractor submitted updated claim with further particulars via 1TB01100-100C29-ACC-LTR-0241, currently under review with commercial
16 Sep 26: Draft EAR sent to claims team for review
21 Sep 26: Ditto, Targeted to revert by 24 Sep 26
28 Sep 26: EAR sent to planning for TIA</v>
      </c>
      <c r="AV159" s="186" t="str">
        <f t="shared" si="58"/>
        <v/>
      </c>
      <c r="AW159" s="186" t="str">
        <f t="shared" ref="AW159:AW194" si="74">IF($I159="","",IF($S159&lt;$AW$16,"",IF($AS159="OPEN","OPEN",IF($AS159="","",IF(AND($AS159&lt;&gt;"OPEN",$AT159="CLOSED"),"CLOSED",IF(AND($AS159&lt;&gt;"OPEN",$AT159&lt;&gt;"CLOSED"),"OPEN",""))))))</f>
        <v>OPEN</v>
      </c>
      <c r="AX159" s="186" t="str">
        <f t="shared" si="59"/>
        <v>OPEN</v>
      </c>
      <c r="AY159" s="181">
        <f t="shared" si="68"/>
        <v>46278</v>
      </c>
      <c r="AZ159" s="181" t="str">
        <f t="shared" si="60"/>
        <v/>
      </c>
      <c r="BA159" s="181" t="str">
        <f t="shared" si="4"/>
        <v/>
      </c>
      <c r="BC159" s="181">
        <f>IFERROR(INDEX(Program_01!BF:BF,MATCH($B159,Program_01!$A:$A,0)),"")</f>
        <v>46278</v>
      </c>
      <c r="BD159" s="188">
        <f ca="1">IFERROR(INDEX(Program_01!BG:BG,MATCH($B159,Program_01!$A:$A,0)),"")</f>
        <v>22</v>
      </c>
      <c r="BE159" s="181">
        <f>IFERROR(INDEX(Program_01!BH:BH,MATCH($B159,Program_01!$A:$A,0)),"")</f>
        <v>0</v>
      </c>
      <c r="BF159" s="189">
        <f ca="1">IFERROR(INDEX(Program_01!BI:BI,MATCH($B159,Program_01!$A:$A,0)),"")</f>
        <v>0</v>
      </c>
      <c r="BG159" s="181">
        <f>IFERROR(INDEX(Program_01!BJ:BJ,MATCH($B159,Program_01!$A:$A,0)),"")</f>
        <v>0</v>
      </c>
      <c r="BH159" s="189">
        <f ca="1">IFERROR(INDEX(Program_01!BK:BK,MATCH($B159,Program_01!$A:$A,0)),"")</f>
        <v>0</v>
      </c>
      <c r="BI159" s="181">
        <f>IFERROR(INDEX(Program_01!BL:BL,MATCH($B159,Program_01!$A:$A,0)),"")</f>
        <v>0</v>
      </c>
      <c r="BK159" s="190" t="str">
        <f>IFERROR(IF(INDEX(Program_01!$BX:$BX,MATCH($B159,Program_01!$A:$A,0))=DATE(1900,1,0),"",INDEX(Program_01!$BX:$BX,MATCH($B159,Program_01!$A:$A,0))),"")</f>
        <v/>
      </c>
      <c r="BL159" s="190" t="str">
        <f>IFERROR(IF(INDEX(Program_01!$BY:$BY,MATCH($B159,Program_01!$A:$A,0))=DATE(1900,1,0),"",INDEX(Program_01!$BY:$BY,MATCH($B159,Program_01!$A:$A,0))),"")</f>
        <v/>
      </c>
      <c r="BM159" s="188" t="str">
        <f t="shared" ca="1" si="69"/>
        <v/>
      </c>
      <c r="BN159" s="191">
        <f t="shared" ca="1" si="70"/>
        <v>22</v>
      </c>
      <c r="BO159" s="188" t="str">
        <f t="shared" si="61"/>
        <v/>
      </c>
      <c r="BP159" s="188" t="str">
        <f t="shared" si="6"/>
        <v/>
      </c>
      <c r="BQ159" s="188" t="str">
        <f t="shared" ca="1" si="71"/>
        <v/>
      </c>
      <c r="BR159" s="181" t="str">
        <f t="shared" ca="1" si="62"/>
        <v/>
      </c>
      <c r="BT159" s="190" t="str">
        <f>IFERROR(IF(INDEX(Program_01!$BZ:$BZ,MATCH($B159,Program_01!$A:$A,0))=DATE(1900,1,0),"",INDEX(Program_01!$BZ:$BZ,MATCH($B159,Program_01!$A:$A,0))),"")</f>
        <v/>
      </c>
      <c r="BU159" s="182" t="str">
        <f t="shared" ref="BU159:BU194" ca="1" si="75">IF(OR($I159="",$AV159="",$AM159&lt;&gt;0,$BA159="N/A",$AZ159=""),"",IF(AND($BA159="",$AZ159&lt;&gt;""),TODAY()-$AZ159,$BA159-$AZ159))</f>
        <v/>
      </c>
      <c r="BV159" s="188" t="str">
        <f t="shared" si="63"/>
        <v/>
      </c>
      <c r="BW159" s="188" t="str">
        <f t="shared" si="8"/>
        <v/>
      </c>
      <c r="BX159" s="188" t="str">
        <f t="shared" ca="1" si="64"/>
        <v/>
      </c>
      <c r="BY159" s="181" t="str">
        <f t="shared" ca="1" si="65"/>
        <v/>
      </c>
      <c r="CA159" s="192" t="str">
        <f t="shared" ref="CA159:CA194" si="76">IF($I159="","",IF(AND($AR159="Assessment Report Issued",$AZ159&lt;&gt;""),"Y","N"))</f>
        <v>N</v>
      </c>
      <c r="CB159" s="192" t="str">
        <f t="shared" ref="CB159:CB194" si="77">IF($I159="","",IF(OR($AS159="Determination Issued",$AS159="VO Issued"),"Y","N"))</f>
        <v>N</v>
      </c>
      <c r="CC159" s="193">
        <f>IFERROR(INDEX(Program_01!$CE:$CE,MATCH($B159,Program_01!$A:$A,0)),"")</f>
        <v>46181</v>
      </c>
      <c r="CD159" s="193">
        <f t="shared" si="66"/>
        <v>46181</v>
      </c>
      <c r="CG159" s="194">
        <f>IFERROR(INDEX(Program_01!$AT:$AT,MATCH($B159,Program_01!$A:$A,0)),"")</f>
        <v>0</v>
      </c>
      <c r="CH159" s="194">
        <f>IFERROR(INDEX(Program_01!$AX:$AX,MATCH($B159,Program_01!$A:$A,0)),"")</f>
        <v>0</v>
      </c>
    </row>
    <row r="160" spans="1:86" s="187" customFormat="1" ht="151" customHeight="1">
      <c r="A160" s="174" t="s">
        <v>1</v>
      </c>
      <c r="B160" s="201">
        <f t="shared" si="72"/>
        <v>142</v>
      </c>
      <c r="C160" s="176" t="str">
        <f>IFERROR(INDEX(Program_01!$B:$B,MATCH($B160,Program_01!$A:$A,0)),"")</f>
        <v>FULL TIA EAR</v>
      </c>
      <c r="D160" s="176" t="str">
        <f>IFERROR(INDEX(Program_01!$D:$D,MATCH($B160,Program_01!$A:$A,0)),"")</f>
        <v>1TB01002C04</v>
      </c>
      <c r="E160" s="176" t="str">
        <f>IFERROR(INDEX(Program_01!$E:$E,MATCH($B160,Program_01!$A:$A,0)),"")</f>
        <v>1.TB.01.002.99</v>
      </c>
      <c r="F160" s="176" t="str">
        <f>IFERROR(INDEX(Program_01!$F:$F,MATCH($B160,Program_01!$A:$A,0)),"")</f>
        <v>Marina Lifestyle Hotel &amp; Village</v>
      </c>
      <c r="G160" s="176" t="str">
        <f>IFERROR(INDEX(Program_01!$G:$G,MATCH($B160,Program_01!$A:$A,0)),"")</f>
        <v>MEP &amp; ICT / ELV Works for Marina Lifestyle Hotel</v>
      </c>
      <c r="H160" s="176" t="str">
        <f>IFERROR(INDEX(Program_01!$H:$H,MATCH($B160,Program_01!$A:$A,0)),"")</f>
        <v>Shapoorji Pallonji Mideast LLC</v>
      </c>
      <c r="I160" s="176" t="str">
        <f t="shared" si="67"/>
        <v>EOT</v>
      </c>
      <c r="J160" s="176">
        <f>IFERROR(INDEX(Program_01!$I:$I,MATCH($B160,Program_01!$A:$A,0)),"")</f>
        <v>1</v>
      </c>
      <c r="K160" s="176">
        <f>IFERROR(INDEX(Program_01!$J:$J,MATCH($B160,Program_01!$A:$A,0)),"")</f>
        <v>0</v>
      </c>
      <c r="L160" s="176">
        <f>IFERROR(INDEX(Program_01!$K:$K,MATCH($B160,Program_01!$A:$A,0)),"")</f>
        <v>0</v>
      </c>
      <c r="M160" s="176">
        <f>IFERROR(INDEX(Program_01!$L:$L,MATCH($B160,Program_01!$A:$A,0)),"")</f>
        <v>0</v>
      </c>
      <c r="N160" s="176">
        <f>IFERROR(INDEX(Program_01!$L:$L,MATCH($B160,Program_01!$A:$A,0)),"")</f>
        <v>0</v>
      </c>
      <c r="O160" s="176">
        <f>IFERROR(INDEX(Program_01!$N:$N,MATCH($B160,Program_01!$A:$A,0)),"")</f>
        <v>0</v>
      </c>
      <c r="P160" s="178"/>
      <c r="Q160" s="179" t="str">
        <f>IFERROR(INDEX(Program_01!$C:$C,MATCH($B160,Program_01!$A:$A,0)),"")</f>
        <v>Extension of Time Claim No 2</v>
      </c>
      <c r="R160" s="176" t="str">
        <f>IFERROR(INDEX(Program_01!$V:$V,MATCH($B160,Program_01!$A:$A,0)),"")</f>
        <v>1TB01002-002C04-SPM-LTR-0247</v>
      </c>
      <c r="S160" s="180">
        <f>IFERROR(INDEX(Program_01!$W:$W,MATCH($B160,Program_01!$A:$A,0)),"")</f>
        <v>46144</v>
      </c>
      <c r="T160" s="178"/>
      <c r="U160" s="176">
        <f>IFERROR(INDEX(Program_01!$Z:$Z,MATCH($B160,Program_01!$A:$A,0)),"")</f>
        <v>0</v>
      </c>
      <c r="V160" s="181">
        <f>IFERROR(INDEX(Program_01!$AA:$AA,MATCH($B160,Program_01!$A:$A,0)),"")</f>
        <v>0</v>
      </c>
      <c r="W160" s="182">
        <f t="shared" ca="1" si="0"/>
        <v>156</v>
      </c>
      <c r="X160" s="51"/>
      <c r="Y160" s="179">
        <f>IFERROR(INDEX(Program_01!$BD:$BD,MATCH($B160,Program_01!$A:$A,0)),"")</f>
        <v>0</v>
      </c>
      <c r="Z160" s="51"/>
      <c r="AA160" s="183" t="str">
        <f>IFERROR(IF((INDEX(Program_01!$AD:$AD,MATCH($B160,Program_01!$A:$A,0))=""),INDEX(Program_01!$V:$V,MATCH($B160,Program_01!$A:$A,0)),INDEX(Program_01!$AD:$AD,MATCH($B160,Program_01!$A:$A,0))),"")</f>
        <v>1TB01002-002C04-SPM-LTR-0247</v>
      </c>
      <c r="AB160" s="147">
        <f>IFERROR(IF((INDEX(Program_01!$AE:$AE,MATCH($B160,Program_01!$A:$A,0))=""),INDEX(Program_01!$W:$W,MATCH($B160,Program_01!$A:$A,0)),INDEX(Program_01!$AE:$AE,MATCH($B160,Program_01!$A:$A,0))),"")</f>
        <v>46144</v>
      </c>
      <c r="AC160" s="183">
        <f>IFERROR(IF($I160="EOT",INDEX(Program_01!$AN:$AN,MATCH($B160,Program_01!$A:$A,0)),INDEX(Program_01!$AY:$AY,MATCH($B160,Program_01!$A:$A,0))),"")</f>
        <v>0</v>
      </c>
      <c r="AD160" s="181">
        <f>IFERROR(IF($I160="EOT",INDEX(Program_01!$AO:$AO,MATCH($B160,Program_01!$A:$A,0)),INDEX(Program_01!$AZ:$AZ,MATCH($B160,Program_01!$A:$A,0))),"")</f>
        <v>0</v>
      </c>
      <c r="AE160" s="51"/>
      <c r="AF160" s="183"/>
      <c r="AG160" s="181"/>
      <c r="AH160" s="183" t="str">
        <f>IF(OR($D160="",$AS160="VO Issued",$AS160="Open"),"",IF(OR($AC160="Rejected",$AC160="Superseded",$AC160="Dealt Separately"),$AC160,IF($I160="EOT",INDEX(Program_01!$AR:$AR,MATCH($B160,Program_01!$A:$A,0)),INDEX(Program_01!$BB:$BB,MATCH($B160,Program_01!$A:$A,0)))))</f>
        <v/>
      </c>
      <c r="AI160" s="181" t="str">
        <f>IF(OR($A160="",$B160="",$I160="",$AS160="VO Issued",$AS160="Open"),"",IF(OR($AD160="N/A"),$AD160,IF($I160="EOT",INDEX(Program_01!$AS:$AS,MATCH($B160,Program_01!$A:$A,0)),INDEX(Program_01!$BC:$BC,MATCH($B160,Program_01!$A:$A,0)))))</f>
        <v/>
      </c>
      <c r="AJ160" s="183" t="str">
        <f>IF(OR($D160="",$I160="",$AS160="Determination Issued",$AS160="Rejected",$AS160="Open"),"",IF(OR($AH160="Rejected",$AH160="Dealt Separately",$AH160="Superseded",$AH160="Withdrawn"),"N/A",IF($I160="EOT",INDEX(Program_01!AR:AR,MATCH($B160,Program_01!A:A,0)),INDEX(Program_01!BB:BB,MATCH($B160,Program_01!A:A,0)))))</f>
        <v/>
      </c>
      <c r="AK160" s="181" t="str">
        <f>IF(OR($A160="",$B160="",$I160="",$AS160="Determination Issued",$AS160="Rejected",$AS160="Open"),"",IF($AJ160="N/A","N/A",IF($I160="EOT",INDEX(Program_01!AS:AS,MATCH($B160,Program_01!A:A,0)),INDEX(Program_01!BC:BC,MATCH($B160,Program_01!A:A,0)))))</f>
        <v/>
      </c>
      <c r="AL160" s="51"/>
      <c r="AM160" s="184">
        <f>IFERROR(INDEX(Program_01!$BT:$BT,MATCH($B160,Program_01!$A:$A,0)),"")</f>
        <v>0</v>
      </c>
      <c r="AN160" s="184">
        <f>IFERROR(INDEX(Program_01!$BU:$BU,MATCH($B160,Program_01!$A:$A,0)),"")</f>
        <v>0</v>
      </c>
      <c r="AO160" s="184">
        <f>IFERROR(INDEX(Program_01!$BV:$BV,MATCH($B160,Program_01!$A:$A,0)),"")</f>
        <v>0</v>
      </c>
      <c r="AP160" s="51" t="str">
        <f t="shared" si="73"/>
        <v/>
      </c>
      <c r="AQ160" s="184">
        <f>IFERROR(INDEX(Program_01!$BN:$BN,MATCH($B160,Program_01!$A:$A,0)),"")</f>
        <v>0</v>
      </c>
      <c r="AR160" s="184" t="str">
        <f>IFERROR(INDEX(Program_01!$BO:$BO,MATCH($B160,Program_01!$A:$A,0)),"")</f>
        <v>Pending</v>
      </c>
      <c r="AS160" s="184" t="str">
        <f>IFERROR(INDEX(Program_01!$BP:$BP,MATCH($B160,Program_01!$A:$A,0)),"")</f>
        <v>Open</v>
      </c>
      <c r="AT160" s="185" t="str">
        <f>IFERROR(INDEX(Program_01!$BQ:$BQ,MATCH($B160,Program_01!$A:$A,0)),"")</f>
        <v>Claims Team</v>
      </c>
      <c r="AU160" s="179" t="str">
        <f>IFERROR(INDEX(Program_01!$BR:$BR,MATCH($B160,Program_01!$A:$A,0)),"")</f>
        <v>22 June 2026 : Under review. Draft EAR will be issued upon issuance of EOT 1 EAR which is under workflow.
13 July 26: Commercial targeted to submit draft EAR to Rufino by 16 July 2026
26 Jul 26 : Draft EAR shared with Rufino on 22 July 2026. Currently under review, and will be shared with the Claims team on 28 July 2026
27 Jul 26: Draft EAR sent to claims team for initial review
29 Jul 26: Draft EAR sent to planning for TIA
30 Jul 26: Planning reverted with comments for commercial to address
06 Aug 26: Updated draft EAR sent to claims team for review // updated draft EAR sent to planning for TIA
10 Aug 26: Awaiting commercial feedback on EOT 1 as the EOT1 needs to be concluded prior to assessing the windows in EOT2
23 Aug 26: Employer's response is under workflow. However, EAR position remains same and the Planning team will advise to proceed with the EAR upon issuance of the letter.
06 Sep 26: EOT 2 - EAR issued from commercial to Planning on 06-Aug-26, subsequently issued to Shaju for review review 02-Sep-26, based on the RSG's response to EOT 1 comments raised by the Contractor. 
14 Sep 26: Planning team targeted to revert by 20 Sep 26
21 Sep 26: Planning team targeted to coclude TIA by 28 Sep 26
30 Sep 26: TIA incorporated and sent to claims team for finalisation &amp; approval
04 Oct 26: Currently with Claims team review</v>
      </c>
      <c r="AV160" s="186" t="str">
        <f t="shared" si="58"/>
        <v/>
      </c>
      <c r="AW160" s="186" t="str">
        <f t="shared" si="74"/>
        <v>OPEN</v>
      </c>
      <c r="AX160" s="186" t="str">
        <f t="shared" si="59"/>
        <v>OPEN</v>
      </c>
      <c r="AY160" s="181">
        <f t="shared" si="68"/>
        <v>46144</v>
      </c>
      <c r="AZ160" s="181" t="str">
        <f t="shared" si="60"/>
        <v/>
      </c>
      <c r="BA160" s="181" t="str">
        <f t="shared" si="4"/>
        <v/>
      </c>
      <c r="BC160" s="181">
        <f>IFERROR(INDEX(Program_01!BF:BF,MATCH($B160,Program_01!$A:$A,0)),"")</f>
        <v>46144</v>
      </c>
      <c r="BD160" s="188">
        <f ca="1">IFERROR(INDEX(Program_01!BG:BG,MATCH($B160,Program_01!$A:$A,0)),"")</f>
        <v>96</v>
      </c>
      <c r="BE160" s="181">
        <f>IFERROR(INDEX(Program_01!BH:BH,MATCH($B160,Program_01!$A:$A,0)),"")</f>
        <v>46240</v>
      </c>
      <c r="BF160" s="189">
        <f ca="1">IFERROR(INDEX(Program_01!BI:BI,MATCH($B160,Program_01!$A:$A,0)),"")</f>
        <v>55</v>
      </c>
      <c r="BG160" s="181">
        <f>IFERROR(INDEX(Program_01!BJ:BJ,MATCH($B160,Program_01!$A:$A,0)),"")</f>
        <v>46295</v>
      </c>
      <c r="BH160" s="189">
        <f ca="1">IFERROR(INDEX(Program_01!BK:BK,MATCH($B160,Program_01!$A:$A,0)),"")</f>
        <v>5</v>
      </c>
      <c r="BI160" s="181">
        <f>IFERROR(INDEX(Program_01!BL:BL,MATCH($B160,Program_01!$A:$A,0)),"")</f>
        <v>0</v>
      </c>
      <c r="BK160" s="190" t="str">
        <f>IFERROR(IF(INDEX(Program_01!$BX:$BX,MATCH($B160,Program_01!$A:$A,0))=DATE(1900,1,0),"",INDEX(Program_01!$BX:$BX,MATCH($B160,Program_01!$A:$A,0))),"")</f>
        <v/>
      </c>
      <c r="BL160" s="190" t="str">
        <f>IFERROR(IF(INDEX(Program_01!$BY:$BY,MATCH($B160,Program_01!$A:$A,0))=DATE(1900,1,0),"",INDEX(Program_01!$BY:$BY,MATCH($B160,Program_01!$A:$A,0))),"")</f>
        <v/>
      </c>
      <c r="BM160" s="188" t="str">
        <f t="shared" ca="1" si="69"/>
        <v/>
      </c>
      <c r="BN160" s="191">
        <f t="shared" ca="1" si="70"/>
        <v>156</v>
      </c>
      <c r="BO160" s="188" t="str">
        <f t="shared" si="61"/>
        <v/>
      </c>
      <c r="BP160" s="188" t="str">
        <f t="shared" si="6"/>
        <v/>
      </c>
      <c r="BQ160" s="188">
        <f t="shared" ca="1" si="71"/>
        <v>156</v>
      </c>
      <c r="BR160" s="181" t="str">
        <f t="shared" ca="1" si="62"/>
        <v>1</v>
      </c>
      <c r="BT160" s="190" t="str">
        <f>IFERROR(IF(INDEX(Program_01!$BZ:$BZ,MATCH($B160,Program_01!$A:$A,0))=DATE(1900,1,0),"",INDEX(Program_01!$BZ:$BZ,MATCH($B160,Program_01!$A:$A,0))),"")</f>
        <v/>
      </c>
      <c r="BU160" s="182" t="str">
        <f t="shared" ca="1" si="75"/>
        <v/>
      </c>
      <c r="BV160" s="188" t="str">
        <f t="shared" si="63"/>
        <v/>
      </c>
      <c r="BW160" s="188" t="str">
        <f t="shared" si="8"/>
        <v/>
      </c>
      <c r="BX160" s="188" t="str">
        <f t="shared" ca="1" si="64"/>
        <v/>
      </c>
      <c r="BY160" s="181" t="str">
        <f t="shared" ca="1" si="65"/>
        <v/>
      </c>
      <c r="CA160" s="192" t="str">
        <f t="shared" si="76"/>
        <v>N</v>
      </c>
      <c r="CB160" s="192" t="str">
        <f t="shared" si="77"/>
        <v>N</v>
      </c>
      <c r="CC160" s="193">
        <f>IFERROR(INDEX(Program_01!$CE:$CE,MATCH($B160,Program_01!$A:$A,0)),"")</f>
        <v>46201</v>
      </c>
      <c r="CD160" s="193">
        <f t="shared" si="66"/>
        <v>46201</v>
      </c>
      <c r="CG160" s="194">
        <f>IFERROR(INDEX(Program_01!$AT:$AT,MATCH($B160,Program_01!$A:$A,0)),"")</f>
        <v>0</v>
      </c>
      <c r="CH160" s="194">
        <f>IFERROR(INDEX(Program_01!$AX:$AX,MATCH($B160,Program_01!$A:$A,0)),"")</f>
        <v>0</v>
      </c>
    </row>
    <row r="161" spans="1:86" s="187" customFormat="1" ht="119">
      <c r="A161" s="174" t="s">
        <v>1</v>
      </c>
      <c r="B161" s="201">
        <f t="shared" si="72"/>
        <v>143</v>
      </c>
      <c r="C161" s="176" t="str">
        <f>IFERROR(INDEX(Program_01!$B:$B,MATCH($B161,Program_01!$A:$A,0)),"")</f>
        <v>FULL TIA EAR</v>
      </c>
      <c r="D161" s="176" t="str">
        <f>IFERROR(INDEX(Program_01!$D:$D,MATCH($B161,Program_01!$A:$A,0)),"")</f>
        <v>1TB01006C15</v>
      </c>
      <c r="E161" s="176" t="str">
        <f>IFERROR(INDEX(Program_01!$E:$E,MATCH($B161,Program_01!$A:$A,0)),"")</f>
        <v>1.TB.01.006.99</v>
      </c>
      <c r="F161" s="176" t="str">
        <f>IFERROR(INDEX(Program_01!$F:$F,MATCH($B161,Program_01!$A:$A,0)),"")</f>
        <v>Village Boutique Hotel</v>
      </c>
      <c r="G161" s="176" t="str">
        <f>IFERROR(INDEX(Program_01!$G:$G,MATCH($B161,Program_01!$A:$A,0)),"")</f>
        <v>MEP &amp; ICT / ELV Works for Village Boutique Hotel</v>
      </c>
      <c r="H161" s="176" t="str">
        <f>IFERROR(INDEX(Program_01!$H:$H,MATCH($B161,Program_01!$A:$A,0)),"")</f>
        <v>Shapoorji Pallonji Mideast LLC</v>
      </c>
      <c r="I161" s="176" t="str">
        <f t="shared" si="67"/>
        <v>EOT</v>
      </c>
      <c r="J161" s="176">
        <f>IFERROR(INDEX(Program_01!$I:$I,MATCH($B161,Program_01!$A:$A,0)),"")</f>
        <v>1</v>
      </c>
      <c r="K161" s="176">
        <f>IFERROR(INDEX(Program_01!$J:$J,MATCH($B161,Program_01!$A:$A,0)),"")</f>
        <v>0</v>
      </c>
      <c r="L161" s="176">
        <f>IFERROR(INDEX(Program_01!$K:$K,MATCH($B161,Program_01!$A:$A,0)),"")</f>
        <v>0</v>
      </c>
      <c r="M161" s="176">
        <f>IFERROR(INDEX(Program_01!$L:$L,MATCH($B161,Program_01!$A:$A,0)),"")</f>
        <v>0</v>
      </c>
      <c r="N161" s="176">
        <f>IFERROR(INDEX(Program_01!$L:$L,MATCH($B161,Program_01!$A:$A,0)),"")</f>
        <v>0</v>
      </c>
      <c r="O161" s="176">
        <f>IFERROR(INDEX(Program_01!$N:$N,MATCH($B161,Program_01!$A:$A,0)),"")</f>
        <v>0</v>
      </c>
      <c r="P161" s="178"/>
      <c r="Q161" s="179" t="str">
        <f>IFERROR(INDEX(Program_01!$C:$C,MATCH($B161,Program_01!$A:$A,0)),"")</f>
        <v>Interim Extension of Time Claim No. 2  up to a cut-off date of 03 April 2026</v>
      </c>
      <c r="R161" s="176" t="str">
        <f>IFERROR(INDEX(Program_01!$V:$V,MATCH($B161,Program_01!$A:$A,0)),"")</f>
        <v>1TB01006-006C15-SPM-LTR-0295</v>
      </c>
      <c r="S161" s="180">
        <f>IFERROR(INDEX(Program_01!$W:$W,MATCH($B161,Program_01!$A:$A,0)),"")</f>
        <v>46144</v>
      </c>
      <c r="T161" s="178"/>
      <c r="U161" s="176">
        <f>IFERROR(INDEX(Program_01!$Z:$Z,MATCH($B161,Program_01!$A:$A,0)),"")</f>
        <v>0</v>
      </c>
      <c r="V161" s="181">
        <f>IFERROR(INDEX(Program_01!$AA:$AA,MATCH($B161,Program_01!$A:$A,0)),"")</f>
        <v>0</v>
      </c>
      <c r="W161" s="182">
        <f t="shared" ca="1" si="0"/>
        <v>156</v>
      </c>
      <c r="X161" s="51"/>
      <c r="Y161" s="179">
        <f>IFERROR(INDEX(Program_01!$BD:$BD,MATCH($B161,Program_01!$A:$A,0)),"")</f>
        <v>0</v>
      </c>
      <c r="Z161" s="51"/>
      <c r="AA161" s="183" t="str">
        <f>IFERROR(IF((INDEX(Program_01!$AD:$AD,MATCH($B161,Program_01!$A:$A,0))=""),INDEX(Program_01!$V:$V,MATCH($B161,Program_01!$A:$A,0)),INDEX(Program_01!$AD:$AD,MATCH($B161,Program_01!$A:$A,0))),"")</f>
        <v>1TB01006-006C15-SPM-LTR-0295</v>
      </c>
      <c r="AB161" s="147">
        <f>IFERROR(IF((INDEX(Program_01!$AE:$AE,MATCH($B161,Program_01!$A:$A,0))=""),INDEX(Program_01!$W:$W,MATCH($B161,Program_01!$A:$A,0)),INDEX(Program_01!$AE:$AE,MATCH($B161,Program_01!$A:$A,0))),"")</f>
        <v>46144</v>
      </c>
      <c r="AC161" s="183">
        <f>IFERROR(IF($I161="EOT",INDEX(Program_01!$AN:$AN,MATCH($B161,Program_01!$A:$A,0)),INDEX(Program_01!$AY:$AY,MATCH($B161,Program_01!$A:$A,0))),"")</f>
        <v>0</v>
      </c>
      <c r="AD161" s="181">
        <f>IFERROR(IF($I161="EOT",INDEX(Program_01!$AO:$AO,MATCH($B161,Program_01!$A:$A,0)),INDEX(Program_01!$AZ:$AZ,MATCH($B161,Program_01!$A:$A,0))),"")</f>
        <v>0</v>
      </c>
      <c r="AE161" s="51"/>
      <c r="AF161" s="183"/>
      <c r="AG161" s="181"/>
      <c r="AH161" s="183" t="str">
        <f>IF(OR($D161="",$AS161="VO Issued",$AS161="Open"),"",IF(OR($AC161="Rejected",$AC161="Superseded",$AC161="Dealt Separately"),$AC161,IF($I161="EOT",INDEX(Program_01!$AR:$AR,MATCH($B161,Program_01!$A:$A,0)),INDEX(Program_01!$BB:$BB,MATCH($B161,Program_01!$A:$A,0)))))</f>
        <v/>
      </c>
      <c r="AI161" s="181" t="str">
        <f>IF(OR($A161="",$B161="",$I161="",$AS161="VO Issued",$AS161="Open"),"",IF(OR($AD161="N/A"),$AD161,IF($I161="EOT",INDEX(Program_01!$AS:$AS,MATCH($B161,Program_01!$A:$A,0)),INDEX(Program_01!$BC:$BC,MATCH($B161,Program_01!$A:$A,0)))))</f>
        <v/>
      </c>
      <c r="AJ161" s="183" t="str">
        <f>IF(OR($D161="",$I161="",$AS161="Determination Issued",$AS161="Rejected",$AS161="Open"),"",IF(OR($AH161="Rejected",$AH161="Dealt Separately",$AH161="Superseded",$AH161="Withdrawn"),"N/A",IF($I161="EOT",INDEX(Program_01!AR:AR,MATCH($B161,Program_01!A:A,0)),INDEX(Program_01!BB:BB,MATCH($B161,Program_01!A:A,0)))))</f>
        <v/>
      </c>
      <c r="AK161" s="181" t="str">
        <f>IF(OR($A161="",$B161="",$I161="",$AS161="Determination Issued",$AS161="Rejected",$AS161="Open"),"",IF($AJ161="N/A","N/A",IF($I161="EOT",INDEX(Program_01!AS:AS,MATCH($B161,Program_01!A:A,0)),INDEX(Program_01!BC:BC,MATCH($B161,Program_01!A:A,0)))))</f>
        <v/>
      </c>
      <c r="AL161" s="51"/>
      <c r="AM161" s="184" t="str">
        <f>IFERROR(INDEX(Program_01!$BT:$BT,MATCH($B161,Program_01!$A:$A,0)),"")</f>
        <v>Revise &amp; resubmit</v>
      </c>
      <c r="AN161" s="184">
        <f>IFERROR(INDEX(Program_01!$BU:$BU,MATCH($B161,Program_01!$A:$A,0)),"")</f>
        <v>0</v>
      </c>
      <c r="AO161" s="184">
        <f>IFERROR(INDEX(Program_01!$BV:$BV,MATCH($B161,Program_01!$A:$A,0)),"")</f>
        <v>0</v>
      </c>
      <c r="AP161" s="51" t="str">
        <f t="shared" si="73"/>
        <v/>
      </c>
      <c r="AQ161" s="184">
        <f>IFERROR(INDEX(Program_01!$BN:$BN,MATCH($B161,Program_01!$A:$A,0)),"")</f>
        <v>0</v>
      </c>
      <c r="AR161" s="184" t="str">
        <f>IFERROR(INDEX(Program_01!$BO:$BO,MATCH($B161,Program_01!$A:$A,0)),"")</f>
        <v>Pending</v>
      </c>
      <c r="AS161" s="184" t="str">
        <f>IFERROR(INDEX(Program_01!$BP:$BP,MATCH($B161,Program_01!$A:$A,0)),"")</f>
        <v>Open</v>
      </c>
      <c r="AT161" s="185" t="str">
        <f>IFERROR(INDEX(Program_01!$BQ:$BQ,MATCH($B161,Program_01!$A:$A,0)),"")</f>
        <v>Contractor</v>
      </c>
      <c r="AU161" s="179" t="str">
        <f>IFERROR(INDEX(Program_01!$BR:$BR,MATCH($B161,Program_01!$A:$A,0)),"")</f>
        <v>02 May 26 - Contractor submitted EOT 02 (Ref. 1Tb01006-006C15-SPM-LTR-0295)
28 Jun 26: under review with commercial
13 July 26: Target date to complete EAR by TBC
26 July 26: Will process upon conclusion of EOT 01 Rev. 1
10 Aug 26: Ditto
07 Sep 26: Ditto
21 Sep 26: Ditto, Commercial to write to contractor that EOT 2 assessment will commence upon concluding EOT 1 and accordingly to resubmit EOT 2</v>
      </c>
      <c r="AV161" s="186" t="str">
        <f t="shared" si="58"/>
        <v/>
      </c>
      <c r="AW161" s="186" t="str">
        <f t="shared" si="74"/>
        <v>OPEN</v>
      </c>
      <c r="AX161" s="186" t="str">
        <f t="shared" si="59"/>
        <v>OPEN</v>
      </c>
      <c r="AY161" s="181">
        <f t="shared" si="68"/>
        <v>46144</v>
      </c>
      <c r="AZ161" s="181" t="str">
        <f t="shared" si="60"/>
        <v/>
      </c>
      <c r="BA161" s="181" t="str">
        <f t="shared" si="4"/>
        <v/>
      </c>
      <c r="BC161" s="181">
        <f>IFERROR(INDEX(Program_01!BF:BF,MATCH($B161,Program_01!$A:$A,0)),"")</f>
        <v>46144</v>
      </c>
      <c r="BD161" s="188">
        <f ca="1">IFERROR(INDEX(Program_01!BG:BG,MATCH($B161,Program_01!$A:$A,0)),"")</f>
        <v>0</v>
      </c>
      <c r="BE161" s="181">
        <f>IFERROR(INDEX(Program_01!BH:BH,MATCH($B161,Program_01!$A:$A,0)),"")</f>
        <v>0</v>
      </c>
      <c r="BF161" s="189">
        <f ca="1">IFERROR(INDEX(Program_01!BI:BI,MATCH($B161,Program_01!$A:$A,0)),"")</f>
        <v>0</v>
      </c>
      <c r="BG161" s="181">
        <f>IFERROR(INDEX(Program_01!BJ:BJ,MATCH($B161,Program_01!$A:$A,0)),"")</f>
        <v>0</v>
      </c>
      <c r="BH161" s="189">
        <f ca="1">IFERROR(INDEX(Program_01!BK:BK,MATCH($B161,Program_01!$A:$A,0)),"")</f>
        <v>0</v>
      </c>
      <c r="BI161" s="181">
        <f>IFERROR(INDEX(Program_01!BL:BL,MATCH($B161,Program_01!$A:$A,0)),"")</f>
        <v>0</v>
      </c>
      <c r="BK161" s="190" t="str">
        <f>IFERROR(IF(INDEX(Program_01!$BX:$BX,MATCH($B161,Program_01!$A:$A,0))=DATE(1900,1,0),"",INDEX(Program_01!$BX:$BX,MATCH($B161,Program_01!$A:$A,0))),"")</f>
        <v/>
      </c>
      <c r="BL161" s="190" t="str">
        <f>IFERROR(IF(INDEX(Program_01!$BY:$BY,MATCH($B161,Program_01!$A:$A,0))=DATE(1900,1,0),"",INDEX(Program_01!$BY:$BY,MATCH($B161,Program_01!$A:$A,0))),"")</f>
        <v/>
      </c>
      <c r="BM161" s="188" t="str">
        <f t="shared" ca="1" si="69"/>
        <v/>
      </c>
      <c r="BN161" s="191">
        <f t="shared" ca="1" si="70"/>
        <v>0</v>
      </c>
      <c r="BO161" s="188" t="str">
        <f t="shared" si="61"/>
        <v/>
      </c>
      <c r="BP161" s="188" t="str">
        <f t="shared" si="6"/>
        <v/>
      </c>
      <c r="BQ161" s="188" t="str">
        <f t="shared" ca="1" si="71"/>
        <v/>
      </c>
      <c r="BR161" s="181" t="str">
        <f t="shared" ca="1" si="62"/>
        <v/>
      </c>
      <c r="BT161" s="190" t="str">
        <f>IFERROR(IF(INDEX(Program_01!$BZ:$BZ,MATCH($B161,Program_01!$A:$A,0))=DATE(1900,1,0),"",INDEX(Program_01!$BZ:$BZ,MATCH($B161,Program_01!$A:$A,0))),"")</f>
        <v/>
      </c>
      <c r="BU161" s="182" t="str">
        <f t="shared" ca="1" si="75"/>
        <v/>
      </c>
      <c r="BV161" s="188" t="str">
        <f t="shared" si="63"/>
        <v/>
      </c>
      <c r="BW161" s="188" t="str">
        <f t="shared" si="8"/>
        <v/>
      </c>
      <c r="BX161" s="188" t="str">
        <f t="shared" ca="1" si="64"/>
        <v/>
      </c>
      <c r="BY161" s="181" t="str">
        <f t="shared" ca="1" si="65"/>
        <v/>
      </c>
      <c r="CA161" s="192" t="str">
        <f t="shared" si="76"/>
        <v>N</v>
      </c>
      <c r="CB161" s="192" t="str">
        <f t="shared" si="77"/>
        <v>N</v>
      </c>
      <c r="CC161" s="193">
        <f>IFERROR(INDEX(Program_01!$CE:$CE,MATCH($B161,Program_01!$A:$A,0)),"")</f>
        <v>46201</v>
      </c>
      <c r="CD161" s="193">
        <f t="shared" si="66"/>
        <v>46201</v>
      </c>
      <c r="CG161" s="194">
        <f>IFERROR(INDEX(Program_01!$AT:$AT,MATCH($B161,Program_01!$A:$A,0)),"")</f>
        <v>0</v>
      </c>
      <c r="CH161" s="194">
        <f>IFERROR(INDEX(Program_01!$AX:$AX,MATCH($B161,Program_01!$A:$A,0)),"")</f>
        <v>0</v>
      </c>
    </row>
    <row r="162" spans="1:86" s="187" customFormat="1" ht="187">
      <c r="A162" s="174" t="s">
        <v>1</v>
      </c>
      <c r="B162" s="175">
        <f t="shared" si="72"/>
        <v>144</v>
      </c>
      <c r="C162" s="176" t="str">
        <f>IFERROR(INDEX(Program_01!$B:$B,MATCH($B162,Program_01!$A:$A,0)),"")</f>
        <v>COST EAR</v>
      </c>
      <c r="D162" s="176" t="str">
        <f>IFERROR(INDEX(Program_01!$D:$D,MATCH($B162,Program_01!$A:$A,0)),"")</f>
        <v>1TB01002C64</v>
      </c>
      <c r="E162" s="176" t="str">
        <f>IFERROR(INDEX(Program_01!$E:$E,MATCH($B162,Program_01!$A:$A,0)),"")</f>
        <v>1.TB.01.002.02</v>
      </c>
      <c r="F162" s="176" t="str">
        <f>IFERROR(INDEX(Program_01!$F:$F,MATCH($B162,Program_01!$A:$A,0)),"")</f>
        <v>Marina Lifestyle Hotel &amp; Village</v>
      </c>
      <c r="G162" s="176" t="str">
        <f>IFERROR(INDEX(Program_01!$G:$G,MATCH($B162,Program_01!$A:$A,0)),"")</f>
        <v>Fit Out &amp; MEP works for New Facilities</v>
      </c>
      <c r="H162" s="176" t="str">
        <f>IFERROR(INDEX(Program_01!$H:$H,MATCH($B162,Program_01!$A:$A,0)),"")</f>
        <v>Havelock One Interiors Company</v>
      </c>
      <c r="I162" s="176" t="str">
        <f t="shared" si="67"/>
        <v>Prolongation</v>
      </c>
      <c r="J162" s="176">
        <f>IFERROR(INDEX(Program_01!$I:$I,MATCH($B162,Program_01!$A:$A,0)),"")</f>
        <v>0</v>
      </c>
      <c r="K162" s="176">
        <f>IFERROR(INDEX(Program_01!$J:$J,MATCH($B162,Program_01!$A:$A,0)),"")</f>
        <v>1</v>
      </c>
      <c r="L162" s="176">
        <f>IFERROR(INDEX(Program_01!$K:$K,MATCH($B162,Program_01!$A:$A,0)),"")</f>
        <v>0</v>
      </c>
      <c r="M162" s="176">
        <f>IFERROR(INDEX(Program_01!$L:$L,MATCH($B162,Program_01!$A:$A,0)),"")</f>
        <v>0</v>
      </c>
      <c r="N162" s="176">
        <f>IFERROR(INDEX(Program_01!$L:$L,MATCH($B162,Program_01!$A:$A,0)),"")</f>
        <v>0</v>
      </c>
      <c r="O162" s="176">
        <f>IFERROR(INDEX(Program_01!$N:$N,MATCH($B162,Program_01!$A:$A,0)),"")</f>
        <v>0</v>
      </c>
      <c r="P162" s="178"/>
      <c r="Q162" s="179" t="str">
        <f>IFERROR(INDEX(Program_01!$C:$C,MATCH($B162,Program_01!$A:$A,0)),"")</f>
        <v>Prolongation Cost claim for EOT 1</v>
      </c>
      <c r="R162" s="176" t="str">
        <f>IFERROR(INDEX(Program_01!$V:$V,MATCH($B162,Program_01!$A:$A,0)),"")</f>
        <v>HOI01002-TRANSMIT-000267</v>
      </c>
      <c r="S162" s="180">
        <f>IFERROR(INDEX(Program_01!$W:$W,MATCH($B162,Program_01!$A:$A,0)),"")</f>
        <v>46205</v>
      </c>
      <c r="T162" s="178"/>
      <c r="U162" s="176">
        <f>IFERROR(INDEX(Program_01!$Z:$Z,MATCH($B162,Program_01!$A:$A,0)),"")</f>
        <v>0</v>
      </c>
      <c r="V162" s="181">
        <f>IFERROR(INDEX(Program_01!$AA:$AA,MATCH($B162,Program_01!$A:$A,0)),"")</f>
        <v>0</v>
      </c>
      <c r="W162" s="182">
        <f t="shared" ca="1" si="0"/>
        <v>95</v>
      </c>
      <c r="X162" s="51"/>
      <c r="Y162" s="179">
        <f>IFERROR(INDEX(Program_01!$BD:$BD,MATCH($B162,Program_01!$A:$A,0)),"")</f>
        <v>0</v>
      </c>
      <c r="Z162" s="51"/>
      <c r="AA162" s="183" t="str">
        <f>IFERROR(IF((INDEX(Program_01!$AD:$AD,MATCH($B162,Program_01!$A:$A,0))=""),INDEX(Program_01!$V:$V,MATCH($B162,Program_01!$A:$A,0)),INDEX(Program_01!$AD:$AD,MATCH($B162,Program_01!$A:$A,0))),"")</f>
        <v>HOI01002-TRANSMIT-000267</v>
      </c>
      <c r="AB162" s="147">
        <f>IFERROR(IF((INDEX(Program_01!$AE:$AE,MATCH($B162,Program_01!$A:$A,0))=""),INDEX(Program_01!$W:$W,MATCH($B162,Program_01!$A:$A,0)),INDEX(Program_01!$AE:$AE,MATCH($B162,Program_01!$A:$A,0))),"")</f>
        <v>46205</v>
      </c>
      <c r="AC162" s="183">
        <f>IFERROR(IF($I162="EOT",INDEX(Program_01!$AN:$AN,MATCH($B162,Program_01!$A:$A,0)),INDEX(Program_01!$AY:$AY,MATCH($B162,Program_01!$A:$A,0))),"")</f>
        <v>0</v>
      </c>
      <c r="AD162" s="181">
        <f>IFERROR(IF($I162="EOT",INDEX(Program_01!$AO:$AO,MATCH($B162,Program_01!$A:$A,0)),INDEX(Program_01!$AZ:$AZ,MATCH($B162,Program_01!$A:$A,0))),"")</f>
        <v>0</v>
      </c>
      <c r="AE162" s="51"/>
      <c r="AF162" s="183"/>
      <c r="AG162" s="181"/>
      <c r="AH162" s="183" t="str">
        <f>IF(OR($D162="",$AS162="VO Issued",$AS162="Open"),"",IF(OR($AC162="Rejected",$AC162="Superseded",$AC162="Dealt Separately"),$AC162,IF($I162="EOT",INDEX(Program_01!$AR:$AR,MATCH($B162,Program_01!$A:$A,0)),INDEX(Program_01!$BB:$BB,MATCH($B162,Program_01!$A:$A,0)))))</f>
        <v/>
      </c>
      <c r="AI162" s="181" t="str">
        <f>IF(OR($A162="",$B162="",$I162="",$AS162="VO Issued",$AS162="Open"),"",IF(OR($AD162="N/A"),$AD162,IF($I162="EOT",INDEX(Program_01!$AS:$AS,MATCH($B162,Program_01!$A:$A,0)),INDEX(Program_01!$BC:$BC,MATCH($B162,Program_01!$A:$A,0)))))</f>
        <v/>
      </c>
      <c r="AJ162" s="183" t="str">
        <f>IF(OR($D162="",$I162="",$AS162="Determination Issued",$AS162="Rejected",$AS162="Open"),"",IF(OR($AH162="Rejected",$AH162="Dealt Separately",$AH162="Superseded",$AH162="Withdrawn"),"N/A",IF($I162="EOT",INDEX(Program_01!AR:AR,MATCH($B162,Program_01!A:A,0)),INDEX(Program_01!BB:BB,MATCH($B162,Program_01!A:A,0)))))</f>
        <v/>
      </c>
      <c r="AK162" s="181" t="str">
        <f>IF(OR($A162="",$B162="",$I162="",$AS162="Determination Issued",$AS162="Rejected",$AS162="Open"),"",IF($AJ162="N/A","N/A",IF($I162="EOT",INDEX(Program_01!AS:AS,MATCH($B162,Program_01!A:A,0)),INDEX(Program_01!BC:BC,MATCH($B162,Program_01!A:A,0)))))</f>
        <v/>
      </c>
      <c r="AL162" s="51"/>
      <c r="AM162" s="184" t="str">
        <f>IFERROR(INDEX(Program_01!$BT:$BT,MATCH($B162,Program_01!$A:$A,0)),"")</f>
        <v>Revise &amp; resubmit</v>
      </c>
      <c r="AN162" s="184">
        <f>IFERROR(INDEX(Program_01!$BU:$BU,MATCH($B162,Program_01!$A:$A,0)),"")</f>
        <v>0</v>
      </c>
      <c r="AO162" s="184">
        <f>IFERROR(INDEX(Program_01!$BV:$BV,MATCH($B162,Program_01!$A:$A,0)),"")</f>
        <v>0</v>
      </c>
      <c r="AP162" s="51" t="str">
        <f t="shared" si="73"/>
        <v/>
      </c>
      <c r="AQ162" s="184">
        <f>IFERROR(INDEX(Program_01!$BN:$BN,MATCH($B162,Program_01!$A:$A,0)),"")</f>
        <v>0</v>
      </c>
      <c r="AR162" s="184" t="str">
        <f>IFERROR(INDEX(Program_01!$BO:$BO,MATCH($B162,Program_01!$A:$A,0)),"")</f>
        <v>Pending</v>
      </c>
      <c r="AS162" s="184" t="str">
        <f>IFERROR(INDEX(Program_01!$BP:$BP,MATCH($B162,Program_01!$A:$A,0)),"")</f>
        <v>Open</v>
      </c>
      <c r="AT162" s="185" t="str">
        <f>IFERROR(INDEX(Program_01!$BQ:$BQ,MATCH($B162,Program_01!$A:$A,0)),"")</f>
        <v>Contractor</v>
      </c>
      <c r="AU162" s="179" t="str">
        <f>IFERROR(INDEX(Program_01!$BR:$BR,MATCH($B162,Program_01!$A:$A,0)),"")</f>
        <v>05 Jul 26: Contractor submitted Cost claim associated with EOT 1 via 1TB01002-002C64-HOI-LTR-0017 on 02 Jul 26, currently under review with commercial
13 July 26 Commercial to respond to Contractor by 13 July 2026
14 Jul 26: Draft Response sent to claims team for review
16 Jul 26: reverted to commercial to proceed with the issuance
26 July 26: Rejection letter issued to Contractor on 23 July 26, letter ref, 1TB01002-002C64-AMA-LTR-0008 
10 Aug 26: Ditto
23 Aug 26: Commercial response to be issued. Target date 27 Aug 26.
07 Sep 26: RSG's response issued to the Contractor on 31 Augsut 2026 via 1TB01002-002C64-AMA-LTR-0012. In principle, EAR positions remains same. 
21 Sep 26: awaiting response, Ditto</v>
      </c>
      <c r="AV162" s="186" t="str">
        <f t="shared" si="58"/>
        <v/>
      </c>
      <c r="AW162" s="186" t="str">
        <f t="shared" si="74"/>
        <v>OPEN</v>
      </c>
      <c r="AX162" s="186" t="str">
        <f t="shared" si="59"/>
        <v>OPEN</v>
      </c>
      <c r="AY162" s="181">
        <f t="shared" si="68"/>
        <v>46205</v>
      </c>
      <c r="AZ162" s="181" t="str">
        <f t="shared" si="60"/>
        <v/>
      </c>
      <c r="BA162" s="181" t="str">
        <f t="shared" si="4"/>
        <v/>
      </c>
      <c r="BC162" s="181">
        <f>IFERROR(INDEX(Program_01!BF:BF,MATCH($B162,Program_01!$A:$A,0)),"")</f>
        <v>46205</v>
      </c>
      <c r="BD162" s="188">
        <f ca="1">IFERROR(INDEX(Program_01!BG:BG,MATCH($B162,Program_01!$A:$A,0)),"")</f>
        <v>0</v>
      </c>
      <c r="BE162" s="181">
        <f>IFERROR(INDEX(Program_01!BH:BH,MATCH($B162,Program_01!$A:$A,0)),"")</f>
        <v>0</v>
      </c>
      <c r="BF162" s="189" t="str">
        <f ca="1">IFERROR(INDEX(Program_01!BI:BI,MATCH($B162,Program_01!$A:$A,0)),"")</f>
        <v>N/A</v>
      </c>
      <c r="BG162" s="181">
        <f>IFERROR(INDEX(Program_01!BJ:BJ,MATCH($B162,Program_01!$A:$A,0)),"")</f>
        <v>0</v>
      </c>
      <c r="BH162" s="189">
        <f ca="1">IFERROR(INDEX(Program_01!BK:BK,MATCH($B162,Program_01!$A:$A,0)),"")</f>
        <v>0</v>
      </c>
      <c r="BI162" s="181">
        <f>IFERROR(INDEX(Program_01!BL:BL,MATCH($B162,Program_01!$A:$A,0)),"")</f>
        <v>0</v>
      </c>
      <c r="BK162" s="190" t="str">
        <f>IFERROR(IF(INDEX(Program_01!$BX:$BX,MATCH($B162,Program_01!$A:$A,0))=DATE(1900,1,0),"",INDEX(Program_01!$BX:$BX,MATCH($B162,Program_01!$A:$A,0))),"")</f>
        <v/>
      </c>
      <c r="BL162" s="190" t="str">
        <f>IFERROR(IF(INDEX(Program_01!$BY:$BY,MATCH($B162,Program_01!$A:$A,0))=DATE(1900,1,0),"",INDEX(Program_01!$BY:$BY,MATCH($B162,Program_01!$A:$A,0))),"")</f>
        <v/>
      </c>
      <c r="BM162" s="188" t="str">
        <f t="shared" ca="1" si="69"/>
        <v/>
      </c>
      <c r="BN162" s="191">
        <f t="shared" ca="1" si="70"/>
        <v>0</v>
      </c>
      <c r="BO162" s="188" t="str">
        <f t="shared" si="61"/>
        <v/>
      </c>
      <c r="BP162" s="188" t="str">
        <f t="shared" si="6"/>
        <v/>
      </c>
      <c r="BQ162" s="188" t="str">
        <f t="shared" ca="1" si="71"/>
        <v/>
      </c>
      <c r="BR162" s="181" t="str">
        <f t="shared" ca="1" si="62"/>
        <v/>
      </c>
      <c r="BT162" s="190" t="str">
        <f>IFERROR(IF(INDEX(Program_01!$BZ:$BZ,MATCH($B162,Program_01!$A:$A,0))=DATE(1900,1,0),"",INDEX(Program_01!$BZ:$BZ,MATCH($B162,Program_01!$A:$A,0))),"")</f>
        <v/>
      </c>
      <c r="BU162" s="182" t="str">
        <f t="shared" ca="1" si="75"/>
        <v/>
      </c>
      <c r="BV162" s="188" t="str">
        <f t="shared" si="63"/>
        <v/>
      </c>
      <c r="BW162" s="188" t="str">
        <f t="shared" si="8"/>
        <v/>
      </c>
      <c r="BX162" s="188" t="str">
        <f t="shared" ca="1" si="64"/>
        <v/>
      </c>
      <c r="BY162" s="181" t="str">
        <f t="shared" ca="1" si="65"/>
        <v/>
      </c>
      <c r="CA162" s="192" t="str">
        <f t="shared" si="76"/>
        <v>N</v>
      </c>
      <c r="CB162" s="192" t="str">
        <f t="shared" si="77"/>
        <v>N</v>
      </c>
      <c r="CC162" s="193">
        <f>IFERROR(INDEX(Program_01!$CE:$CE,MATCH($B162,Program_01!$A:$A,0)),"")</f>
        <v>46208</v>
      </c>
      <c r="CD162" s="193">
        <f t="shared" si="66"/>
        <v>46208</v>
      </c>
      <c r="CG162" s="194">
        <f>IFERROR(INDEX(Program_01!$AT:$AT,MATCH($B162,Program_01!$A:$A,0)),"")</f>
        <v>906144</v>
      </c>
      <c r="CH162" s="194">
        <f>IFERROR(INDEX(Program_01!$AX:$AX,MATCH($B162,Program_01!$A:$A,0)),"")</f>
        <v>0</v>
      </c>
    </row>
    <row r="163" spans="1:86" s="187" customFormat="1" ht="204">
      <c r="A163" s="174" t="s">
        <v>1</v>
      </c>
      <c r="B163" s="175">
        <f t="shared" si="72"/>
        <v>145</v>
      </c>
      <c r="C163" s="176" t="str">
        <f>IFERROR(INDEX(Program_01!$B:$B,MATCH($B163,Program_01!$A:$A,0)),"")</f>
        <v>FULL TIA EAR</v>
      </c>
      <c r="D163" s="176" t="str">
        <f>IFERROR(INDEX(Program_01!$D:$D,MATCH($B163,Program_01!$A:$A,0)),"")</f>
        <v>1TB01002C64</v>
      </c>
      <c r="E163" s="176" t="str">
        <f>IFERROR(INDEX(Program_01!$E:$E,MATCH($B163,Program_01!$A:$A,0)),"")</f>
        <v>1.TB.01.002.02</v>
      </c>
      <c r="F163" s="176" t="str">
        <f>IFERROR(INDEX(Program_01!$F:$F,MATCH($B163,Program_01!$A:$A,0)),"")</f>
        <v>Marina Lifestyle Hotel &amp; Village</v>
      </c>
      <c r="G163" s="176" t="str">
        <f>IFERROR(INDEX(Program_01!$G:$G,MATCH($B163,Program_01!$A:$A,0)),"")</f>
        <v>Fit Out &amp; MEP works for New Facilities</v>
      </c>
      <c r="H163" s="176" t="str">
        <f>IFERROR(INDEX(Program_01!$H:$H,MATCH($B163,Program_01!$A:$A,0)),"")</f>
        <v>Havelock One Interiors Company</v>
      </c>
      <c r="I163" s="176" t="str">
        <f t="shared" si="67"/>
        <v>EOT</v>
      </c>
      <c r="J163" s="176">
        <f>IFERROR(INDEX(Program_01!$I:$I,MATCH($B163,Program_01!$A:$A,0)),"")</f>
        <v>1</v>
      </c>
      <c r="K163" s="176">
        <f>IFERROR(INDEX(Program_01!$J:$J,MATCH($B163,Program_01!$A:$A,0)),"")</f>
        <v>0</v>
      </c>
      <c r="L163" s="176">
        <f>IFERROR(INDEX(Program_01!$K:$K,MATCH($B163,Program_01!$A:$A,0)),"")</f>
        <v>0</v>
      </c>
      <c r="M163" s="176">
        <f>IFERROR(INDEX(Program_01!$L:$L,MATCH($B163,Program_01!$A:$A,0)),"")</f>
        <v>0</v>
      </c>
      <c r="N163" s="176">
        <f>IFERROR(INDEX(Program_01!$L:$L,MATCH($B163,Program_01!$A:$A,0)),"")</f>
        <v>0</v>
      </c>
      <c r="O163" s="176">
        <f>IFERROR(INDEX(Program_01!$N:$N,MATCH($B163,Program_01!$A:$A,0)),"")</f>
        <v>0</v>
      </c>
      <c r="P163" s="178"/>
      <c r="Q163" s="179" t="str">
        <f>IFERROR(INDEX(Program_01!$C:$C,MATCH($B163,Program_01!$A:$A,0)),"")</f>
        <v>Extension of Time- EOT 2</v>
      </c>
      <c r="R163" s="176" t="str">
        <f>IFERROR(INDEX(Program_01!$V:$V,MATCH($B163,Program_01!$A:$A,0)),"")</f>
        <v>1TB01002-002C64-HOI-LTR-0018</v>
      </c>
      <c r="S163" s="180">
        <f>IFERROR(INDEX(Program_01!$W:$W,MATCH($B163,Program_01!$A:$A,0)),"")</f>
        <v>46209</v>
      </c>
      <c r="T163" s="178"/>
      <c r="U163" s="176">
        <f>IFERROR(INDEX(Program_01!$Z:$Z,MATCH($B163,Program_01!$A:$A,0)),"")</f>
        <v>0</v>
      </c>
      <c r="V163" s="181">
        <f>IFERROR(INDEX(Program_01!$AA:$AA,MATCH($B163,Program_01!$A:$A,0)),"")</f>
        <v>0</v>
      </c>
      <c r="W163" s="182">
        <f t="shared" ca="1" si="0"/>
        <v>91</v>
      </c>
      <c r="X163" s="51"/>
      <c r="Y163" s="179">
        <f>IFERROR(INDEX(Program_01!$BD:$BD,MATCH($B163,Program_01!$A:$A,0)),"")</f>
        <v>0</v>
      </c>
      <c r="Z163" s="51"/>
      <c r="AA163" s="183" t="str">
        <f>IFERROR(IF((INDEX(Program_01!$AD:$AD,MATCH($B163,Program_01!$A:$A,0))=""),INDEX(Program_01!$V:$V,MATCH($B163,Program_01!$A:$A,0)),INDEX(Program_01!$AD:$AD,MATCH($B163,Program_01!$A:$A,0))),"")</f>
        <v>1TB01002-002C64-HOI-LTR-0018</v>
      </c>
      <c r="AB163" s="147">
        <f>IFERROR(IF((INDEX(Program_01!$AE:$AE,MATCH($B163,Program_01!$A:$A,0))=""),INDEX(Program_01!$W:$W,MATCH($B163,Program_01!$A:$A,0)),INDEX(Program_01!$AE:$AE,MATCH($B163,Program_01!$A:$A,0))),"")</f>
        <v>46209</v>
      </c>
      <c r="AC163" s="183">
        <f>IFERROR(IF($I163="EOT",INDEX(Program_01!$AN:$AN,MATCH($B163,Program_01!$A:$A,0)),INDEX(Program_01!$AY:$AY,MATCH($B163,Program_01!$A:$A,0))),"")</f>
        <v>0</v>
      </c>
      <c r="AD163" s="181">
        <f>IFERROR(IF($I163="EOT",INDEX(Program_01!$AO:$AO,MATCH($B163,Program_01!$A:$A,0)),INDEX(Program_01!$AZ:$AZ,MATCH($B163,Program_01!$A:$A,0))),"")</f>
        <v>0</v>
      </c>
      <c r="AE163" s="51"/>
      <c r="AF163" s="183"/>
      <c r="AG163" s="181"/>
      <c r="AH163" s="183" t="str">
        <f>IF(OR($D163="",$AS163="VO Issued",$AS163="Open"),"",IF(OR($AC163="Rejected",$AC163="Superseded",$AC163="Dealt Separately"),$AC163,IF($I163="EOT",INDEX(Program_01!$AR:$AR,MATCH($B163,Program_01!$A:$A,0)),INDEX(Program_01!$BB:$BB,MATCH($B163,Program_01!$A:$A,0)))))</f>
        <v/>
      </c>
      <c r="AI163" s="181" t="str">
        <f>IF(OR($A163="",$B163="",$I163="",$AS163="VO Issued",$AS163="Open"),"",IF(OR($AD163="N/A"),$AD163,IF($I163="EOT",INDEX(Program_01!$AS:$AS,MATCH($B163,Program_01!$A:$A,0)),INDEX(Program_01!$BC:$BC,MATCH($B163,Program_01!$A:$A,0)))))</f>
        <v/>
      </c>
      <c r="AJ163" s="183" t="str">
        <f>IF(OR($D163="",$I163="",$AS163="Determination Issued",$AS163="Rejected",$AS163="Open"),"",IF(OR($AH163="Rejected",$AH163="Dealt Separately",$AH163="Superseded",$AH163="Withdrawn"),"N/A",IF($I163="EOT",INDEX(Program_01!AR:AR,MATCH($B163,Program_01!A:A,0)),INDEX(Program_01!BB:BB,MATCH($B163,Program_01!A:A,0)))))</f>
        <v/>
      </c>
      <c r="AK163" s="181" t="str">
        <f>IF(OR($A163="",$B163="",$I163="",$AS163="Determination Issued",$AS163="Rejected",$AS163="Open"),"",IF($AJ163="N/A","N/A",IF($I163="EOT",INDEX(Program_01!AS:AS,MATCH($B163,Program_01!A:A,0)),INDEX(Program_01!BC:BC,MATCH($B163,Program_01!A:A,0)))))</f>
        <v/>
      </c>
      <c r="AL163" s="51"/>
      <c r="AM163" s="184">
        <f>IFERROR(INDEX(Program_01!$BT:$BT,MATCH($B163,Program_01!$A:$A,0)),"")</f>
        <v>0</v>
      </c>
      <c r="AN163" s="184">
        <f>IFERROR(INDEX(Program_01!$BU:$BU,MATCH($B163,Program_01!$A:$A,0)),"")</f>
        <v>0</v>
      </c>
      <c r="AO163" s="184">
        <f>IFERROR(INDEX(Program_01!$BV:$BV,MATCH($B163,Program_01!$A:$A,0)),"")</f>
        <v>0</v>
      </c>
      <c r="AP163" s="51" t="str">
        <f t="shared" si="73"/>
        <v/>
      </c>
      <c r="AQ163" s="184">
        <f>IFERROR(INDEX(Program_01!$BN:$BN,MATCH($B163,Program_01!$A:$A,0)),"")</f>
        <v>0</v>
      </c>
      <c r="AR163" s="184" t="str">
        <f>IFERROR(INDEX(Program_01!$BO:$BO,MATCH($B163,Program_01!$A:$A,0)),"")</f>
        <v>Pending</v>
      </c>
      <c r="AS163" s="184" t="str">
        <f>IFERROR(INDEX(Program_01!$BP:$BP,MATCH($B163,Program_01!$A:$A,0)),"")</f>
        <v>Open</v>
      </c>
      <c r="AT163" s="185" t="str">
        <f>IFERROR(INDEX(Program_01!$BQ:$BQ,MATCH($B163,Program_01!$A:$A,0)),"")</f>
        <v>Contractor</v>
      </c>
      <c r="AU163" s="179" t="str">
        <f>IFERROR(INDEX(Program_01!$BR:$BR,MATCH($B163,Program_01!$A:$A,0)),"")</f>
        <v>06 Jul 26: Contractor submitted EOT 2 &amp; associated prolongation cost claim via 1TB01002-002C64-HOI-LTR-0018, currently under review with commercial &amp; planning 
13 July 26: Commercial target submit draft EAR to claims date is 26 July 2026
26 July 26: Ditto, target date moved to 28 Jul 26
10 Aug 26: Target date moved to 12 Aug 26
23 Aug 26: Target date TBA. Action with commercial team
06 Sep 26: RSG (Commercial and Planning) conducted a workshop with the Contractor on 1 Sep 26 to consolidate the EOT 2 and 3 related to 00C64 Contract. Contractor agreed with the Employer's proposed approach to consolidate based on the EOT 2&amp;3 submissions (EOT 3 received on 17 August 26). Recorded minutes and agreed action will be formalized to the Contractor on or before 10 Sep 2026. [Claims #145  + 158 to be combined in one EAR]
21 Sep 26: Priority given to 002C61 Contract's EAR. This EAR target to issue on or before 8 Oct 26.
04 Oct 26: Based on the Consultation with the Contractor on 29 September 2026, Contractor committed to submit the substantiation on or before 8 October 2026.</v>
      </c>
      <c r="AV163" s="186" t="str">
        <f t="shared" si="58"/>
        <v/>
      </c>
      <c r="AW163" s="186" t="str">
        <f t="shared" si="74"/>
        <v>OPEN</v>
      </c>
      <c r="AX163" s="186" t="str">
        <f t="shared" si="59"/>
        <v>OPEN</v>
      </c>
      <c r="AY163" s="181">
        <f t="shared" si="68"/>
        <v>46209</v>
      </c>
      <c r="AZ163" s="181" t="str">
        <f t="shared" si="60"/>
        <v/>
      </c>
      <c r="BA163" s="181" t="str">
        <f t="shared" si="4"/>
        <v/>
      </c>
      <c r="BC163" s="181">
        <f>IFERROR(INDEX(Program_01!BF:BF,MATCH($B163,Program_01!$A:$A,0)),"")</f>
        <v>46209</v>
      </c>
      <c r="BD163" s="188">
        <f ca="1">IFERROR(INDEX(Program_01!BG:BG,MATCH($B163,Program_01!$A:$A,0)),"")</f>
        <v>91</v>
      </c>
      <c r="BE163" s="181">
        <f>IFERROR(INDEX(Program_01!BH:BH,MATCH($B163,Program_01!$A:$A,0)),"")</f>
        <v>0</v>
      </c>
      <c r="BF163" s="189">
        <f ca="1">IFERROR(INDEX(Program_01!BI:BI,MATCH($B163,Program_01!$A:$A,0)),"")</f>
        <v>0</v>
      </c>
      <c r="BG163" s="181">
        <f>IFERROR(INDEX(Program_01!BJ:BJ,MATCH($B163,Program_01!$A:$A,0)),"")</f>
        <v>0</v>
      </c>
      <c r="BH163" s="189">
        <f ca="1">IFERROR(INDEX(Program_01!BK:BK,MATCH($B163,Program_01!$A:$A,0)),"")</f>
        <v>0</v>
      </c>
      <c r="BI163" s="181">
        <f>IFERROR(INDEX(Program_01!BL:BL,MATCH($B163,Program_01!$A:$A,0)),"")</f>
        <v>0</v>
      </c>
      <c r="BK163" s="190" t="str">
        <f>IFERROR(IF(INDEX(Program_01!$BX:$BX,MATCH($B163,Program_01!$A:$A,0))=DATE(1900,1,0),"",INDEX(Program_01!$BX:$BX,MATCH($B163,Program_01!$A:$A,0))),"")</f>
        <v/>
      </c>
      <c r="BL163" s="190" t="str">
        <f>IFERROR(IF(INDEX(Program_01!$BY:$BY,MATCH($B163,Program_01!$A:$A,0))=DATE(1900,1,0),"",INDEX(Program_01!$BY:$BY,MATCH($B163,Program_01!$A:$A,0))),"")</f>
        <v/>
      </c>
      <c r="BM163" s="188" t="str">
        <f t="shared" ca="1" si="69"/>
        <v/>
      </c>
      <c r="BN163" s="191" t="str">
        <f t="shared" ca="1" si="70"/>
        <v/>
      </c>
      <c r="BO163" s="188" t="str">
        <f t="shared" si="61"/>
        <v/>
      </c>
      <c r="BP163" s="188" t="str">
        <f t="shared" si="6"/>
        <v/>
      </c>
      <c r="BQ163" s="188" t="str">
        <f t="shared" ca="1" si="71"/>
        <v/>
      </c>
      <c r="BR163" s="181" t="str">
        <f t="shared" ca="1" si="62"/>
        <v/>
      </c>
      <c r="BT163" s="190" t="str">
        <f>IFERROR(IF(INDEX(Program_01!$BZ:$BZ,MATCH($B163,Program_01!$A:$A,0))=DATE(1900,1,0),"",INDEX(Program_01!$BZ:$BZ,MATCH($B163,Program_01!$A:$A,0))),"")</f>
        <v/>
      </c>
      <c r="BU163" s="182" t="str">
        <f t="shared" ca="1" si="75"/>
        <v/>
      </c>
      <c r="BV163" s="188" t="str">
        <f t="shared" si="63"/>
        <v/>
      </c>
      <c r="BW163" s="188" t="str">
        <f t="shared" si="8"/>
        <v/>
      </c>
      <c r="BX163" s="188" t="str">
        <f t="shared" ca="1" si="64"/>
        <v/>
      </c>
      <c r="BY163" s="181" t="str">
        <f t="shared" ca="1" si="65"/>
        <v/>
      </c>
      <c r="CA163" s="192" t="str">
        <f t="shared" si="76"/>
        <v>N</v>
      </c>
      <c r="CB163" s="192" t="str">
        <f t="shared" si="77"/>
        <v>N</v>
      </c>
      <c r="CC163" s="193">
        <f>IFERROR(INDEX(Program_01!$CE:$CE,MATCH($B163,Program_01!$A:$A,0)),"")</f>
        <v>46209</v>
      </c>
      <c r="CD163" s="193">
        <f t="shared" si="66"/>
        <v>46209</v>
      </c>
      <c r="CG163" s="194">
        <f>IFERROR(INDEX(Program_01!$AT:$AT,MATCH($B163,Program_01!$A:$A,0)),"")</f>
        <v>0</v>
      </c>
      <c r="CH163" s="194">
        <f>IFERROR(INDEX(Program_01!$AX:$AX,MATCH($B163,Program_01!$A:$A,0)),"")</f>
        <v>0</v>
      </c>
    </row>
    <row r="164" spans="1:86" s="187" customFormat="1" ht="136">
      <c r="A164" s="174" t="s">
        <v>1</v>
      </c>
      <c r="B164" s="175">
        <f t="shared" si="72"/>
        <v>146</v>
      </c>
      <c r="C164" s="176" t="str">
        <f>IFERROR(INDEX(Program_01!$B:$B,MATCH($B164,Program_01!$A:$A,0)),"")</f>
        <v>COST EAR</v>
      </c>
      <c r="D164" s="176" t="str">
        <f>IFERROR(INDEX(Program_01!$D:$D,MATCH($B164,Program_01!$A:$A,0)),"")</f>
        <v>1TB01002C64</v>
      </c>
      <c r="E164" s="176" t="str">
        <f>IFERROR(INDEX(Program_01!$E:$E,MATCH($B164,Program_01!$A:$A,0)),"")</f>
        <v>1.TB.01.002.02</v>
      </c>
      <c r="F164" s="176" t="str">
        <f>IFERROR(INDEX(Program_01!$F:$F,MATCH($B164,Program_01!$A:$A,0)),"")</f>
        <v>Marina Lifestyle Hotel &amp; Village</v>
      </c>
      <c r="G164" s="176" t="str">
        <f>IFERROR(INDEX(Program_01!$G:$G,MATCH($B164,Program_01!$A:$A,0)),"")</f>
        <v>Fit Out &amp; MEP works for New Facilities</v>
      </c>
      <c r="H164" s="176" t="str">
        <f>IFERROR(INDEX(Program_01!$H:$H,MATCH($B164,Program_01!$A:$A,0)),"")</f>
        <v>Havelock One Interiors Company</v>
      </c>
      <c r="I164" s="176" t="str">
        <f t="shared" si="67"/>
        <v>Prolongation</v>
      </c>
      <c r="J164" s="176">
        <f>IFERROR(INDEX(Program_01!$I:$I,MATCH($B164,Program_01!$A:$A,0)),"")</f>
        <v>0</v>
      </c>
      <c r="K164" s="176">
        <f>IFERROR(INDEX(Program_01!$J:$J,MATCH($B164,Program_01!$A:$A,0)),"")</f>
        <v>1</v>
      </c>
      <c r="L164" s="176">
        <f>IFERROR(INDEX(Program_01!$K:$K,MATCH($B164,Program_01!$A:$A,0)),"")</f>
        <v>0</v>
      </c>
      <c r="M164" s="176">
        <f>IFERROR(INDEX(Program_01!$L:$L,MATCH($B164,Program_01!$A:$A,0)),"")</f>
        <v>0</v>
      </c>
      <c r="N164" s="176">
        <f>IFERROR(INDEX(Program_01!$L:$L,MATCH($B164,Program_01!$A:$A,0)),"")</f>
        <v>0</v>
      </c>
      <c r="O164" s="176">
        <f>IFERROR(INDEX(Program_01!$N:$N,MATCH($B164,Program_01!$A:$A,0)),"")</f>
        <v>0</v>
      </c>
      <c r="P164" s="178"/>
      <c r="Q164" s="179" t="str">
        <f>IFERROR(INDEX(Program_01!$C:$C,MATCH($B164,Program_01!$A:$A,0)),"")</f>
        <v>Prolongation Cost claim for EOT 2</v>
      </c>
      <c r="R164" s="176" t="str">
        <f>IFERROR(INDEX(Program_01!$V:$V,MATCH($B164,Program_01!$A:$A,0)),"")</f>
        <v>1TB01002-002C64-HOI-LTR-0018</v>
      </c>
      <c r="S164" s="180">
        <f>IFERROR(INDEX(Program_01!$W:$W,MATCH($B164,Program_01!$A:$A,0)),"")</f>
        <v>46209</v>
      </c>
      <c r="T164" s="178"/>
      <c r="U164" s="176" t="str">
        <f>IFERROR(INDEX(Program_01!$Z:$Z,MATCH($B164,Program_01!$A:$A,0)),"")</f>
        <v>1TB01002-002C64-AMA-LTR-0009</v>
      </c>
      <c r="V164" s="181">
        <f>IFERROR(INDEX(Program_01!$AA:$AA,MATCH($B164,Program_01!$A:$A,0)),"")</f>
        <v>46244</v>
      </c>
      <c r="W164" s="182">
        <f t="shared" ca="1" si="0"/>
        <v>35</v>
      </c>
      <c r="X164" s="51"/>
      <c r="Y164" s="179">
        <f>IFERROR(INDEX(Program_01!$BD:$BD,MATCH($B164,Program_01!$A:$A,0)),"")</f>
        <v>0</v>
      </c>
      <c r="Z164" s="51"/>
      <c r="AA164" s="183" t="str">
        <f>IFERROR(IF((INDEX(Program_01!$AD:$AD,MATCH($B164,Program_01!$A:$A,0))=""),INDEX(Program_01!$V:$V,MATCH($B164,Program_01!$A:$A,0)),INDEX(Program_01!$AD:$AD,MATCH($B164,Program_01!$A:$A,0))),"")</f>
        <v>1TB01002-002C64-HOI-LTR-0018</v>
      </c>
      <c r="AB164" s="147">
        <f>IFERROR(IF((INDEX(Program_01!$AE:$AE,MATCH($B164,Program_01!$A:$A,0))=""),INDEX(Program_01!$W:$W,MATCH($B164,Program_01!$A:$A,0)),INDEX(Program_01!$AE:$AE,MATCH($B164,Program_01!$A:$A,0))),"")</f>
        <v>46209</v>
      </c>
      <c r="AC164" s="183">
        <f>IFERROR(IF($I164="EOT",INDEX(Program_01!$AN:$AN,MATCH($B164,Program_01!$A:$A,0)),INDEX(Program_01!$AY:$AY,MATCH($B164,Program_01!$A:$A,0))),"")</f>
        <v>0</v>
      </c>
      <c r="AD164" s="181">
        <f>IFERROR(IF($I164="EOT",INDEX(Program_01!$AO:$AO,MATCH($B164,Program_01!$A:$A,0)),INDEX(Program_01!$AZ:$AZ,MATCH($B164,Program_01!$A:$A,0))),"")</f>
        <v>0</v>
      </c>
      <c r="AE164" s="51"/>
      <c r="AF164" s="183"/>
      <c r="AG164" s="181"/>
      <c r="AH164" s="183" t="str">
        <f>IF(OR($D164="",$AS164="VO Issued",$AS164="Open"),"",IF(OR($AC164="Rejected",$AC164="Superseded",$AC164="Dealt Separately"),$AC164,IF($I164="EOT",INDEX(Program_01!$AR:$AR,MATCH($B164,Program_01!$A:$A,0)),INDEX(Program_01!$BB:$BB,MATCH($B164,Program_01!$A:$A,0)))))</f>
        <v/>
      </c>
      <c r="AI164" s="181" t="str">
        <f>IF(OR($A164="",$B164="",$I164="",$AS164="VO Issued",$AS164="Open"),"",IF(OR($AD164="N/A"),$AD164,IF($I164="EOT",INDEX(Program_01!$AS:$AS,MATCH($B164,Program_01!$A:$A,0)),INDEX(Program_01!$BC:$BC,MATCH($B164,Program_01!$A:$A,0)))))</f>
        <v/>
      </c>
      <c r="AJ164" s="183" t="str">
        <f>IF(OR($D164="",$I164="",$AS164="Determination Issued",$AS164="Rejected",$AS164="Open"),"",IF(OR($AH164="Rejected",$AH164="Dealt Separately",$AH164="Superseded",$AH164="Withdrawn"),"N/A",IF($I164="EOT",INDEX(Program_01!AR:AR,MATCH($B164,Program_01!A:A,0)),INDEX(Program_01!BB:BB,MATCH($B164,Program_01!A:A,0)))))</f>
        <v/>
      </c>
      <c r="AK164" s="181" t="str">
        <f>IF(OR($A164="",$B164="",$I164="",$AS164="Determination Issued",$AS164="Rejected",$AS164="Open"),"",IF($AJ164="N/A","N/A",IF($I164="EOT",INDEX(Program_01!AS:AS,MATCH($B164,Program_01!A:A,0)),INDEX(Program_01!BC:BC,MATCH($B164,Program_01!A:A,0)))))</f>
        <v/>
      </c>
      <c r="AL164" s="51"/>
      <c r="AM164" s="184" t="str">
        <f>IFERROR(INDEX(Program_01!$BT:$BT,MATCH($B164,Program_01!$A:$A,0)),"")</f>
        <v>Revise &amp; resubmit</v>
      </c>
      <c r="AN164" s="184">
        <f>IFERROR(INDEX(Program_01!$BU:$BU,MATCH($B164,Program_01!$A:$A,0)),"")</f>
        <v>0</v>
      </c>
      <c r="AO164" s="184">
        <f>IFERROR(INDEX(Program_01!$BV:$BV,MATCH($B164,Program_01!$A:$A,0)),"")</f>
        <v>0</v>
      </c>
      <c r="AP164" s="51" t="str">
        <f t="shared" si="73"/>
        <v/>
      </c>
      <c r="AQ164" s="184">
        <f>IFERROR(INDEX(Program_01!$BN:$BN,MATCH($B164,Program_01!$A:$A,0)),"")</f>
        <v>0</v>
      </c>
      <c r="AR164" s="184" t="str">
        <f>IFERROR(INDEX(Program_01!$BO:$BO,MATCH($B164,Program_01!$A:$A,0)),"")</f>
        <v>Pending</v>
      </c>
      <c r="AS164" s="184" t="str">
        <f>IFERROR(INDEX(Program_01!$BP:$BP,MATCH($B164,Program_01!$A:$A,0)),"")</f>
        <v>Open</v>
      </c>
      <c r="AT164" s="185" t="str">
        <f>IFERROR(INDEX(Program_01!$BQ:$BQ,MATCH($B164,Program_01!$A:$A,0)),"")</f>
        <v>Contractor</v>
      </c>
      <c r="AU164" s="179" t="str">
        <f>IFERROR(INDEX(Program_01!$BR:$BR,MATCH($B164,Program_01!$A:$A,0)),"")</f>
        <v>06 Jul 26: Contractor submitted EOT 2 &amp; associated prolongation cost claim via 1TB01002-002C64-HOI-LTR-0018, currently under review with commercial &amp; planning 
13 Jul 26: EAR traget date to complete by 09 Aug 2026
26 July 26: Ditto
10 Aug 26: Prolongation cost rejection letter approved (WF-042544, Let. ref. 1TB01002-002C64-AMA-LTR-0009)  for Contractor issue on 09 Aug 26, letter issued to contractor
23 Aug 26: Pending Contractor submission.
21 Aug 26: Ditto</v>
      </c>
      <c r="AV164" s="186" t="str">
        <f t="shared" si="58"/>
        <v/>
      </c>
      <c r="AW164" s="186" t="str">
        <f t="shared" si="74"/>
        <v>OPEN</v>
      </c>
      <c r="AX164" s="186" t="str">
        <f t="shared" si="59"/>
        <v>OPEN</v>
      </c>
      <c r="AY164" s="181">
        <f t="shared" si="68"/>
        <v>46209</v>
      </c>
      <c r="AZ164" s="181" t="str">
        <f t="shared" si="60"/>
        <v/>
      </c>
      <c r="BA164" s="181" t="str">
        <f t="shared" si="4"/>
        <v/>
      </c>
      <c r="BC164" s="181">
        <f>IFERROR(INDEX(Program_01!BF:BF,MATCH($B164,Program_01!$A:$A,0)),"")</f>
        <v>46209</v>
      </c>
      <c r="BD164" s="188">
        <f ca="1">IFERROR(INDEX(Program_01!BG:BG,MATCH($B164,Program_01!$A:$A,0)),"")</f>
        <v>0</v>
      </c>
      <c r="BE164" s="181">
        <f>IFERROR(INDEX(Program_01!BH:BH,MATCH($B164,Program_01!$A:$A,0)),"")</f>
        <v>0</v>
      </c>
      <c r="BF164" s="189" t="str">
        <f ca="1">IFERROR(INDEX(Program_01!BI:BI,MATCH($B164,Program_01!$A:$A,0)),"")</f>
        <v>N/A</v>
      </c>
      <c r="BG164" s="181">
        <f>IFERROR(INDEX(Program_01!BJ:BJ,MATCH($B164,Program_01!$A:$A,0)),"")</f>
        <v>0</v>
      </c>
      <c r="BH164" s="189">
        <f ca="1">IFERROR(INDEX(Program_01!BK:BK,MATCH($B164,Program_01!$A:$A,0)),"")</f>
        <v>0</v>
      </c>
      <c r="BI164" s="181">
        <f>IFERROR(INDEX(Program_01!BL:BL,MATCH($B164,Program_01!$A:$A,0)),"")</f>
        <v>0</v>
      </c>
      <c r="BK164" s="190" t="str">
        <f>IFERROR(IF(INDEX(Program_01!$BX:$BX,MATCH($B164,Program_01!$A:$A,0))=DATE(1900,1,0),"",INDEX(Program_01!$BX:$BX,MATCH($B164,Program_01!$A:$A,0))),"")</f>
        <v/>
      </c>
      <c r="BL164" s="190" t="str">
        <f>IFERROR(IF(INDEX(Program_01!$BY:$BY,MATCH($B164,Program_01!$A:$A,0))=DATE(1900,1,0),"",INDEX(Program_01!$BY:$BY,MATCH($B164,Program_01!$A:$A,0))),"")</f>
        <v/>
      </c>
      <c r="BM164" s="188" t="str">
        <f t="shared" ca="1" si="69"/>
        <v/>
      </c>
      <c r="BN164" s="191">
        <f t="shared" ca="1" si="70"/>
        <v>0</v>
      </c>
      <c r="BO164" s="188" t="str">
        <f t="shared" si="61"/>
        <v/>
      </c>
      <c r="BP164" s="188" t="str">
        <f t="shared" si="6"/>
        <v/>
      </c>
      <c r="BQ164" s="188" t="str">
        <f t="shared" ca="1" si="71"/>
        <v/>
      </c>
      <c r="BR164" s="181" t="str">
        <f t="shared" ca="1" si="62"/>
        <v/>
      </c>
      <c r="BT164" s="190" t="str">
        <f>IFERROR(IF(INDEX(Program_01!$BZ:$BZ,MATCH($B164,Program_01!$A:$A,0))=DATE(1900,1,0),"",INDEX(Program_01!$BZ:$BZ,MATCH($B164,Program_01!$A:$A,0))),"")</f>
        <v/>
      </c>
      <c r="BU164" s="182" t="str">
        <f t="shared" ca="1" si="75"/>
        <v/>
      </c>
      <c r="BV164" s="188" t="str">
        <f t="shared" si="63"/>
        <v/>
      </c>
      <c r="BW164" s="188" t="str">
        <f t="shared" si="8"/>
        <v/>
      </c>
      <c r="BX164" s="188" t="str">
        <f t="shared" ca="1" si="64"/>
        <v/>
      </c>
      <c r="BY164" s="181" t="str">
        <f t="shared" ca="1" si="65"/>
        <v/>
      </c>
      <c r="CA164" s="192" t="str">
        <f t="shared" si="76"/>
        <v>N</v>
      </c>
      <c r="CB164" s="192" t="str">
        <f t="shared" si="77"/>
        <v>N</v>
      </c>
      <c r="CC164" s="193">
        <f>IFERROR(INDEX(Program_01!$CE:$CE,MATCH($B164,Program_01!$A:$A,0)),"")</f>
        <v>46209</v>
      </c>
      <c r="CD164" s="193">
        <f t="shared" si="66"/>
        <v>46209</v>
      </c>
      <c r="CG164" s="194">
        <f>IFERROR(INDEX(Program_01!$AT:$AT,MATCH($B164,Program_01!$A:$A,0)),"")</f>
        <v>1014490.59</v>
      </c>
      <c r="CH164" s="194">
        <f>IFERROR(INDEX(Program_01!$AX:$AX,MATCH($B164,Program_01!$A:$A,0)),"")</f>
        <v>0</v>
      </c>
    </row>
    <row r="165" spans="1:86" s="187" customFormat="1" ht="136">
      <c r="A165" s="174" t="s">
        <v>1</v>
      </c>
      <c r="B165" s="201">
        <f t="shared" si="72"/>
        <v>147</v>
      </c>
      <c r="C165" s="176" t="str">
        <f>IFERROR(INDEX(Program_01!$B:$B,MATCH($B165,Program_01!$A:$A,0)),"")</f>
        <v>FULL TIA EAR</v>
      </c>
      <c r="D165" s="176" t="str">
        <f>IFERROR(INDEX(Program_01!$D:$D,MATCH($B165,Program_01!$A:$A,0)),"")</f>
        <v>1TB01002C06</v>
      </c>
      <c r="E165" s="176" t="str">
        <f>IFERROR(INDEX(Program_01!$E:$E,MATCH($B165,Program_01!$A:$A,0)),"")</f>
        <v>1TB.01.002.99</v>
      </c>
      <c r="F165" s="176" t="str">
        <f>IFERROR(INDEX(Program_01!$F:$F,MATCH($B165,Program_01!$A:$A,0)),"")</f>
        <v>Marina Lifestyle Hotel &amp; Village</v>
      </c>
      <c r="G165" s="176" t="str">
        <f>IFERROR(INDEX(Program_01!$G:$G,MATCH($B165,Program_01!$A:$A,0)),"")</f>
        <v>MLH - Havelock One Interiors Company - Fit-Out Works</v>
      </c>
      <c r="H165" s="176" t="str">
        <f>IFERROR(INDEX(Program_01!$H:$H,MATCH($B165,Program_01!$A:$A,0)),"")</f>
        <v>Havelock One Interiors WLL – KSA</v>
      </c>
      <c r="I165" s="176" t="str">
        <f t="shared" si="67"/>
        <v>EOT</v>
      </c>
      <c r="J165" s="176">
        <f>IFERROR(INDEX(Program_01!$I:$I,MATCH($B165,Program_01!$A:$A,0)),"")</f>
        <v>1</v>
      </c>
      <c r="K165" s="176">
        <f>IFERROR(INDEX(Program_01!$J:$J,MATCH($B165,Program_01!$A:$A,0)),"")</f>
        <v>0</v>
      </c>
      <c r="L165" s="176">
        <f>IFERROR(INDEX(Program_01!$K:$K,MATCH($B165,Program_01!$A:$A,0)),"")</f>
        <v>0</v>
      </c>
      <c r="M165" s="176">
        <f>IFERROR(INDEX(Program_01!$L:$L,MATCH($B165,Program_01!$A:$A,0)),"")</f>
        <v>0</v>
      </c>
      <c r="N165" s="176">
        <f>IFERROR(INDEX(Program_01!$L:$L,MATCH($B165,Program_01!$A:$A,0)),"")</f>
        <v>0</v>
      </c>
      <c r="O165" s="176">
        <f>IFERROR(INDEX(Program_01!$N:$N,MATCH($B165,Program_01!$A:$A,0)),"")</f>
        <v>0</v>
      </c>
      <c r="P165" s="178"/>
      <c r="Q165" s="179" t="str">
        <f>IFERROR(INDEX(Program_01!$C:$C,MATCH($B165,Program_01!$A:$A,0)),"")</f>
        <v>Extension of Time- EOT 4</v>
      </c>
      <c r="R165" s="176" t="str">
        <f>IFERROR(INDEX(Program_01!$V:$V,MATCH($B165,Program_01!$A:$A,0)),"")</f>
        <v>1TB01002-002C06-HOI-LTR-0100</v>
      </c>
      <c r="S165" s="180">
        <f>IFERROR(INDEX(Program_01!$W:$W,MATCH($B165,Program_01!$A:$A,0)),"")</f>
        <v>46216</v>
      </c>
      <c r="T165" s="178"/>
      <c r="U165" s="176">
        <f>IFERROR(INDEX(Program_01!$Z:$Z,MATCH($B165,Program_01!$A:$A,0)),"")</f>
        <v>0</v>
      </c>
      <c r="V165" s="181">
        <f>IFERROR(INDEX(Program_01!$AA:$AA,MATCH($B165,Program_01!$A:$A,0)),"")</f>
        <v>0</v>
      </c>
      <c r="W165" s="182">
        <f t="shared" ca="1" si="0"/>
        <v>84</v>
      </c>
      <c r="X165" s="51"/>
      <c r="Y165" s="179">
        <f>IFERROR(INDEX(Program_01!$BD:$BD,MATCH($B165,Program_01!$A:$A,0)),"")</f>
        <v>0</v>
      </c>
      <c r="Z165" s="51"/>
      <c r="AA165" s="183" t="str">
        <f>IFERROR(IF((INDEX(Program_01!$AD:$AD,MATCH($B165,Program_01!$A:$A,0))=""),INDEX(Program_01!$V:$V,MATCH($B165,Program_01!$A:$A,0)),INDEX(Program_01!$AD:$AD,MATCH($B165,Program_01!$A:$A,0))),"")</f>
        <v>1TB01002-002C06-HOI-LTR-0100</v>
      </c>
      <c r="AB165" s="147">
        <f>IFERROR(IF((INDEX(Program_01!$AE:$AE,MATCH($B165,Program_01!$A:$A,0))=""),INDEX(Program_01!$W:$W,MATCH($B165,Program_01!$A:$A,0)),INDEX(Program_01!$AE:$AE,MATCH($B165,Program_01!$A:$A,0))),"")</f>
        <v>46216</v>
      </c>
      <c r="AC165" s="183">
        <f>IFERROR(IF($I165="EOT",INDEX(Program_01!$AN:$AN,MATCH($B165,Program_01!$A:$A,0)),INDEX(Program_01!$AY:$AY,MATCH($B165,Program_01!$A:$A,0))),"")</f>
        <v>0</v>
      </c>
      <c r="AD165" s="181">
        <f>IFERROR(IF($I165="EOT",INDEX(Program_01!$AO:$AO,MATCH($B165,Program_01!$A:$A,0)),INDEX(Program_01!$AZ:$AZ,MATCH($B165,Program_01!$A:$A,0))),"")</f>
        <v>0</v>
      </c>
      <c r="AE165" s="51"/>
      <c r="AF165" s="183"/>
      <c r="AG165" s="181"/>
      <c r="AH165" s="183" t="str">
        <f>IF(OR($D165="",$AS165="VO Issued",$AS165="Open"),"",IF(OR($AC165="Rejected",$AC165="Superseded",$AC165="Dealt Separately"),$AC165,IF($I165="EOT",INDEX(Program_01!$AR:$AR,MATCH($B165,Program_01!$A:$A,0)),INDEX(Program_01!$BB:$BB,MATCH($B165,Program_01!$A:$A,0)))))</f>
        <v/>
      </c>
      <c r="AI165" s="181" t="str">
        <f>IF(OR($A165="",$B165="",$I165="",$AS165="VO Issued",$AS165="Open"),"",IF(OR($AD165="N/A"),$AD165,IF($I165="EOT",INDEX(Program_01!$AS:$AS,MATCH($B165,Program_01!$A:$A,0)),INDEX(Program_01!$BC:$BC,MATCH($B165,Program_01!$A:$A,0)))))</f>
        <v/>
      </c>
      <c r="AJ165" s="183" t="str">
        <f>IF(OR($D165="",$I165="",$AS165="Determination Issued",$AS165="Rejected",$AS165="Open"),"",IF(OR($AH165="Rejected",$AH165="Dealt Separately",$AH165="Superseded",$AH165="Withdrawn"),"N/A",IF($I165="EOT",INDEX(Program_01!AR:AR,MATCH($B165,Program_01!A:A,0)),INDEX(Program_01!BB:BB,MATCH($B165,Program_01!A:A,0)))))</f>
        <v/>
      </c>
      <c r="AK165" s="181" t="str">
        <f>IF(OR($A165="",$B165="",$I165="",$AS165="Determination Issued",$AS165="Rejected",$AS165="Open"),"",IF($AJ165="N/A","N/A",IF($I165="EOT",INDEX(Program_01!AS:AS,MATCH($B165,Program_01!A:A,0)),INDEX(Program_01!BC:BC,MATCH($B165,Program_01!A:A,0)))))</f>
        <v/>
      </c>
      <c r="AL165" s="51"/>
      <c r="AM165" s="184">
        <f>IFERROR(INDEX(Program_01!$BT:$BT,MATCH($B165,Program_01!$A:$A,0)),"")</f>
        <v>0</v>
      </c>
      <c r="AN165" s="184">
        <f>IFERROR(INDEX(Program_01!$BU:$BU,MATCH($B165,Program_01!$A:$A,0)),"")</f>
        <v>0</v>
      </c>
      <c r="AO165" s="184">
        <f>IFERROR(INDEX(Program_01!$BV:$BV,MATCH($B165,Program_01!$A:$A,0)),"")</f>
        <v>0</v>
      </c>
      <c r="AP165" s="51" t="str">
        <f t="shared" si="73"/>
        <v/>
      </c>
      <c r="AQ165" s="184">
        <f>IFERROR(INDEX(Program_01!$BN:$BN,MATCH($B165,Program_01!$A:$A,0)),"")</f>
        <v>0</v>
      </c>
      <c r="AR165" s="184" t="str">
        <f>IFERROR(INDEX(Program_01!$BO:$BO,MATCH($B165,Program_01!$A:$A,0)),"")</f>
        <v>Pending</v>
      </c>
      <c r="AS165" s="184" t="str">
        <f>IFERROR(INDEX(Program_01!$BP:$BP,MATCH($B165,Program_01!$A:$A,0)),"")</f>
        <v>Open</v>
      </c>
      <c r="AT165" s="185" t="str">
        <f>IFERROR(INDEX(Program_01!$BQ:$BQ,MATCH($B165,Program_01!$A:$A,0)),"")</f>
        <v>Commercial Team</v>
      </c>
      <c r="AU165" s="179" t="str">
        <f>IFERROR(INDEX(Program_01!$BR:$BR,MATCH($B165,Program_01!$A:$A,0)),"")</f>
        <v>13 Jul 26: Contractor submitted EOT 4 claim via 1TB01002-002C06-HOI-LTR-0100, being sent to site planning for review and input
20 Jul 26: Planning team targeted to revert by 28 Jul 26
03 Aug 26: Planning reverted on 13 Jul 26 and confirmed that the submission is in complaince with the TIA requirements
10 Augst 26: Target for EAR merit report 13 Aug 26
23 Aug 26: EOT 3 under review and upon conclusion EOT 4 EAR to be drafted.
06 Sep 26: Review to be commenced upon conclusion of 002C61 and 002C64 EOTs (4 Submissions Vs 2 EAR respectively).
21 Sep 26: EOT 3 is currently under review. Upon conclusion of the same, EOT 4 EAR to be commenced. 
04 Oct 26: EOT 4 draft EAR preparation to be commenced upon completion of EOT 3 EAR review (currently with Planning)</v>
      </c>
      <c r="AV165" s="186" t="str">
        <f t="shared" si="58"/>
        <v/>
      </c>
      <c r="AW165" s="186" t="str">
        <f t="shared" si="74"/>
        <v>OPEN</v>
      </c>
      <c r="AX165" s="186" t="str">
        <f t="shared" si="59"/>
        <v>OPEN</v>
      </c>
      <c r="AY165" s="181">
        <f t="shared" si="68"/>
        <v>46216</v>
      </c>
      <c r="AZ165" s="181" t="str">
        <f t="shared" si="60"/>
        <v/>
      </c>
      <c r="BA165" s="181" t="str">
        <f t="shared" si="4"/>
        <v/>
      </c>
      <c r="BC165" s="181">
        <f>IFERROR(INDEX(Program_01!BF:BF,MATCH($B165,Program_01!$A:$A,0)),"")</f>
        <v>46216</v>
      </c>
      <c r="BD165" s="188">
        <f ca="1">IFERROR(INDEX(Program_01!BG:BG,MATCH($B165,Program_01!$A:$A,0)),"")</f>
        <v>84</v>
      </c>
      <c r="BE165" s="181">
        <f>IFERROR(INDEX(Program_01!BH:BH,MATCH($B165,Program_01!$A:$A,0)),"")</f>
        <v>0</v>
      </c>
      <c r="BF165" s="189">
        <f ca="1">IFERROR(INDEX(Program_01!BI:BI,MATCH($B165,Program_01!$A:$A,0)),"")</f>
        <v>0</v>
      </c>
      <c r="BG165" s="181">
        <f>IFERROR(INDEX(Program_01!BJ:BJ,MATCH($B165,Program_01!$A:$A,0)),"")</f>
        <v>0</v>
      </c>
      <c r="BH165" s="189">
        <f ca="1">IFERROR(INDEX(Program_01!BK:BK,MATCH($B165,Program_01!$A:$A,0)),"")</f>
        <v>0</v>
      </c>
      <c r="BI165" s="181">
        <f>IFERROR(INDEX(Program_01!BL:BL,MATCH($B165,Program_01!$A:$A,0)),"")</f>
        <v>0</v>
      </c>
      <c r="BK165" s="190" t="str">
        <f>IFERROR(IF(INDEX(Program_01!$BX:$BX,MATCH($B165,Program_01!$A:$A,0))=DATE(1900,1,0),"",INDEX(Program_01!$BX:$BX,MATCH($B165,Program_01!$A:$A,0))),"")</f>
        <v/>
      </c>
      <c r="BL165" s="190" t="str">
        <f>IFERROR(IF(INDEX(Program_01!$BY:$BY,MATCH($B165,Program_01!$A:$A,0))=DATE(1900,1,0),"",INDEX(Program_01!$BY:$BY,MATCH($B165,Program_01!$A:$A,0))),"")</f>
        <v/>
      </c>
      <c r="BM165" s="188" t="str">
        <f t="shared" ca="1" si="69"/>
        <v/>
      </c>
      <c r="BN165" s="191">
        <f t="shared" ca="1" si="70"/>
        <v>84</v>
      </c>
      <c r="BO165" s="188" t="str">
        <f t="shared" si="61"/>
        <v/>
      </c>
      <c r="BP165" s="188" t="str">
        <f t="shared" si="6"/>
        <v/>
      </c>
      <c r="BQ165" s="188" t="str">
        <f t="shared" ca="1" si="71"/>
        <v/>
      </c>
      <c r="BR165" s="181" t="str">
        <f t="shared" ca="1" si="62"/>
        <v/>
      </c>
      <c r="BT165" s="190" t="str">
        <f>IFERROR(IF(INDEX(Program_01!$BZ:$BZ,MATCH($B165,Program_01!$A:$A,0))=DATE(1900,1,0),"",INDEX(Program_01!$BZ:$BZ,MATCH($B165,Program_01!$A:$A,0))),"")</f>
        <v/>
      </c>
      <c r="BU165" s="182" t="str">
        <f t="shared" ca="1" si="75"/>
        <v/>
      </c>
      <c r="BV165" s="188" t="str">
        <f t="shared" si="63"/>
        <v/>
      </c>
      <c r="BW165" s="188" t="str">
        <f t="shared" si="8"/>
        <v/>
      </c>
      <c r="BX165" s="188" t="str">
        <f t="shared" ca="1" si="64"/>
        <v/>
      </c>
      <c r="BY165" s="181" t="str">
        <f t="shared" ca="1" si="65"/>
        <v/>
      </c>
      <c r="CA165" s="192" t="str">
        <f t="shared" si="76"/>
        <v>N</v>
      </c>
      <c r="CB165" s="192" t="str">
        <f t="shared" si="77"/>
        <v>N</v>
      </c>
      <c r="CC165" s="193">
        <f>IFERROR(INDEX(Program_01!$CE:$CE,MATCH($B165,Program_01!$A:$A,0)),"")</f>
        <v>46216</v>
      </c>
      <c r="CD165" s="193">
        <f t="shared" si="66"/>
        <v>46216</v>
      </c>
      <c r="CG165" s="194">
        <f>IFERROR(INDEX(Program_01!$AT:$AT,MATCH($B165,Program_01!$A:$A,0)),"")</f>
        <v>0</v>
      </c>
      <c r="CH165" s="194">
        <f>IFERROR(INDEX(Program_01!$AX:$AX,MATCH($B165,Program_01!$A:$A,0)),"")</f>
        <v>0</v>
      </c>
    </row>
    <row r="166" spans="1:86" s="187" customFormat="1" ht="306">
      <c r="A166" s="174" t="s">
        <v>1</v>
      </c>
      <c r="B166" s="201">
        <f t="shared" si="72"/>
        <v>148</v>
      </c>
      <c r="C166" s="176" t="str">
        <f>IFERROR(INDEX(Program_01!$B:$B,MATCH($B166,Program_01!$A:$A,0)),"")</f>
        <v>FULL TIA EAR</v>
      </c>
      <c r="D166" s="176" t="str">
        <f>IFERROR(INDEX(Program_01!$D:$D,MATCH($B166,Program_01!$A:$A,0)),"")</f>
        <v>1TB01006C15</v>
      </c>
      <c r="E166" s="176" t="str">
        <f>IFERROR(INDEX(Program_01!$E:$E,MATCH($B166,Program_01!$A:$A,0)),"")</f>
        <v>1.TB.01.006.99</v>
      </c>
      <c r="F166" s="176" t="str">
        <f>IFERROR(INDEX(Program_01!$F:$F,MATCH($B166,Program_01!$A:$A,0)),"")</f>
        <v>Village Boutique Hotel</v>
      </c>
      <c r="G166" s="176" t="str">
        <f>IFERROR(INDEX(Program_01!$G:$G,MATCH($B166,Program_01!$A:$A,0)),"")</f>
        <v>MEP &amp; ICT / ELV Works for Village Boutique Hotel</v>
      </c>
      <c r="H166" s="176" t="str">
        <f>IFERROR(INDEX(Program_01!$H:$H,MATCH($B166,Program_01!$A:$A,0)),"")</f>
        <v>Shapoorji Pallonji Mideast LLC</v>
      </c>
      <c r="I166" s="176" t="str">
        <f t="shared" si="67"/>
        <v>EOT</v>
      </c>
      <c r="J166" s="176">
        <f>IFERROR(INDEX(Program_01!$I:$I,MATCH($B166,Program_01!$A:$A,0)),"")</f>
        <v>1</v>
      </c>
      <c r="K166" s="176">
        <f>IFERROR(INDEX(Program_01!$J:$J,MATCH($B166,Program_01!$A:$A,0)),"")</f>
        <v>0</v>
      </c>
      <c r="L166" s="176">
        <f>IFERROR(INDEX(Program_01!$K:$K,MATCH($B166,Program_01!$A:$A,0)),"")</f>
        <v>0</v>
      </c>
      <c r="M166" s="176">
        <f>IFERROR(INDEX(Program_01!$L:$L,MATCH($B166,Program_01!$A:$A,0)),"")</f>
        <v>0</v>
      </c>
      <c r="N166" s="176">
        <f>IFERROR(INDEX(Program_01!$L:$L,MATCH($B166,Program_01!$A:$A,0)),"")</f>
        <v>0</v>
      </c>
      <c r="O166" s="176">
        <f>IFERROR(INDEX(Program_01!$N:$N,MATCH($B166,Program_01!$A:$A,0)),"")</f>
        <v>0</v>
      </c>
      <c r="P166" s="178"/>
      <c r="Q166" s="179" t="str">
        <f>IFERROR(INDEX(Program_01!$C:$C,MATCH($B166,Program_01!$A:$A,0)),"")</f>
        <v>Extension of Time- EOT 1 Rev 01 - Reassessment of item 41 above</v>
      </c>
      <c r="R166" s="176" t="str">
        <f>IFERROR(INDEX(Program_01!$V:$V,MATCH($B166,Program_01!$A:$A,0)),"")</f>
        <v xml:space="preserve">reassement being carried out based on the additional particulars provided via Email from Contractor dated 04 Jul 26
</v>
      </c>
      <c r="S166" s="180">
        <f>IFERROR(INDEX(Program_01!$W:$W,MATCH($B166,Program_01!$A:$A,0)),"")</f>
        <v>46207</v>
      </c>
      <c r="T166" s="178"/>
      <c r="U166" s="176">
        <f>IFERROR(INDEX(Program_01!$Z:$Z,MATCH($B166,Program_01!$A:$A,0)),"")</f>
        <v>0</v>
      </c>
      <c r="V166" s="181">
        <f>IFERROR(INDEX(Program_01!$AA:$AA,MATCH($B166,Program_01!$A:$A,0)),"")</f>
        <v>0</v>
      </c>
      <c r="W166" s="182">
        <f t="shared" ca="1" si="0"/>
        <v>93</v>
      </c>
      <c r="X166" s="51"/>
      <c r="Y166" s="179">
        <f>IFERROR(INDEX(Program_01!$BD:$BD,MATCH($B166,Program_01!$A:$A,0)),"")</f>
        <v>0</v>
      </c>
      <c r="Z166" s="51"/>
      <c r="AA166" s="183" t="str">
        <f>IFERROR(IF((INDEX(Program_01!$AD:$AD,MATCH($B166,Program_01!$A:$A,0))=""),INDEX(Program_01!$V:$V,MATCH($B166,Program_01!$A:$A,0)),INDEX(Program_01!$AD:$AD,MATCH($B166,Program_01!$A:$A,0))),"")</f>
        <v xml:space="preserve">reassement being carried out based on the additional particulars provided via Email from Contractor dated 04 Jul 26
</v>
      </c>
      <c r="AB166" s="147">
        <f>IFERROR(IF((INDEX(Program_01!$AE:$AE,MATCH($B166,Program_01!$A:$A,0))=""),INDEX(Program_01!$W:$W,MATCH($B166,Program_01!$A:$A,0)),INDEX(Program_01!$AE:$AE,MATCH($B166,Program_01!$A:$A,0))),"")</f>
        <v>46207</v>
      </c>
      <c r="AC166" s="183" t="str">
        <f>IFERROR(IF($I166="EOT",INDEX(Program_01!$AN:$AN,MATCH($B166,Program_01!$A:$A,0)),INDEX(Program_01!$AY:$AY,MATCH($B166,Program_01!$A:$A,0))),"")</f>
        <v>Workflow initiated via WF-047458
AMA01006-WTRAN-151808 dated 14 Sep 26</v>
      </c>
      <c r="AD166" s="181">
        <f>IFERROR(IF($I166="EOT",INDEX(Program_01!$AO:$AO,MATCH($B166,Program_01!$A:$A,0)),INDEX(Program_01!$AZ:$AZ,MATCH($B166,Program_01!$A:$A,0))),"")</f>
        <v>46286</v>
      </c>
      <c r="AE166" s="51"/>
      <c r="AF166" s="183"/>
      <c r="AG166" s="181"/>
      <c r="AH166" s="183" t="str">
        <f>IF(OR($D166="",$AS166="VO Issued",$AS166="Open"),"",IF(OR($AC166="Rejected",$AC166="Superseded",$AC166="Dealt Separately"),$AC166,IF($I166="EOT",INDEX(Program_01!$AR:$AR,MATCH($B166,Program_01!$A:$A,0)),INDEX(Program_01!$BB:$BB,MATCH($B166,Program_01!$A:$A,0)))))</f>
        <v/>
      </c>
      <c r="AI166" s="181" t="str">
        <f>IF(OR($A166="",$B166="",$I166="",$AS166="VO Issued",$AS166="Open"),"",IF(OR($AD166="N/A"),$AD166,IF($I166="EOT",INDEX(Program_01!$AS:$AS,MATCH($B166,Program_01!$A:$A,0)),INDEX(Program_01!$BC:$BC,MATCH($B166,Program_01!$A:$A,0)))))</f>
        <v/>
      </c>
      <c r="AJ166" s="183" t="str">
        <f>IF(OR($D166="",$I166="",$AS166="Determination Issued",$AS166="Rejected",$AS166="Open"),"",IF(OR($AH166="Rejected",$AH166="Dealt Separately",$AH166="Superseded",$AH166="Withdrawn"),"N/A",IF($I166="EOT",INDEX(Program_01!AR:AR,MATCH($B166,Program_01!A:A,0)),INDEX(Program_01!BB:BB,MATCH($B166,Program_01!A:A,0)))))</f>
        <v/>
      </c>
      <c r="AK166" s="181" t="str">
        <f>IF(OR($A166="",$B166="",$I166="",$AS166="Determination Issued",$AS166="Rejected",$AS166="Open"),"",IF($AJ166="N/A","N/A",IF($I166="EOT",INDEX(Program_01!AS:AS,MATCH($B166,Program_01!A:A,0)),INDEX(Program_01!BC:BC,MATCH($B166,Program_01!A:A,0)))))</f>
        <v/>
      </c>
      <c r="AL166" s="51"/>
      <c r="AM166" s="184">
        <f>IFERROR(INDEX(Program_01!$BT:$BT,MATCH($B166,Program_01!$A:$A,0)),"")</f>
        <v>0</v>
      </c>
      <c r="AN166" s="184">
        <f>IFERROR(INDEX(Program_01!$BU:$BU,MATCH($B166,Program_01!$A:$A,0)),"")</f>
        <v>0</v>
      </c>
      <c r="AO166" s="184">
        <f>IFERROR(INDEX(Program_01!$BV:$BV,MATCH($B166,Program_01!$A:$A,0)),"")</f>
        <v>0</v>
      </c>
      <c r="AP166" s="51" t="str">
        <f t="shared" si="73"/>
        <v/>
      </c>
      <c r="AQ166" s="184">
        <f>IFERROR(INDEX(Program_01!$BN:$BN,MATCH($B166,Program_01!$A:$A,0)),"")</f>
        <v>0</v>
      </c>
      <c r="AR166" s="184" t="str">
        <f>IFERROR(INDEX(Program_01!$BO:$BO,MATCH($B166,Program_01!$A:$A,0)),"")</f>
        <v>Assessment Report Issued</v>
      </c>
      <c r="AS166" s="184" t="str">
        <f>IFERROR(INDEX(Program_01!$BP:$BP,MATCH($B166,Program_01!$A:$A,0)),"")</f>
        <v>Open</v>
      </c>
      <c r="AT166" s="185" t="str">
        <f>IFERROR(INDEX(Program_01!$BQ:$BQ,MATCH($B166,Program_01!$A:$A,0)),"")</f>
        <v>Assessment in WF</v>
      </c>
      <c r="AU166" s="179" t="str">
        <f>IFERROR(INDEX(Program_01!$BR:$BR,MATCH($B166,Program_01!$A:$A,0)),"")</f>
        <v>14 Jul 26: reassement being carried out based on the additional particulars provided via Email from Contractor dated 04 Jul 26, Planning has requested commercial to submit updated draft EAR for TIA
21 Jul 26: Draft EAR sent to claims team for review
26 July 26: Draft EAR udner Claims team review
29 Jul 26: EAR sent to planning for TIA
03 Aug 26: TIA targeted to be concluded by 12 Aug 26 / EAR sent back to commercial with comments to address
04 Aug 26: Updated Draft EAR sent to claims addressing comments from Planning
05 Aug 26: Updated EAR sent to planning for TIA
06 Aug 26: Planning team revereted with clarifications on ID issuance date // commrcial reverted on the same day with clarification
10 Aug 26: Ditto, targeted to revert by 12 Aug 26
17 Aug 26: planning team gave details of additoinal events and requested commercial to update the chronology accordingly in order to incorpoare the same in TIA
24 Aug 26: Target date 06 Sept 26
30 Aug 26: EAR sent to site planning (Lenin)
05 Sep 26: TIA incorporated and sent to commercial for finalisation // Final Draft EAR sent to claims team for pre-approval prior to WF
12 Sep 26: KM reveretd with comments to address and initiate WF
14 Sep 26: EAR approved and sent back to commercial to initiate WF // Workflow initiated via WF-047458
5 Oct 2025 : EAR Approved, to be issued to SPM today</v>
      </c>
      <c r="AV166" s="186" t="str">
        <f t="shared" si="58"/>
        <v/>
      </c>
      <c r="AW166" s="186" t="str">
        <f t="shared" si="74"/>
        <v>OPEN</v>
      </c>
      <c r="AX166" s="186" t="str">
        <f t="shared" si="59"/>
        <v>OPEN</v>
      </c>
      <c r="AY166" s="181">
        <f t="shared" si="68"/>
        <v>46207</v>
      </c>
      <c r="AZ166" s="181">
        <f t="shared" si="60"/>
        <v>46286</v>
      </c>
      <c r="BA166" s="181" t="str">
        <f t="shared" si="4"/>
        <v/>
      </c>
      <c r="BC166" s="181">
        <f>IFERROR(INDEX(Program_01!BF:BF,MATCH($B166,Program_01!$A:$A,0)),"")</f>
        <v>46207</v>
      </c>
      <c r="BD166" s="188">
        <f ca="1">IFERROR(INDEX(Program_01!BG:BG,MATCH($B166,Program_01!$A:$A,0)),"")</f>
        <v>32</v>
      </c>
      <c r="BE166" s="181">
        <f>IFERROR(INDEX(Program_01!BH:BH,MATCH($B166,Program_01!$A:$A,0)),"")</f>
        <v>46239</v>
      </c>
      <c r="BF166" s="189">
        <f ca="1">IFERROR(INDEX(Program_01!BI:BI,MATCH($B166,Program_01!$A:$A,0)),"")</f>
        <v>61</v>
      </c>
      <c r="BG166" s="181">
        <f>IFERROR(INDEX(Program_01!BJ:BJ,MATCH($B166,Program_01!$A:$A,0)),"")</f>
        <v>0</v>
      </c>
      <c r="BH166" s="189">
        <f ca="1">IFERROR(INDEX(Program_01!BK:BK,MATCH($B166,Program_01!$A:$A,0)),"")</f>
        <v>0</v>
      </c>
      <c r="BI166" s="181">
        <f>IFERROR(INDEX(Program_01!BL:BL,MATCH($B166,Program_01!$A:$A,0)),"")</f>
        <v>0</v>
      </c>
      <c r="BK166" s="190">
        <f>IFERROR(IF(INDEX(Program_01!$BX:$BX,MATCH($B166,Program_01!$A:$A,0))=DATE(1900,1,0),"",INDEX(Program_01!$BX:$BX,MATCH($B166,Program_01!$A:$A,0))),"")</f>
        <v>46266</v>
      </c>
      <c r="BL166" s="190" t="str">
        <f>IFERROR(IF(INDEX(Program_01!$BY:$BY,MATCH($B166,Program_01!$A:$A,0))=DATE(1900,1,0),"",INDEX(Program_01!$BY:$BY,MATCH($B166,Program_01!$A:$A,0))),"")</f>
        <v/>
      </c>
      <c r="BM166" s="188">
        <f t="shared" ca="1" si="69"/>
        <v>79</v>
      </c>
      <c r="BN166" s="191">
        <f t="shared" ca="1" si="70"/>
        <v>79</v>
      </c>
      <c r="BO166" s="188">
        <f t="shared" ca="1" si="61"/>
        <v>79</v>
      </c>
      <c r="BP166" s="188" t="str">
        <f t="shared" si="6"/>
        <v>1</v>
      </c>
      <c r="BQ166" s="188" t="str">
        <f t="shared" ca="1" si="71"/>
        <v/>
      </c>
      <c r="BR166" s="181" t="str">
        <f t="shared" ca="1" si="62"/>
        <v/>
      </c>
      <c r="BT166" s="190" t="str">
        <f>IFERROR(IF(INDEX(Program_01!$BZ:$BZ,MATCH($B166,Program_01!$A:$A,0))=DATE(1900,1,0),"",INDEX(Program_01!$BZ:$BZ,MATCH($B166,Program_01!$A:$A,0))),"")</f>
        <v/>
      </c>
      <c r="BU166" s="182" t="str">
        <f t="shared" ca="1" si="75"/>
        <v/>
      </c>
      <c r="BV166" s="188" t="str">
        <f t="shared" si="63"/>
        <v/>
      </c>
      <c r="BW166" s="188" t="str">
        <f t="shared" si="8"/>
        <v/>
      </c>
      <c r="BX166" s="188" t="str">
        <f t="shared" ca="1" si="64"/>
        <v/>
      </c>
      <c r="BY166" s="181" t="str">
        <f t="shared" ca="1" si="65"/>
        <v/>
      </c>
      <c r="CA166" s="192" t="str">
        <f t="shared" si="76"/>
        <v>Y</v>
      </c>
      <c r="CB166" s="192" t="str">
        <f t="shared" si="77"/>
        <v>N</v>
      </c>
      <c r="CC166" s="193">
        <f>IFERROR(INDEX(Program_01!$CE:$CE,MATCH($B166,Program_01!$A:$A,0)),"")</f>
        <v>46217</v>
      </c>
      <c r="CD166" s="193">
        <f t="shared" si="66"/>
        <v>46217</v>
      </c>
      <c r="CG166" s="194">
        <f>IFERROR(INDEX(Program_01!$AT:$AT,MATCH($B166,Program_01!$A:$A,0)),"")</f>
        <v>0</v>
      </c>
      <c r="CH166" s="194">
        <f>IFERROR(INDEX(Program_01!$AX:$AX,MATCH($B166,Program_01!$A:$A,0)),"")</f>
        <v>0</v>
      </c>
    </row>
    <row r="167" spans="1:86" s="187" customFormat="1" ht="238">
      <c r="A167" s="174" t="s">
        <v>1</v>
      </c>
      <c r="B167" s="201">
        <f t="shared" si="72"/>
        <v>149</v>
      </c>
      <c r="C167" s="176" t="str">
        <f>IFERROR(INDEX(Program_01!$B:$B,MATCH($B167,Program_01!$A:$A,0)),"")</f>
        <v>FULL TIA EAR</v>
      </c>
      <c r="D167" s="176" t="str">
        <f>IFERROR(INDEX(Program_01!$D:$D,MATCH($B167,Program_01!$A:$A,0)),"")</f>
        <v>1TB01002C61</v>
      </c>
      <c r="E167" s="176" t="str">
        <f>IFERROR(INDEX(Program_01!$E:$E,MATCH($B167,Program_01!$A:$A,0)),"")</f>
        <v>1.TB.01.002.02</v>
      </c>
      <c r="F167" s="176" t="str">
        <f>IFERROR(INDEX(Program_01!$F:$F,MATCH($B167,Program_01!$A:$A,0)),"")</f>
        <v>Marina Lifestyle Hotel &amp; Village</v>
      </c>
      <c r="G167" s="176" t="str">
        <f>IFERROR(INDEX(Program_01!$G:$G,MATCH($B167,Program_01!$A:$A,0)),"")</f>
        <v>Fit-Out works of AMAALA Residences/Non-Branded (49 Nos)
for Marina Lifestyle Hotel</v>
      </c>
      <c r="H167" s="176" t="str">
        <f>IFERROR(INDEX(Program_01!$H:$H,MATCH($B167,Program_01!$A:$A,0)),"")</f>
        <v>Havelock One Interiors Company</v>
      </c>
      <c r="I167" s="176" t="str">
        <f t="shared" si="67"/>
        <v>EOT</v>
      </c>
      <c r="J167" s="176">
        <f>IFERROR(INDEX(Program_01!$I:$I,MATCH($B167,Program_01!$A:$A,0)),"")</f>
        <v>1</v>
      </c>
      <c r="K167" s="176">
        <f>IFERROR(INDEX(Program_01!$J:$J,MATCH($B167,Program_01!$A:$A,0)),"")</f>
        <v>0</v>
      </c>
      <c r="L167" s="176">
        <f>IFERROR(INDEX(Program_01!$K:$K,MATCH($B167,Program_01!$A:$A,0)),"")</f>
        <v>0</v>
      </c>
      <c r="M167" s="176">
        <f>IFERROR(INDEX(Program_01!$L:$L,MATCH($B167,Program_01!$A:$A,0)),"")</f>
        <v>0</v>
      </c>
      <c r="N167" s="176">
        <f>IFERROR(INDEX(Program_01!$L:$L,MATCH($B167,Program_01!$A:$A,0)),"")</f>
        <v>0</v>
      </c>
      <c r="O167" s="176">
        <f>IFERROR(INDEX(Program_01!$N:$N,MATCH($B167,Program_01!$A:$A,0)),"")</f>
        <v>0</v>
      </c>
      <c r="P167" s="178"/>
      <c r="Q167" s="179" t="str">
        <f>IFERROR(INDEX(Program_01!$C:$C,MATCH($B167,Program_01!$A:$A,0)),"")</f>
        <v>Request for Interim Extension of Time Residences 49 Condos ID Package (EOT 03)</v>
      </c>
      <c r="R167" s="176" t="str">
        <f>IFERROR(INDEX(Program_01!$V:$V,MATCH($B167,Program_01!$A:$A,0)),"")</f>
        <v>1TB01002-002C61-HOI-LTR-0023</v>
      </c>
      <c r="S167" s="180">
        <f>IFERROR(INDEX(Program_01!$W:$W,MATCH($B167,Program_01!$A:$A,0)),"")</f>
        <v>46219</v>
      </c>
      <c r="T167" s="178"/>
      <c r="U167" s="176" t="str">
        <f>IFERROR(INDEX(Program_01!$Z:$Z,MATCH($B167,Program_01!$A:$A,0)),"")</f>
        <v>1TB01002-002C61-AMA-LTR-0016 dated 23 July 26</v>
      </c>
      <c r="V167" s="181">
        <f>IFERROR(INDEX(Program_01!$AA:$AA,MATCH($B167,Program_01!$A:$A,0)),"")</f>
        <v>46226</v>
      </c>
      <c r="W167" s="182">
        <f t="shared" ca="1" si="0"/>
        <v>7</v>
      </c>
      <c r="X167" s="51"/>
      <c r="Y167" s="179">
        <f>IFERROR(INDEX(Program_01!$BD:$BD,MATCH($B167,Program_01!$A:$A,0)),"")</f>
        <v>0</v>
      </c>
      <c r="Z167" s="51"/>
      <c r="AA167" s="183" t="str">
        <f>IFERROR(IF((INDEX(Program_01!$AD:$AD,MATCH($B167,Program_01!$A:$A,0))=""),INDEX(Program_01!$V:$V,MATCH($B167,Program_01!$A:$A,0)),INDEX(Program_01!$AD:$AD,MATCH($B167,Program_01!$A:$A,0))),"")</f>
        <v>HOI01002-TRANSMIT-000277</v>
      </c>
      <c r="AB167" s="147">
        <f>IFERROR(IF((INDEX(Program_01!$AE:$AE,MATCH($B167,Program_01!$A:$A,0))=""),INDEX(Program_01!$W:$W,MATCH($B167,Program_01!$A:$A,0)),INDEX(Program_01!$AE:$AE,MATCH($B167,Program_01!$A:$A,0))),"")</f>
        <v>46226</v>
      </c>
      <c r="AC167" s="183">
        <f>IFERROR(IF($I167="EOT",INDEX(Program_01!$AN:$AN,MATCH($B167,Program_01!$A:$A,0)),INDEX(Program_01!$AY:$AY,MATCH($B167,Program_01!$A:$A,0))),"")</f>
        <v>0</v>
      </c>
      <c r="AD167" s="181">
        <f>IFERROR(IF($I167="EOT",INDEX(Program_01!$AO:$AO,MATCH($B167,Program_01!$A:$A,0)),INDEX(Program_01!$AZ:$AZ,MATCH($B167,Program_01!$A:$A,0))),"")</f>
        <v>0</v>
      </c>
      <c r="AE167" s="51"/>
      <c r="AF167" s="183"/>
      <c r="AG167" s="181"/>
      <c r="AH167" s="183" t="str">
        <f>IF(OR($D167="",$AS167="VO Issued",$AS167="Open"),"",IF(OR($AC167="Rejected",$AC167="Superseded",$AC167="Dealt Separately"),$AC167,IF($I167="EOT",INDEX(Program_01!$AR:$AR,MATCH($B167,Program_01!$A:$A,0)),INDEX(Program_01!$BB:$BB,MATCH($B167,Program_01!$A:$A,0)))))</f>
        <v/>
      </c>
      <c r="AI167" s="181" t="str">
        <f>IF(OR($A167="",$B167="",$I167="",$AS167="VO Issued",$AS167="Open"),"",IF(OR($AD167="N/A"),$AD167,IF($I167="EOT",INDEX(Program_01!$AS:$AS,MATCH($B167,Program_01!$A:$A,0)),INDEX(Program_01!$BC:$BC,MATCH($B167,Program_01!$A:$A,0)))))</f>
        <v/>
      </c>
      <c r="AJ167" s="183" t="str">
        <f>IF(OR($D167="",$I167="",$AS167="Determination Issued",$AS167="Rejected",$AS167="Open"),"",IF(OR($AH167="Rejected",$AH167="Dealt Separately",$AH167="Superseded",$AH167="Withdrawn"),"N/A",IF($I167="EOT",INDEX(Program_01!AR:AR,MATCH($B167,Program_01!A:A,0)),INDEX(Program_01!BB:BB,MATCH($B167,Program_01!A:A,0)))))</f>
        <v/>
      </c>
      <c r="AK167" s="181" t="str">
        <f>IF(OR($A167="",$B167="",$I167="",$AS167="Determination Issued",$AS167="Rejected",$AS167="Open"),"",IF($AJ167="N/A","N/A",IF($I167="EOT",INDEX(Program_01!AS:AS,MATCH($B167,Program_01!A:A,0)),INDEX(Program_01!BC:BC,MATCH($B167,Program_01!A:A,0)))))</f>
        <v/>
      </c>
      <c r="AL167" s="51"/>
      <c r="AM167" s="184">
        <f>IFERROR(INDEX(Program_01!$BT:$BT,MATCH($B167,Program_01!$A:$A,0)),"")</f>
        <v>0</v>
      </c>
      <c r="AN167" s="184">
        <f>IFERROR(INDEX(Program_01!$BU:$BU,MATCH($B167,Program_01!$A:$A,0)),"")</f>
        <v>0</v>
      </c>
      <c r="AO167" s="184">
        <f>IFERROR(INDEX(Program_01!$BV:$BV,MATCH($B167,Program_01!$A:$A,0)),"")</f>
        <v>0</v>
      </c>
      <c r="AP167" s="51" t="str">
        <f t="shared" si="73"/>
        <v/>
      </c>
      <c r="AQ167" s="184">
        <f>IFERROR(INDEX(Program_01!$BN:$BN,MATCH($B167,Program_01!$A:$A,0)),"")</f>
        <v>0</v>
      </c>
      <c r="AR167" s="184" t="str">
        <f>IFERROR(INDEX(Program_01!$BO:$BO,MATCH($B167,Program_01!$A:$A,0)),"")</f>
        <v>Pending</v>
      </c>
      <c r="AS167" s="184" t="str">
        <f>IFERROR(INDEX(Program_01!$BP:$BP,MATCH($B167,Program_01!$A:$A,0)),"")</f>
        <v>Open</v>
      </c>
      <c r="AT167" s="185" t="str">
        <f>IFERROR(INDEX(Program_01!$BQ:$BQ,MATCH($B167,Program_01!$A:$A,0)),"")</f>
        <v>Commercial Team</v>
      </c>
      <c r="AU167" s="179" t="str">
        <f>IFERROR(INDEX(Program_01!$BR:$BR,MATCH($B167,Program_01!$A:$A,0)),"")</f>
        <v>19 Jul 26: Contractor submitted EOT 3 claim via 1TB01002-002C61-HOI-LTR-0023 on 16 Jul 26 without any attachments, commercial preparing draft response accordingly
26 July 26: Employer letter issued to Contractor highlighting lack of attachments on their EOT 03 Submission, 1TB01002-002C61-AMA-LTR-0016 dated 23 July 26, Contractor re-submits EOT 03 with paritculars and attachments on the same day in HOI01002-TRANSMIT-000277
27 Jul 26: EAR being targetd to submit for claims team review by 10 Aug 26
10 Aug 26: Ditto, Contractor to confirm that this will be superseded by  EOT 4
17 Aug 26: Employer's letter issued via 1TB01002-002C61-AMA-LTR-0017 requesting for consolidation of EOT 2 and 3
23 Aug 26: Contractor's response received via 1TB01002-002C61-HOI-LTR-0025 dated 17 August 2026 stating that it has provided all supporting particulars in its previous submissions. Employer's response is under preparation.
06 Sep 26: RSG (Commercial and Planning) conducted a workshop with the Contractor on 1 Sep 26 to consolidate the EOT 2 and 3 related to 00C64 Contract. Contractor agreed with the Employer's proposed approach to consolidate based on the EOT 2&amp;3 submissions (EOT 3 received on 17 August 26). Recorded minutes and agreed action will be formalized to the Contractor on or before 10 Sep 2026. [Claims #122 + 149 to be combined in one EAR]
21 Sep 26 : Combined EAR under preparation. Target date to share with the Claims team on 24 Sep 26.
04 Oct 26: Draft EAR under final review and to be shared with the Claims team on 8 October 2026</v>
      </c>
      <c r="AV167" s="186" t="str">
        <f t="shared" si="58"/>
        <v/>
      </c>
      <c r="AW167" s="186" t="str">
        <f t="shared" si="74"/>
        <v>OPEN</v>
      </c>
      <c r="AX167" s="186" t="str">
        <f t="shared" si="59"/>
        <v>OPEN</v>
      </c>
      <c r="AY167" s="181">
        <f t="shared" si="68"/>
        <v>46226</v>
      </c>
      <c r="AZ167" s="181" t="str">
        <f t="shared" si="60"/>
        <v/>
      </c>
      <c r="BA167" s="181" t="str">
        <f t="shared" si="4"/>
        <v/>
      </c>
      <c r="BC167" s="181">
        <f>IFERROR(INDEX(Program_01!BF:BF,MATCH($B167,Program_01!$A:$A,0)),"")</f>
        <v>46226</v>
      </c>
      <c r="BD167" s="188">
        <f ca="1">IFERROR(INDEX(Program_01!BG:BG,MATCH($B167,Program_01!$A:$A,0)),"")</f>
        <v>74</v>
      </c>
      <c r="BE167" s="181">
        <f>IFERROR(INDEX(Program_01!BH:BH,MATCH($B167,Program_01!$A:$A,0)),"")</f>
        <v>0</v>
      </c>
      <c r="BF167" s="189">
        <f ca="1">IFERROR(INDEX(Program_01!BI:BI,MATCH($B167,Program_01!$A:$A,0)),"")</f>
        <v>0</v>
      </c>
      <c r="BG167" s="181">
        <f>IFERROR(INDEX(Program_01!BJ:BJ,MATCH($B167,Program_01!$A:$A,0)),"")</f>
        <v>0</v>
      </c>
      <c r="BH167" s="189">
        <f ca="1">IFERROR(INDEX(Program_01!BK:BK,MATCH($B167,Program_01!$A:$A,0)),"")</f>
        <v>0</v>
      </c>
      <c r="BI167" s="181">
        <f>IFERROR(INDEX(Program_01!BL:BL,MATCH($B167,Program_01!$A:$A,0)),"")</f>
        <v>0</v>
      </c>
      <c r="BK167" s="190" t="str">
        <f>IFERROR(IF(INDEX(Program_01!$BX:$BX,MATCH($B167,Program_01!$A:$A,0))=DATE(1900,1,0),"",INDEX(Program_01!$BX:$BX,MATCH($B167,Program_01!$A:$A,0))),"")</f>
        <v/>
      </c>
      <c r="BL167" s="190" t="str">
        <f>IFERROR(IF(INDEX(Program_01!$BY:$BY,MATCH($B167,Program_01!$A:$A,0))=DATE(1900,1,0),"",INDEX(Program_01!$BY:$BY,MATCH($B167,Program_01!$A:$A,0))),"")</f>
        <v/>
      </c>
      <c r="BM167" s="188" t="str">
        <f t="shared" ca="1" si="69"/>
        <v/>
      </c>
      <c r="BN167" s="191">
        <f t="shared" ca="1" si="70"/>
        <v>74</v>
      </c>
      <c r="BO167" s="188" t="str">
        <f t="shared" si="61"/>
        <v/>
      </c>
      <c r="BP167" s="188" t="str">
        <f t="shared" si="6"/>
        <v/>
      </c>
      <c r="BQ167" s="188" t="str">
        <f t="shared" ca="1" si="71"/>
        <v/>
      </c>
      <c r="BR167" s="181" t="str">
        <f t="shared" ca="1" si="62"/>
        <v/>
      </c>
      <c r="BT167" s="190" t="str">
        <f>IFERROR(IF(INDEX(Program_01!$BZ:$BZ,MATCH($B167,Program_01!$A:$A,0))=DATE(1900,1,0),"",INDEX(Program_01!$BZ:$BZ,MATCH($B167,Program_01!$A:$A,0))),"")</f>
        <v/>
      </c>
      <c r="BU167" s="182" t="str">
        <f t="shared" ca="1" si="75"/>
        <v/>
      </c>
      <c r="BV167" s="188" t="str">
        <f t="shared" si="63"/>
        <v/>
      </c>
      <c r="BW167" s="188" t="str">
        <f t="shared" si="8"/>
        <v/>
      </c>
      <c r="BX167" s="188" t="str">
        <f t="shared" ca="1" si="64"/>
        <v/>
      </c>
      <c r="BY167" s="181" t="str">
        <f t="shared" ca="1" si="65"/>
        <v/>
      </c>
      <c r="CA167" s="192" t="str">
        <f t="shared" si="76"/>
        <v>N</v>
      </c>
      <c r="CB167" s="192" t="str">
        <f t="shared" si="77"/>
        <v>N</v>
      </c>
      <c r="CC167" s="193">
        <f>IFERROR(INDEX(Program_01!$CE:$CE,MATCH($B167,Program_01!$A:$A,0)),"")</f>
        <v>46222</v>
      </c>
      <c r="CD167" s="193">
        <f t="shared" si="66"/>
        <v>46222</v>
      </c>
      <c r="CG167" s="194">
        <f>IFERROR(INDEX(Program_01!$AT:$AT,MATCH($B167,Program_01!$A:$A,0)),"")</f>
        <v>0</v>
      </c>
      <c r="CH167" s="194">
        <f>IFERROR(INDEX(Program_01!$AX:$AX,MATCH($B167,Program_01!$A:$A,0)),"")</f>
        <v>0</v>
      </c>
    </row>
    <row r="168" spans="1:86" s="187" customFormat="1" ht="170">
      <c r="A168" s="174" t="s">
        <v>1</v>
      </c>
      <c r="B168" s="175">
        <f t="shared" si="72"/>
        <v>150</v>
      </c>
      <c r="C168" s="176" t="str">
        <f>IFERROR(INDEX(Program_01!$B:$B,MATCH($B168,Program_01!$A:$A,0)),"")</f>
        <v>FULL TIA EAR</v>
      </c>
      <c r="D168" s="176" t="str">
        <f>IFERROR(INDEX(Program_01!$D:$D,MATCH($B168,Program_01!$A:$A,0)),"")</f>
        <v>1TB01006C72</v>
      </c>
      <c r="E168" s="176" t="str">
        <f>IFERROR(INDEX(Program_01!$E:$E,MATCH($B168,Program_01!$A:$A,0)),"")</f>
        <v>1.TB.01.006.99</v>
      </c>
      <c r="F168" s="176" t="str">
        <f>IFERROR(INDEX(Program_01!$F:$F,MATCH($B168,Program_01!$A:$A,0)),"")</f>
        <v>Village Boutique Hotel</v>
      </c>
      <c r="G168" s="176" t="str">
        <f>IFERROR(INDEX(Program_01!$G:$G,MATCH($B168,Program_01!$A:$A,0)),"")</f>
        <v>Hard and Soft Landscape Works</v>
      </c>
      <c r="H168" s="176" t="str">
        <f>IFERROR(INDEX(Program_01!$H:$H,MATCH($B168,Program_01!$A:$A,0)),"")</f>
        <v>Nesma United Industries Co. Ltd.</v>
      </c>
      <c r="I168" s="176" t="str">
        <f t="shared" si="67"/>
        <v>EOT</v>
      </c>
      <c r="J168" s="176">
        <f>IFERROR(INDEX(Program_01!$I:$I,MATCH($B168,Program_01!$A:$A,0)),"")</f>
        <v>1</v>
      </c>
      <c r="K168" s="176">
        <f>IFERROR(INDEX(Program_01!$J:$J,MATCH($B168,Program_01!$A:$A,0)),"")</f>
        <v>0</v>
      </c>
      <c r="L168" s="176">
        <f>IFERROR(INDEX(Program_01!$K:$K,MATCH($B168,Program_01!$A:$A,0)),"")</f>
        <v>0</v>
      </c>
      <c r="M168" s="176">
        <f>IFERROR(INDEX(Program_01!$L:$L,MATCH($B168,Program_01!$A:$A,0)),"")</f>
        <v>0</v>
      </c>
      <c r="N168" s="176">
        <f>IFERROR(INDEX(Program_01!$L:$L,MATCH($B168,Program_01!$A:$A,0)),"")</f>
        <v>0</v>
      </c>
      <c r="O168" s="176">
        <f>IFERROR(INDEX(Program_01!$N:$N,MATCH($B168,Program_01!$A:$A,0)),"")</f>
        <v>0</v>
      </c>
      <c r="P168" s="178"/>
      <c r="Q168" s="179" t="str">
        <f>IFERROR(INDEX(Program_01!$C:$C,MATCH($B168,Program_01!$A:$A,0)),"")</f>
        <v>006C72 - Application for Extension of Time No.2</v>
      </c>
      <c r="R168" s="176" t="str">
        <f>IFERROR(INDEX(Program_01!$V:$V,MATCH($B168,Program_01!$A:$A,0)),"")</f>
        <v>1TB01006-006C72-NUI-LTR-0014</v>
      </c>
      <c r="S168" s="180">
        <f>IFERROR(INDEX(Program_01!$W:$W,MATCH($B168,Program_01!$A:$A,0)),"")</f>
        <v>46219</v>
      </c>
      <c r="T168" s="178"/>
      <c r="U168" s="176" t="str">
        <f>IFERROR(INDEX(Program_01!$Z:$Z,MATCH($B168,Program_01!$A:$A,0)),"")</f>
        <v>1TB01006-006C72-AMA-LTR-0024</v>
      </c>
      <c r="V168" s="181">
        <f>IFERROR(INDEX(Program_01!$AA:$AA,MATCH($B168,Program_01!$A:$A,0)),"")</f>
        <v>46236</v>
      </c>
      <c r="W168" s="182">
        <f t="shared" ca="1" si="0"/>
        <v>17</v>
      </c>
      <c r="X168" s="51"/>
      <c r="Y168" s="179">
        <f>IFERROR(INDEX(Program_01!$BD:$BD,MATCH($B168,Program_01!$A:$A,0)),"")</f>
        <v>0</v>
      </c>
      <c r="Z168" s="51"/>
      <c r="AA168" s="183" t="str">
        <f>IFERROR(IF((INDEX(Program_01!$AD:$AD,MATCH($B168,Program_01!$A:$A,0))=""),INDEX(Program_01!$V:$V,MATCH($B168,Program_01!$A:$A,0)),INDEX(Program_01!$AD:$AD,MATCH($B168,Program_01!$A:$A,0))),"")</f>
        <v>NUI01006-GENCORR-000023 (1TB01006-006C72-NUI-LTR-0014)</v>
      </c>
      <c r="AB168" s="147">
        <f>IFERROR(IF((INDEX(Program_01!$AE:$AE,MATCH($B168,Program_01!$A:$A,0))=""),INDEX(Program_01!$W:$W,MATCH($B168,Program_01!$A:$A,0)),INDEX(Program_01!$AE:$AE,MATCH($B168,Program_01!$A:$A,0))),"")</f>
        <v>46237</v>
      </c>
      <c r="AC168" s="183">
        <f>IFERROR(IF($I168="EOT",INDEX(Program_01!$AN:$AN,MATCH($B168,Program_01!$A:$A,0)),INDEX(Program_01!$AY:$AY,MATCH($B168,Program_01!$A:$A,0))),"")</f>
        <v>0</v>
      </c>
      <c r="AD168" s="181">
        <f>IFERROR(IF($I168="EOT",INDEX(Program_01!$AO:$AO,MATCH($B168,Program_01!$A:$A,0)),INDEX(Program_01!$AZ:$AZ,MATCH($B168,Program_01!$A:$A,0))),"")</f>
        <v>0</v>
      </c>
      <c r="AE168" s="51"/>
      <c r="AF168" s="183"/>
      <c r="AG168" s="181"/>
      <c r="AH168" s="183" t="str">
        <f>IF(OR($D168="",$AS168="VO Issued",$AS168="Open"),"",IF(OR($AC168="Rejected",$AC168="Superseded",$AC168="Dealt Separately"),$AC168,IF($I168="EOT",INDEX(Program_01!$AR:$AR,MATCH($B168,Program_01!$A:$A,0)),INDEX(Program_01!$BB:$BB,MATCH($B168,Program_01!$A:$A,0)))))</f>
        <v/>
      </c>
      <c r="AI168" s="181" t="str">
        <f>IF(OR($A168="",$B168="",$I168="",$AS168="VO Issued",$AS168="Open"),"",IF(OR($AD168="N/A"),$AD168,IF($I168="EOT",INDEX(Program_01!$AS:$AS,MATCH($B168,Program_01!$A:$A,0)),INDEX(Program_01!$BC:$BC,MATCH($B168,Program_01!$A:$A,0)))))</f>
        <v/>
      </c>
      <c r="AJ168" s="183" t="str">
        <f>IF(OR($D168="",$I168="",$AS168="Determination Issued",$AS168="Rejected",$AS168="Open"),"",IF(OR($AH168="Rejected",$AH168="Dealt Separately",$AH168="Superseded",$AH168="Withdrawn"),"N/A",IF($I168="EOT",INDEX(Program_01!AR:AR,MATCH($B168,Program_01!A:A,0)),INDEX(Program_01!BB:BB,MATCH($B168,Program_01!A:A,0)))))</f>
        <v/>
      </c>
      <c r="AK168" s="181" t="str">
        <f>IF(OR($A168="",$B168="",$I168="",$AS168="Determination Issued",$AS168="Rejected",$AS168="Open"),"",IF($AJ168="N/A","N/A",IF($I168="EOT",INDEX(Program_01!AS:AS,MATCH($B168,Program_01!A:A,0)),INDEX(Program_01!BC:BC,MATCH($B168,Program_01!A:A,0)))))</f>
        <v/>
      </c>
      <c r="AL168" s="51"/>
      <c r="AM168" s="184">
        <f>IFERROR(INDEX(Program_01!$BT:$BT,MATCH($B168,Program_01!$A:$A,0)),"")</f>
        <v>0</v>
      </c>
      <c r="AN168" s="184">
        <f>IFERROR(INDEX(Program_01!$BU:$BU,MATCH($B168,Program_01!$A:$A,0)),"")</f>
        <v>0</v>
      </c>
      <c r="AO168" s="184">
        <f>IFERROR(INDEX(Program_01!$BV:$BV,MATCH($B168,Program_01!$A:$A,0)),"")</f>
        <v>0</v>
      </c>
      <c r="AP168" s="51" t="str">
        <f t="shared" si="73"/>
        <v/>
      </c>
      <c r="AQ168" s="184">
        <f>IFERROR(INDEX(Program_01!$BN:$BN,MATCH($B168,Program_01!$A:$A,0)),"")</f>
        <v>0</v>
      </c>
      <c r="AR168" s="184" t="str">
        <f>IFERROR(INDEX(Program_01!$BO:$BO,MATCH($B168,Program_01!$A:$A,0)),"")</f>
        <v>Pending</v>
      </c>
      <c r="AS168" s="184" t="str">
        <f>IFERROR(INDEX(Program_01!$BP:$BP,MATCH($B168,Program_01!$A:$A,0)),"")</f>
        <v>Open</v>
      </c>
      <c r="AT168" s="185" t="str">
        <f>IFERROR(INDEX(Program_01!$BQ:$BQ,MATCH($B168,Program_01!$A:$A,0)),"")</f>
        <v>Commercial Team</v>
      </c>
      <c r="AU168" s="179" t="str">
        <f>IFERROR(INDEX(Program_01!$BR:$BR,MATCH($B168,Program_01!$A:$A,0)),"")</f>
        <v xml:space="preserve">25 July 26: EOT 02 received from Contractor (Ref. 1TB01006-006C72-NUI-LTR-006C72 dated 16 July 26). Response letter (Revise and resubmit will be issued on 30 July 26. WF-046240
02 Aug 26: Response letter (revise and resubmit) issued to Contractor (1TB01006-006C72-AMA-LTR-0024)
03 Aug 26: Response recived on 03 Aug 2026, via NUI01006-GENCORR-000023 (1TB01006-006C72-NUI-LTR-0014), 
10 Aug 26: currently under Commercial Review. 
24 Aug 26: Target date TBC
02 Sep 26: Draft EAR under review with site planning
04 Sept 26: DRAFT EAR issued to Claims and Planning team for TIA and Delay analysis
06 Sep 26: claims team to review prior to Planning's TIA
20 Sep 26: EAR sent back to commercial with comments
05 Oct 26: Review response are received from Claims Team 20Sept26, Commerical team is working on it. </v>
      </c>
      <c r="AV168" s="186" t="str">
        <f t="shared" si="58"/>
        <v/>
      </c>
      <c r="AW168" s="186" t="str">
        <f t="shared" si="74"/>
        <v>OPEN</v>
      </c>
      <c r="AX168" s="186" t="str">
        <f t="shared" si="59"/>
        <v>OPEN</v>
      </c>
      <c r="AY168" s="181">
        <f t="shared" si="68"/>
        <v>46237</v>
      </c>
      <c r="AZ168" s="181" t="str">
        <f t="shared" si="60"/>
        <v/>
      </c>
      <c r="BA168" s="181" t="str">
        <f t="shared" si="4"/>
        <v/>
      </c>
      <c r="BC168" s="181">
        <f>IFERROR(INDEX(Program_01!BF:BF,MATCH($B168,Program_01!$A:$A,0)),"")</f>
        <v>46237</v>
      </c>
      <c r="BD168" s="188">
        <f ca="1">IFERROR(INDEX(Program_01!BG:BG,MATCH($B168,Program_01!$A:$A,0)),"")</f>
        <v>63</v>
      </c>
      <c r="BE168" s="181">
        <f>IFERROR(INDEX(Program_01!BH:BH,MATCH($B168,Program_01!$A:$A,0)),"")</f>
        <v>0</v>
      </c>
      <c r="BF168" s="189">
        <f ca="1">IFERROR(INDEX(Program_01!BI:BI,MATCH($B168,Program_01!$A:$A,0)),"")</f>
        <v>0</v>
      </c>
      <c r="BG168" s="181">
        <f>IFERROR(INDEX(Program_01!BJ:BJ,MATCH($B168,Program_01!$A:$A,0)),"")</f>
        <v>0</v>
      </c>
      <c r="BH168" s="189">
        <f ca="1">IFERROR(INDEX(Program_01!BK:BK,MATCH($B168,Program_01!$A:$A,0)),"")</f>
        <v>0</v>
      </c>
      <c r="BI168" s="181">
        <f>IFERROR(INDEX(Program_01!BL:BL,MATCH($B168,Program_01!$A:$A,0)),"")</f>
        <v>0</v>
      </c>
      <c r="BK168" s="190" t="str">
        <f>IFERROR(IF(INDEX(Program_01!$BX:$BX,MATCH($B168,Program_01!$A:$A,0))=DATE(1900,1,0),"",INDEX(Program_01!$BX:$BX,MATCH($B168,Program_01!$A:$A,0))),"")</f>
        <v/>
      </c>
      <c r="BL168" s="190" t="str">
        <f>IFERROR(IF(INDEX(Program_01!$BY:$BY,MATCH($B168,Program_01!$A:$A,0))=DATE(1900,1,0),"",INDEX(Program_01!$BY:$BY,MATCH($B168,Program_01!$A:$A,0))),"")</f>
        <v/>
      </c>
      <c r="BM168" s="188" t="str">
        <f t="shared" ca="1" si="69"/>
        <v/>
      </c>
      <c r="BN168" s="191">
        <f t="shared" ca="1" si="70"/>
        <v>63</v>
      </c>
      <c r="BO168" s="188" t="str">
        <f t="shared" si="61"/>
        <v/>
      </c>
      <c r="BP168" s="188" t="str">
        <f t="shared" si="6"/>
        <v/>
      </c>
      <c r="BQ168" s="188" t="str">
        <f t="shared" ca="1" si="71"/>
        <v/>
      </c>
      <c r="BR168" s="181" t="str">
        <f t="shared" ca="1" si="62"/>
        <v/>
      </c>
      <c r="BT168" s="190" t="str">
        <f>IFERROR(IF(INDEX(Program_01!$BZ:$BZ,MATCH($B168,Program_01!$A:$A,0))=DATE(1900,1,0),"",INDEX(Program_01!$BZ:$BZ,MATCH($B168,Program_01!$A:$A,0))),"")</f>
        <v/>
      </c>
      <c r="BU168" s="182" t="str">
        <f t="shared" ca="1" si="75"/>
        <v/>
      </c>
      <c r="BV168" s="188" t="str">
        <f t="shared" si="63"/>
        <v/>
      </c>
      <c r="BW168" s="188" t="str">
        <f t="shared" si="8"/>
        <v/>
      </c>
      <c r="BX168" s="188" t="str">
        <f t="shared" ca="1" si="64"/>
        <v/>
      </c>
      <c r="BY168" s="181" t="str">
        <f t="shared" ca="1" si="65"/>
        <v/>
      </c>
      <c r="CA168" s="192" t="str">
        <f t="shared" si="76"/>
        <v>N</v>
      </c>
      <c r="CB168" s="192" t="str">
        <f t="shared" si="77"/>
        <v>N</v>
      </c>
      <c r="CC168" s="193">
        <f>IFERROR(INDEX(Program_01!$CE:$CE,MATCH($B168,Program_01!$A:$A,0)),"")</f>
        <v>46228</v>
      </c>
      <c r="CD168" s="193">
        <f t="shared" si="66"/>
        <v>46228</v>
      </c>
      <c r="CG168" s="194">
        <f>IFERROR(INDEX(Program_01!$AT:$AT,MATCH($B168,Program_01!$A:$A,0)),"")</f>
        <v>0</v>
      </c>
      <c r="CH168" s="194">
        <f>IFERROR(INDEX(Program_01!$AX:$AX,MATCH($B168,Program_01!$A:$A,0)),"")</f>
        <v>0</v>
      </c>
    </row>
    <row r="169" spans="1:86" s="187" customFormat="1" ht="102">
      <c r="A169" s="174" t="s">
        <v>1</v>
      </c>
      <c r="B169" s="175">
        <f t="shared" si="72"/>
        <v>151</v>
      </c>
      <c r="C169" s="176" t="str">
        <f>IFERROR(INDEX(Program_01!$B:$B,MATCH($B169,Program_01!$A:$A,0)),"")</f>
        <v>HLEAR</v>
      </c>
      <c r="D169" s="176" t="str">
        <f>IFERROR(INDEX(Program_01!$D:$D,MATCH($B169,Program_01!$A:$A,0)),"")</f>
        <v>1TB01100C41</v>
      </c>
      <c r="E169" s="176" t="str">
        <f>IFERROR(INDEX(Program_01!$E:$E,MATCH($B169,Program_01!$A:$A,0)),"")</f>
        <v>1.TB.01.100.00</v>
      </c>
      <c r="F169" s="176" t="str">
        <f>IFERROR(INDEX(Program_01!$F:$F,MATCH($B169,Program_01!$A:$A,0)),"")</f>
        <v>Marina Village - Wide</v>
      </c>
      <c r="G169" s="176" t="str">
        <f>IFERROR(INDEX(Program_01!$G:$G,MATCH($B169,Program_01!$A:$A,0)),"")</f>
        <v>Construction of Additional Fuel Line for Super Yacht</v>
      </c>
      <c r="H169" s="176" t="str">
        <f>IFERROR(INDEX(Program_01!$H:$H,MATCH($B169,Program_01!$A:$A,0)),"")</f>
        <v>Rawabi Specialized Contracting Company</v>
      </c>
      <c r="I169" s="176" t="str">
        <f t="shared" si="67"/>
        <v>EOT</v>
      </c>
      <c r="J169" s="176">
        <f>IFERROR(INDEX(Program_01!$I:$I,MATCH($B169,Program_01!$A:$A,0)),"")</f>
        <v>1</v>
      </c>
      <c r="K169" s="176">
        <f>IFERROR(INDEX(Program_01!$J:$J,MATCH($B169,Program_01!$A:$A,0)),"")</f>
        <v>0</v>
      </c>
      <c r="L169" s="176">
        <f>IFERROR(INDEX(Program_01!$K:$K,MATCH($B169,Program_01!$A:$A,0)),"")</f>
        <v>0</v>
      </c>
      <c r="M169" s="176">
        <f>IFERROR(INDEX(Program_01!$L:$L,MATCH($B169,Program_01!$A:$A,0)),"")</f>
        <v>0</v>
      </c>
      <c r="N169" s="176">
        <f>IFERROR(INDEX(Program_01!$L:$L,MATCH($B169,Program_01!$A:$A,0)),"")</f>
        <v>0</v>
      </c>
      <c r="O169" s="176">
        <f>IFERROR(INDEX(Program_01!$N:$N,MATCH($B169,Program_01!$A:$A,0)),"")</f>
        <v>0</v>
      </c>
      <c r="P169" s="178"/>
      <c r="Q169" s="179" t="str">
        <f>IFERROR(INDEX(Program_01!$C:$C,MATCH($B169,Program_01!$A:$A,0)),"")</f>
        <v>Notice of Claim - EOT 01</v>
      </c>
      <c r="R169" s="176" t="str">
        <f>IFERROR(INDEX(Program_01!$V:$V,MATCH($B169,Program_01!$A:$A,0)),"")</f>
        <v>1TB01100-100C41-RAS-LTR-0001
RAS01100-TRANSMIT-000006</v>
      </c>
      <c r="S169" s="180">
        <f>IFERROR(INDEX(Program_01!$W:$W,MATCH($B169,Program_01!$A:$A,0)),"")</f>
        <v>45861</v>
      </c>
      <c r="T169" s="178"/>
      <c r="U169" s="176">
        <f>IFERROR(INDEX(Program_01!$Z:$Z,MATCH($B169,Program_01!$A:$A,0)),"")</f>
        <v>0</v>
      </c>
      <c r="V169" s="181" t="str">
        <f>IFERROR(INDEX(Program_01!$AA:$AA,MATCH($B169,Program_01!$A:$A,0)),"")</f>
        <v>N/A</v>
      </c>
      <c r="W169" s="182" t="str">
        <f t="shared" ca="1" si="0"/>
        <v/>
      </c>
      <c r="X169" s="51"/>
      <c r="Y169" s="179">
        <f>IFERROR(INDEX(Program_01!$BD:$BD,MATCH($B169,Program_01!$A:$A,0)),"")</f>
        <v>0</v>
      </c>
      <c r="Z169" s="51"/>
      <c r="AA169" s="183" t="str">
        <f>IFERROR(IF((INDEX(Program_01!$AD:$AD,MATCH($B169,Program_01!$A:$A,0))=""),INDEX(Program_01!$V:$V,MATCH($B169,Program_01!$A:$A,0)),INDEX(Program_01!$AD:$AD,MATCH($B169,Program_01!$A:$A,0))),"")</f>
        <v>No Formal claim was submitted by the contractor and hence the Start date for the claim is considered the approval date from Claims team to process HLEAR</v>
      </c>
      <c r="AB169" s="147">
        <f>IFERROR(IF((INDEX(Program_01!$AE:$AE,MATCH($B169,Program_01!$A:$A,0))=""),INDEX(Program_01!$W:$W,MATCH($B169,Program_01!$A:$A,0)),INDEX(Program_01!$AE:$AE,MATCH($B169,Program_01!$A:$A,0))),"")</f>
        <v>46238</v>
      </c>
      <c r="AC169" s="183">
        <f>IFERROR(IF($I169="EOT",INDEX(Program_01!$AN:$AN,MATCH($B169,Program_01!$A:$A,0)),INDEX(Program_01!$AY:$AY,MATCH($B169,Program_01!$A:$A,0))),"")</f>
        <v>0</v>
      </c>
      <c r="AD169" s="181">
        <f>IFERROR(IF($I169="EOT",INDEX(Program_01!$AO:$AO,MATCH($B169,Program_01!$A:$A,0)),INDEX(Program_01!$AZ:$AZ,MATCH($B169,Program_01!$A:$A,0))),"")</f>
        <v>0</v>
      </c>
      <c r="AE169" s="51"/>
      <c r="AF169" s="183"/>
      <c r="AG169" s="181"/>
      <c r="AH169" s="183" t="str">
        <f>IF(OR($D169="",$AS169="VO Issued",$AS169="Open"),"",IF(OR($AC169="Rejected",$AC169="Superseded",$AC169="Dealt Separately"),$AC169,IF($I169="EOT",INDEX(Program_01!$AR:$AR,MATCH($B169,Program_01!$A:$A,0)),INDEX(Program_01!$BB:$BB,MATCH($B169,Program_01!$A:$A,0)))))</f>
        <v/>
      </c>
      <c r="AI169" s="181" t="str">
        <f>IF(OR($A169="",$B169="",$I169="",$AS169="VO Issued",$AS169="Open"),"",IF(OR($AD169="N/A"),$AD169,IF($I169="EOT",INDEX(Program_01!$AS:$AS,MATCH($B169,Program_01!$A:$A,0)),INDEX(Program_01!$BC:$BC,MATCH($B169,Program_01!$A:$A,0)))))</f>
        <v/>
      </c>
      <c r="AJ169" s="183" t="str">
        <f>IF(OR($D169="",$I169="",$AS169="Determination Issued",$AS169="Rejected",$AS169="Open"),"",IF(OR($AH169="Rejected",$AH169="Dealt Separately",$AH169="Superseded",$AH169="Withdrawn"),"N/A",IF($I169="EOT",INDEX(Program_01!AR:AR,MATCH($B169,Program_01!A:A,0)),INDEX(Program_01!BB:BB,MATCH($B169,Program_01!A:A,0)))))</f>
        <v/>
      </c>
      <c r="AK169" s="181" t="str">
        <f>IF(OR($A169="",$B169="",$I169="",$AS169="Determination Issued",$AS169="Rejected",$AS169="Open"),"",IF($AJ169="N/A","N/A",IF($I169="EOT",INDEX(Program_01!AS:AS,MATCH($B169,Program_01!A:A,0)),INDEX(Program_01!BC:BC,MATCH($B169,Program_01!A:A,0)))))</f>
        <v/>
      </c>
      <c r="AL169" s="51"/>
      <c r="AM169" s="184">
        <f>IFERROR(INDEX(Program_01!$BT:$BT,MATCH($B169,Program_01!$A:$A,0)),"")</f>
        <v>0</v>
      </c>
      <c r="AN169" s="184">
        <f>IFERROR(INDEX(Program_01!$BU:$BU,MATCH($B169,Program_01!$A:$A,0)),"")</f>
        <v>0</v>
      </c>
      <c r="AO169" s="184">
        <f>IFERROR(INDEX(Program_01!$BV:$BV,MATCH($B169,Program_01!$A:$A,0)),"")</f>
        <v>0</v>
      </c>
      <c r="AP169" s="51" t="str">
        <f t="shared" si="73"/>
        <v/>
      </c>
      <c r="AQ169" s="184">
        <f>IFERROR(INDEX(Program_01!$BN:$BN,MATCH($B169,Program_01!$A:$A,0)),"")</f>
        <v>0</v>
      </c>
      <c r="AR169" s="184" t="str">
        <f>IFERROR(INDEX(Program_01!$BO:$BO,MATCH($B169,Program_01!$A:$A,0)),"")</f>
        <v>Pending</v>
      </c>
      <c r="AS169" s="184" t="str">
        <f>IFERROR(INDEX(Program_01!$BP:$BP,MATCH($B169,Program_01!$A:$A,0)),"")</f>
        <v>Open</v>
      </c>
      <c r="AT169" s="185" t="str">
        <f>IFERROR(INDEX(Program_01!$BQ:$BQ,MATCH($B169,Program_01!$A:$A,0)),"")</f>
        <v>Commercial Team</v>
      </c>
      <c r="AU169" s="179" t="str">
        <f>IFERROR(INDEX(Program_01!$BR:$BR,MATCH($B169,Program_01!$A:$A,0)),"")</f>
        <v>04 Aug 24 No formal claim was submitted by the Contractor. Therefore, the claim start date has been taken as 4 August 2026, being the date on which the Claims Team approved the preparation of the HLEAR. The HLEAR is being undertaken following BEN's rejection of the RFA to levy delay damages.
10 Aug 26: Email from NIGEL on 04 Aug 26 to hold this and will give direction to move forward
06 Sep 26: Ditto
21 Sep 26: Ditto
NE to talk to KM</v>
      </c>
      <c r="AV169" s="186" t="str">
        <f t="shared" si="58"/>
        <v/>
      </c>
      <c r="AW169" s="186" t="str">
        <f t="shared" si="74"/>
        <v>OPEN</v>
      </c>
      <c r="AX169" s="186" t="str">
        <f t="shared" si="59"/>
        <v>OPEN</v>
      </c>
      <c r="AY169" s="181">
        <f t="shared" si="68"/>
        <v>46238</v>
      </c>
      <c r="AZ169" s="181" t="str">
        <f t="shared" si="60"/>
        <v/>
      </c>
      <c r="BA169" s="181" t="str">
        <f t="shared" si="4"/>
        <v/>
      </c>
      <c r="BC169" s="181">
        <f>IFERROR(INDEX(Program_01!BF:BF,MATCH($B169,Program_01!$A:$A,0)),"")</f>
        <v>46238</v>
      </c>
      <c r="BD169" s="188">
        <f ca="1">IFERROR(INDEX(Program_01!BG:BG,MATCH($B169,Program_01!$A:$A,0)),"")</f>
        <v>62</v>
      </c>
      <c r="BE169" s="181">
        <f>IFERROR(INDEX(Program_01!BH:BH,MATCH($B169,Program_01!$A:$A,0)),"")</f>
        <v>0</v>
      </c>
      <c r="BF169" s="189">
        <f ca="1">IFERROR(INDEX(Program_01!BI:BI,MATCH($B169,Program_01!$A:$A,0)),"")</f>
        <v>0</v>
      </c>
      <c r="BG169" s="181">
        <f>IFERROR(INDEX(Program_01!BJ:BJ,MATCH($B169,Program_01!$A:$A,0)),"")</f>
        <v>0</v>
      </c>
      <c r="BH169" s="189">
        <f ca="1">IFERROR(INDEX(Program_01!BK:BK,MATCH($B169,Program_01!$A:$A,0)),"")</f>
        <v>0</v>
      </c>
      <c r="BI169" s="181">
        <f>IFERROR(INDEX(Program_01!BL:BL,MATCH($B169,Program_01!$A:$A,0)),"")</f>
        <v>0</v>
      </c>
      <c r="BK169" s="190" t="str">
        <f>IFERROR(IF(INDEX(Program_01!$BX:$BX,MATCH($B169,Program_01!$A:$A,0))=DATE(1900,1,0),"",INDEX(Program_01!$BX:$BX,MATCH($B169,Program_01!$A:$A,0))),"")</f>
        <v/>
      </c>
      <c r="BL169" s="190" t="str">
        <f>IFERROR(IF(INDEX(Program_01!$BY:$BY,MATCH($B169,Program_01!$A:$A,0))=DATE(1900,1,0),"",INDEX(Program_01!$BY:$BY,MATCH($B169,Program_01!$A:$A,0))),"")</f>
        <v/>
      </c>
      <c r="BM169" s="188" t="str">
        <f t="shared" ca="1" si="69"/>
        <v/>
      </c>
      <c r="BN169" s="191">
        <f t="shared" ca="1" si="70"/>
        <v>62</v>
      </c>
      <c r="BO169" s="188" t="str">
        <f t="shared" si="61"/>
        <v/>
      </c>
      <c r="BP169" s="188" t="str">
        <f t="shared" si="6"/>
        <v/>
      </c>
      <c r="BQ169" s="188" t="str">
        <f t="shared" ca="1" si="71"/>
        <v/>
      </c>
      <c r="BR169" s="181" t="str">
        <f t="shared" ca="1" si="62"/>
        <v/>
      </c>
      <c r="BT169" s="190" t="str">
        <f>IFERROR(IF(INDEX(Program_01!$BZ:$BZ,MATCH($B169,Program_01!$A:$A,0))=DATE(1900,1,0),"",INDEX(Program_01!$BZ:$BZ,MATCH($B169,Program_01!$A:$A,0))),"")</f>
        <v/>
      </c>
      <c r="BU169" s="182" t="str">
        <f t="shared" ca="1" si="75"/>
        <v/>
      </c>
      <c r="BV169" s="188" t="str">
        <f t="shared" si="63"/>
        <v/>
      </c>
      <c r="BW169" s="188" t="str">
        <f t="shared" si="8"/>
        <v/>
      </c>
      <c r="BX169" s="188" t="str">
        <f t="shared" ca="1" si="64"/>
        <v/>
      </c>
      <c r="BY169" s="181" t="str">
        <f t="shared" ca="1" si="65"/>
        <v/>
      </c>
      <c r="CA169" s="192" t="str">
        <f t="shared" si="76"/>
        <v>N</v>
      </c>
      <c r="CB169" s="192" t="str">
        <f t="shared" si="77"/>
        <v>N</v>
      </c>
      <c r="CC169" s="193">
        <f>IFERROR(INDEX(Program_01!$CE:$CE,MATCH($B169,Program_01!$A:$A,0)),"")</f>
        <v>46238</v>
      </c>
      <c r="CD169" s="193">
        <f t="shared" si="66"/>
        <v>46238</v>
      </c>
      <c r="CG169" s="194">
        <f>IFERROR(INDEX(Program_01!$AT:$AT,MATCH($B169,Program_01!$A:$A,0)),"")</f>
        <v>0</v>
      </c>
      <c r="CH169" s="194">
        <f>IFERROR(INDEX(Program_01!$AX:$AX,MATCH($B169,Program_01!$A:$A,0)),"")</f>
        <v>0</v>
      </c>
    </row>
    <row r="170" spans="1:86" s="187" customFormat="1" ht="119">
      <c r="A170" s="174" t="s">
        <v>1</v>
      </c>
      <c r="B170" s="175">
        <f t="shared" si="72"/>
        <v>152</v>
      </c>
      <c r="C170" s="176" t="str">
        <f>IFERROR(INDEX(Program_01!$B:$B,MATCH($B170,Program_01!$A:$A,0)),"")</f>
        <v>FULL TIA EAR</v>
      </c>
      <c r="D170" s="176" t="str">
        <f>IFERROR(INDEX(Program_01!$D:$D,MATCH($B170,Program_01!$A:$A,0)),"")</f>
        <v>1TB01009C09</v>
      </c>
      <c r="E170" s="176" t="str">
        <f>IFERROR(INDEX(Program_01!$E:$E,MATCH($B170,Program_01!$A:$A,0)),"")</f>
        <v>1.TB.01.009.01</v>
      </c>
      <c r="F170" s="176" t="str">
        <f>IFERROR(INDEX(Program_01!$F:$F,MATCH($B170,Program_01!$A:$A,0)),"")</f>
        <v>Marina Hotel 3</v>
      </c>
      <c r="G170" s="176" t="str">
        <f>IFERROR(INDEX(Program_01!$G:$G,MATCH($B170,Program_01!$A:$A,0)),"")</f>
        <v>AMAALA Triple Bay – Marina Hotel 3 – Guest Rooms &amp; Corridor Fit-Out Works Package.</v>
      </c>
      <c r="H170" s="176" t="str">
        <f>IFERROR(INDEX(Program_01!$H:$H,MATCH($B170,Program_01!$A:$A,0)),"")</f>
        <v>IMAR Overseas Saudi Arabia Company</v>
      </c>
      <c r="I170" s="176" t="str">
        <f t="shared" si="67"/>
        <v>EOT</v>
      </c>
      <c r="J170" s="176">
        <f>IFERROR(INDEX(Program_01!$I:$I,MATCH($B170,Program_01!$A:$A,0)),"")</f>
        <v>1</v>
      </c>
      <c r="K170" s="176">
        <f>IFERROR(INDEX(Program_01!$J:$J,MATCH($B170,Program_01!$A:$A,0)),"")</f>
        <v>0</v>
      </c>
      <c r="L170" s="176">
        <f>IFERROR(INDEX(Program_01!$K:$K,MATCH($B170,Program_01!$A:$A,0)),"")</f>
        <v>0</v>
      </c>
      <c r="M170" s="176">
        <f>IFERROR(INDEX(Program_01!$L:$L,MATCH($B170,Program_01!$A:$A,0)),"")</f>
        <v>0</v>
      </c>
      <c r="N170" s="176">
        <f>IFERROR(INDEX(Program_01!$L:$L,MATCH($B170,Program_01!$A:$A,0)),"")</f>
        <v>0</v>
      </c>
      <c r="O170" s="176">
        <f>IFERROR(INDEX(Program_01!$N:$N,MATCH($B170,Program_01!$A:$A,0)),"")</f>
        <v>0</v>
      </c>
      <c r="P170" s="178"/>
      <c r="Q170" s="179" t="str">
        <f>IFERROR(INDEX(Program_01!$C:$C,MATCH($B170,Program_01!$A:$A,0)),"")</f>
        <v>Extension of Time Claim (EOT-03)</v>
      </c>
      <c r="R170" s="176" t="str">
        <f>IFERROR(INDEX(Program_01!$V:$V,MATCH($B170,Program_01!$A:$A,0)),"")</f>
        <v>1TB01009-009C09-IMR-LTR-0132</v>
      </c>
      <c r="S170" s="180">
        <f>IFERROR(INDEX(Program_01!$W:$W,MATCH($B170,Program_01!$A:$A,0)),"")</f>
        <v>46239</v>
      </c>
      <c r="T170" s="178"/>
      <c r="U170" s="176">
        <f>IFERROR(INDEX(Program_01!$Z:$Z,MATCH($B170,Program_01!$A:$A,0)),"")</f>
        <v>0</v>
      </c>
      <c r="V170" s="181">
        <f>IFERROR(INDEX(Program_01!$AA:$AA,MATCH($B170,Program_01!$A:$A,0)),"")</f>
        <v>0</v>
      </c>
      <c r="W170" s="182">
        <f t="shared" ca="1" si="0"/>
        <v>61</v>
      </c>
      <c r="X170" s="51"/>
      <c r="Y170" s="179">
        <f>IFERROR(INDEX(Program_01!$BD:$BD,MATCH($B170,Program_01!$A:$A,0)),"")</f>
        <v>0</v>
      </c>
      <c r="Z170" s="51"/>
      <c r="AA170" s="183" t="str">
        <f>IFERROR(IF((INDEX(Program_01!$AD:$AD,MATCH($B170,Program_01!$A:$A,0))=""),INDEX(Program_01!$V:$V,MATCH($B170,Program_01!$A:$A,0)),INDEX(Program_01!$AD:$AD,MATCH($B170,Program_01!$A:$A,0))),"")</f>
        <v>1TB01009-009C09-IMR-LTR-0132</v>
      </c>
      <c r="AB170" s="147">
        <f>IFERROR(IF((INDEX(Program_01!$AE:$AE,MATCH($B170,Program_01!$A:$A,0))=""),INDEX(Program_01!$W:$W,MATCH($B170,Program_01!$A:$A,0)),INDEX(Program_01!$AE:$AE,MATCH($B170,Program_01!$A:$A,0))),"")</f>
        <v>46239</v>
      </c>
      <c r="AC170" s="183">
        <f>IFERROR(IF($I170="EOT",INDEX(Program_01!$AN:$AN,MATCH($B170,Program_01!$A:$A,0)),INDEX(Program_01!$AY:$AY,MATCH($B170,Program_01!$A:$A,0))),"")</f>
        <v>0</v>
      </c>
      <c r="AD170" s="181">
        <f>IFERROR(IF($I170="EOT",INDEX(Program_01!$AO:$AO,MATCH($B170,Program_01!$A:$A,0)),INDEX(Program_01!$AZ:$AZ,MATCH($B170,Program_01!$A:$A,0))),"")</f>
        <v>0</v>
      </c>
      <c r="AE170" s="51"/>
      <c r="AF170" s="183"/>
      <c r="AG170" s="181"/>
      <c r="AH170" s="183" t="str">
        <f>IF(OR($D170="",$AS170="VO Issued",$AS170="Open"),"",IF(OR($AC170="Rejected",$AC170="Superseded",$AC170="Dealt Separately"),$AC170,IF($I170="EOT",INDEX(Program_01!$AR:$AR,MATCH($B170,Program_01!$A:$A,0)),INDEX(Program_01!$BB:$BB,MATCH($B170,Program_01!$A:$A,0)))))</f>
        <v/>
      </c>
      <c r="AI170" s="181" t="str">
        <f>IF(OR($A170="",$B170="",$I170="",$AS170="VO Issued",$AS170="Open"),"",IF(OR($AD170="N/A"),$AD170,IF($I170="EOT",INDEX(Program_01!$AS:$AS,MATCH($B170,Program_01!$A:$A,0)),INDEX(Program_01!$BC:$BC,MATCH($B170,Program_01!$A:$A,0)))))</f>
        <v/>
      </c>
      <c r="AJ170" s="183" t="str">
        <f>IF(OR($D170="",$I170="",$AS170="Determination Issued",$AS170="Rejected",$AS170="Open"),"",IF(OR($AH170="Rejected",$AH170="Dealt Separately",$AH170="Superseded",$AH170="Withdrawn"),"N/A",IF($I170="EOT",INDEX(Program_01!AR:AR,MATCH($B170,Program_01!A:A,0)),INDEX(Program_01!BB:BB,MATCH($B170,Program_01!A:A,0)))))</f>
        <v/>
      </c>
      <c r="AK170" s="181" t="str">
        <f>IF(OR($A170="",$B170="",$I170="",$AS170="Determination Issued",$AS170="Rejected",$AS170="Open"),"",IF($AJ170="N/A","N/A",IF($I170="EOT",INDEX(Program_01!AS:AS,MATCH($B170,Program_01!A:A,0)),INDEX(Program_01!BC:BC,MATCH($B170,Program_01!A:A,0)))))</f>
        <v/>
      </c>
      <c r="AL170" s="51"/>
      <c r="AM170" s="184">
        <f>IFERROR(INDEX(Program_01!$BT:$BT,MATCH($B170,Program_01!$A:$A,0)),"")</f>
        <v>0</v>
      </c>
      <c r="AN170" s="184">
        <f>IFERROR(INDEX(Program_01!$BU:$BU,MATCH($B170,Program_01!$A:$A,0)),"")</f>
        <v>0</v>
      </c>
      <c r="AO170" s="184">
        <f>IFERROR(INDEX(Program_01!$BV:$BV,MATCH($B170,Program_01!$A:$A,0)),"")</f>
        <v>0</v>
      </c>
      <c r="AP170" s="51" t="str">
        <f t="shared" si="73"/>
        <v/>
      </c>
      <c r="AQ170" s="184">
        <f>IFERROR(INDEX(Program_01!$BN:$BN,MATCH($B170,Program_01!$A:$A,0)),"")</f>
        <v>0</v>
      </c>
      <c r="AR170" s="184" t="str">
        <f>IFERROR(INDEX(Program_01!$BO:$BO,MATCH($B170,Program_01!$A:$A,0)),"")</f>
        <v>Pending</v>
      </c>
      <c r="AS170" s="184" t="str">
        <f>IFERROR(INDEX(Program_01!$BP:$BP,MATCH($B170,Program_01!$A:$A,0)),"")</f>
        <v>Open</v>
      </c>
      <c r="AT170" s="185" t="str">
        <f>IFERROR(INDEX(Program_01!$BQ:$BQ,MATCH($B170,Program_01!$A:$A,0)),"")</f>
        <v>Commercial Team</v>
      </c>
      <c r="AU170" s="179" t="str">
        <f>IFERROR(INDEX(Program_01!$BR:$BR,MATCH($B170,Program_01!$A:$A,0)),"")</f>
        <v>8 Aug 26: Claim received on 5 Aug 26: EAR shall be prepared along with EOT No. 02
13 Aug 26: Draft Initial response sent to claims team for review // reviewed and sent back to commercial for issuance
22 Aug 26: Comments issued to Contractor through letter ref. 1TB01009-009C09-AMA-LTR-0108 dated 18 Aug 26. Meanwhile, we are proceeding with the EAR.   Target 14-Sept-26.
5 Sep 26: Target date remains same.
21 Sep 26: Target date is  27 Sep 26
04 Oct 26: Draft EAR for the Merit &amp; Chronology (Pre-TIA) issued to claims team for review.</v>
      </c>
      <c r="AV170" s="186" t="str">
        <f t="shared" si="58"/>
        <v/>
      </c>
      <c r="AW170" s="186" t="str">
        <f t="shared" si="74"/>
        <v>OPEN</v>
      </c>
      <c r="AX170" s="186" t="str">
        <f t="shared" si="59"/>
        <v>OPEN</v>
      </c>
      <c r="AY170" s="181">
        <f t="shared" si="68"/>
        <v>46239</v>
      </c>
      <c r="AZ170" s="181" t="str">
        <f t="shared" si="60"/>
        <v/>
      </c>
      <c r="BA170" s="181" t="str">
        <f t="shared" si="4"/>
        <v/>
      </c>
      <c r="BC170" s="181">
        <f>IFERROR(INDEX(Program_01!BF:BF,MATCH($B170,Program_01!$A:$A,0)),"")</f>
        <v>46239</v>
      </c>
      <c r="BD170" s="188">
        <f ca="1">IFERROR(INDEX(Program_01!BG:BG,MATCH($B170,Program_01!$A:$A,0)),"")</f>
        <v>61</v>
      </c>
      <c r="BE170" s="181">
        <f>IFERROR(INDEX(Program_01!BH:BH,MATCH($B170,Program_01!$A:$A,0)),"")</f>
        <v>0</v>
      </c>
      <c r="BF170" s="189">
        <f ca="1">IFERROR(INDEX(Program_01!BI:BI,MATCH($B170,Program_01!$A:$A,0)),"")</f>
        <v>0</v>
      </c>
      <c r="BG170" s="181">
        <f>IFERROR(INDEX(Program_01!BJ:BJ,MATCH($B170,Program_01!$A:$A,0)),"")</f>
        <v>0</v>
      </c>
      <c r="BH170" s="189">
        <f ca="1">IFERROR(INDEX(Program_01!BK:BK,MATCH($B170,Program_01!$A:$A,0)),"")</f>
        <v>0</v>
      </c>
      <c r="BI170" s="181">
        <f>IFERROR(INDEX(Program_01!BL:BL,MATCH($B170,Program_01!$A:$A,0)),"")</f>
        <v>0</v>
      </c>
      <c r="BK170" s="190" t="str">
        <f>IFERROR(IF(INDEX(Program_01!$BX:$BX,MATCH($B170,Program_01!$A:$A,0))=DATE(1900,1,0),"",INDEX(Program_01!$BX:$BX,MATCH($B170,Program_01!$A:$A,0))),"")</f>
        <v/>
      </c>
      <c r="BL170" s="190" t="str">
        <f>IFERROR(IF(INDEX(Program_01!$BY:$BY,MATCH($B170,Program_01!$A:$A,0))=DATE(1900,1,0),"",INDEX(Program_01!$BY:$BY,MATCH($B170,Program_01!$A:$A,0))),"")</f>
        <v/>
      </c>
      <c r="BM170" s="188" t="str">
        <f t="shared" ca="1" si="69"/>
        <v/>
      </c>
      <c r="BN170" s="191">
        <f t="shared" ca="1" si="70"/>
        <v>61</v>
      </c>
      <c r="BO170" s="188" t="str">
        <f t="shared" si="61"/>
        <v/>
      </c>
      <c r="BP170" s="188" t="str">
        <f t="shared" si="6"/>
        <v/>
      </c>
      <c r="BQ170" s="188" t="str">
        <f t="shared" ca="1" si="71"/>
        <v/>
      </c>
      <c r="BR170" s="181" t="str">
        <f t="shared" ca="1" si="62"/>
        <v/>
      </c>
      <c r="BT170" s="190" t="str">
        <f>IFERROR(IF(INDEX(Program_01!$BZ:$BZ,MATCH($B170,Program_01!$A:$A,0))=DATE(1900,1,0),"",INDEX(Program_01!$BZ:$BZ,MATCH($B170,Program_01!$A:$A,0))),"")</f>
        <v/>
      </c>
      <c r="BU170" s="182" t="str">
        <f t="shared" ca="1" si="75"/>
        <v/>
      </c>
      <c r="BV170" s="188" t="str">
        <f t="shared" si="63"/>
        <v/>
      </c>
      <c r="BW170" s="188" t="str">
        <f t="shared" si="8"/>
        <v/>
      </c>
      <c r="BX170" s="188" t="str">
        <f t="shared" ca="1" si="64"/>
        <v/>
      </c>
      <c r="BY170" s="181" t="str">
        <f t="shared" ca="1" si="65"/>
        <v/>
      </c>
      <c r="CA170" s="192" t="str">
        <f t="shared" si="76"/>
        <v>N</v>
      </c>
      <c r="CB170" s="192" t="str">
        <f t="shared" si="77"/>
        <v>N</v>
      </c>
      <c r="CC170" s="193">
        <f>IFERROR(INDEX(Program_01!$CE:$CE,MATCH($B170,Program_01!$A:$A,0)),"")</f>
        <v>46243</v>
      </c>
      <c r="CD170" s="193">
        <f t="shared" si="66"/>
        <v>46243</v>
      </c>
      <c r="CG170" s="194">
        <f>IFERROR(INDEX(Program_01!$AT:$AT,MATCH($B170,Program_01!$A:$A,0)),"")</f>
        <v>0</v>
      </c>
      <c r="CH170" s="194">
        <f>IFERROR(INDEX(Program_01!$AX:$AX,MATCH($B170,Program_01!$A:$A,0)),"")</f>
        <v>0</v>
      </c>
    </row>
    <row r="171" spans="1:86" s="187" customFormat="1" ht="51">
      <c r="A171" s="174" t="s">
        <v>1</v>
      </c>
      <c r="B171" s="175">
        <f t="shared" si="72"/>
        <v>153</v>
      </c>
      <c r="C171" s="176" t="str">
        <f>IFERROR(INDEX(Program_01!$B:$B,MATCH($B171,Program_01!$A:$A,0)),"")</f>
        <v>FULL TIA EAR</v>
      </c>
      <c r="D171" s="176" t="str">
        <f>IFERROR(INDEX(Program_01!$D:$D,MATCH($B171,Program_01!$A:$A,0)),"")</f>
        <v>1TB01009C09</v>
      </c>
      <c r="E171" s="176" t="str">
        <f>IFERROR(INDEX(Program_01!$E:$E,MATCH($B171,Program_01!$A:$A,0)),"")</f>
        <v>1.TB.01.009.01</v>
      </c>
      <c r="F171" s="176" t="str">
        <f>IFERROR(INDEX(Program_01!$F:$F,MATCH($B171,Program_01!$A:$A,0)),"")</f>
        <v>Marina Hotel 3</v>
      </c>
      <c r="G171" s="176" t="str">
        <f>IFERROR(INDEX(Program_01!$G:$G,MATCH($B171,Program_01!$A:$A,0)),"")</f>
        <v>AMAALA Triple Bay – Marina Hotel 3 – Guest Rooms &amp; Corridor Fit-Out Works Package.</v>
      </c>
      <c r="H171" s="176" t="str">
        <f>IFERROR(INDEX(Program_01!$H:$H,MATCH($B171,Program_01!$A:$A,0)),"")</f>
        <v>IMAR Overseas Saudi Arabia Company</v>
      </c>
      <c r="I171" s="176" t="str">
        <f t="shared" si="67"/>
        <v>Prolongation</v>
      </c>
      <c r="J171" s="176">
        <f>IFERROR(INDEX(Program_01!$I:$I,MATCH($B171,Program_01!$A:$A,0)),"")</f>
        <v>0</v>
      </c>
      <c r="K171" s="176">
        <f>IFERROR(INDEX(Program_01!$J:$J,MATCH($B171,Program_01!$A:$A,0)),"")</f>
        <v>1</v>
      </c>
      <c r="L171" s="176">
        <f>IFERROR(INDEX(Program_01!$K:$K,MATCH($B171,Program_01!$A:$A,0)),"")</f>
        <v>0</v>
      </c>
      <c r="M171" s="176">
        <f>IFERROR(INDEX(Program_01!$L:$L,MATCH($B171,Program_01!$A:$A,0)),"")</f>
        <v>0</v>
      </c>
      <c r="N171" s="176">
        <f>IFERROR(INDEX(Program_01!$L:$L,MATCH($B171,Program_01!$A:$A,0)),"")</f>
        <v>0</v>
      </c>
      <c r="O171" s="176">
        <f>IFERROR(INDEX(Program_01!$N:$N,MATCH($B171,Program_01!$A:$A,0)),"")</f>
        <v>0</v>
      </c>
      <c r="P171" s="178"/>
      <c r="Q171" s="179" t="str">
        <f>IFERROR(INDEX(Program_01!$C:$C,MATCH($B171,Program_01!$A:$A,0)),"")</f>
        <v>Extension of Time Claim (EOT-03)</v>
      </c>
      <c r="R171" s="176" t="str">
        <f>IFERROR(INDEX(Program_01!$V:$V,MATCH($B171,Program_01!$A:$A,0)),"")</f>
        <v>1TB01009-009C09-IMR-LTR-0132</v>
      </c>
      <c r="S171" s="180">
        <f>IFERROR(INDEX(Program_01!$W:$W,MATCH($B171,Program_01!$A:$A,0)),"")</f>
        <v>46239</v>
      </c>
      <c r="T171" s="178"/>
      <c r="U171" s="176">
        <f>IFERROR(INDEX(Program_01!$Z:$Z,MATCH($B171,Program_01!$A:$A,0)),"")</f>
        <v>0</v>
      </c>
      <c r="V171" s="181">
        <f>IFERROR(INDEX(Program_01!$AA:$AA,MATCH($B171,Program_01!$A:$A,0)),"")</f>
        <v>0</v>
      </c>
      <c r="W171" s="182">
        <f t="shared" ca="1" si="0"/>
        <v>61</v>
      </c>
      <c r="X171" s="51"/>
      <c r="Y171" s="179">
        <f>IFERROR(INDEX(Program_01!$BD:$BD,MATCH($B171,Program_01!$A:$A,0)),"")</f>
        <v>0</v>
      </c>
      <c r="Z171" s="51"/>
      <c r="AA171" s="183" t="str">
        <f>IFERROR(IF((INDEX(Program_01!$AD:$AD,MATCH($B171,Program_01!$A:$A,0))=""),INDEX(Program_01!$V:$V,MATCH($B171,Program_01!$A:$A,0)),INDEX(Program_01!$AD:$AD,MATCH($B171,Program_01!$A:$A,0))),"")</f>
        <v>1TB01009-009C09-IMR-LTR-0132</v>
      </c>
      <c r="AB171" s="147">
        <f>IFERROR(IF((INDEX(Program_01!$AE:$AE,MATCH($B171,Program_01!$A:$A,0))=""),INDEX(Program_01!$W:$W,MATCH($B171,Program_01!$A:$A,0)),INDEX(Program_01!$AE:$AE,MATCH($B171,Program_01!$A:$A,0))),"")</f>
        <v>46239</v>
      </c>
      <c r="AC171" s="183">
        <f>IFERROR(IF($I171="EOT",INDEX(Program_01!$AN:$AN,MATCH($B171,Program_01!$A:$A,0)),INDEX(Program_01!$AY:$AY,MATCH($B171,Program_01!$A:$A,0))),"")</f>
        <v>0</v>
      </c>
      <c r="AD171" s="181">
        <f>IFERROR(IF($I171="EOT",INDEX(Program_01!$AO:$AO,MATCH($B171,Program_01!$A:$A,0)),INDEX(Program_01!$AZ:$AZ,MATCH($B171,Program_01!$A:$A,0))),"")</f>
        <v>0</v>
      </c>
      <c r="AE171" s="51"/>
      <c r="AF171" s="183"/>
      <c r="AG171" s="181"/>
      <c r="AH171" s="183" t="str">
        <f>IF(OR($D171="",$AS171="VO Issued",$AS171="Open"),"",IF(OR($AC171="Rejected",$AC171="Superseded",$AC171="Dealt Separately"),$AC171,IF($I171="EOT",INDEX(Program_01!$AR:$AR,MATCH($B171,Program_01!$A:$A,0)),INDEX(Program_01!$BB:$BB,MATCH($B171,Program_01!$A:$A,0)))))</f>
        <v/>
      </c>
      <c r="AI171" s="181" t="str">
        <f>IF(OR($A171="",$B171="",$I171="",$AS171="VO Issued",$AS171="Open"),"",IF(OR($AD171="N/A"),$AD171,IF($I171="EOT",INDEX(Program_01!$AS:$AS,MATCH($B171,Program_01!$A:$A,0)),INDEX(Program_01!$BC:$BC,MATCH($B171,Program_01!$A:$A,0)))))</f>
        <v/>
      </c>
      <c r="AJ171" s="183" t="str">
        <f>IF(OR($D171="",$I171="",$AS171="Determination Issued",$AS171="Rejected",$AS171="Open"),"",IF(OR($AH171="Rejected",$AH171="Dealt Separately",$AH171="Superseded",$AH171="Withdrawn"),"N/A",IF($I171="EOT",INDEX(Program_01!AR:AR,MATCH($B171,Program_01!A:A,0)),INDEX(Program_01!BB:BB,MATCH($B171,Program_01!A:A,0)))))</f>
        <v/>
      </c>
      <c r="AK171" s="181" t="str">
        <f>IF(OR($A171="",$B171="",$I171="",$AS171="Determination Issued",$AS171="Rejected",$AS171="Open"),"",IF($AJ171="N/A","N/A",IF($I171="EOT",INDEX(Program_01!AS:AS,MATCH($B171,Program_01!A:A,0)),INDEX(Program_01!BC:BC,MATCH($B171,Program_01!A:A,0)))))</f>
        <v/>
      </c>
      <c r="AL171" s="51"/>
      <c r="AM171" s="184">
        <f>IFERROR(INDEX(Program_01!$BT:$BT,MATCH($B171,Program_01!$A:$A,0)),"")</f>
        <v>0</v>
      </c>
      <c r="AN171" s="184">
        <f>IFERROR(INDEX(Program_01!$BU:$BU,MATCH($B171,Program_01!$A:$A,0)),"")</f>
        <v>0</v>
      </c>
      <c r="AO171" s="184">
        <f>IFERROR(INDEX(Program_01!$BV:$BV,MATCH($B171,Program_01!$A:$A,0)),"")</f>
        <v>0</v>
      </c>
      <c r="AP171" s="51" t="str">
        <f t="shared" si="73"/>
        <v/>
      </c>
      <c r="AQ171" s="184">
        <f>IFERROR(INDEX(Program_01!$BN:$BN,MATCH($B171,Program_01!$A:$A,0)),"")</f>
        <v>0</v>
      </c>
      <c r="AR171" s="184" t="str">
        <f>IFERROR(INDEX(Program_01!$BO:$BO,MATCH($B171,Program_01!$A:$A,0)),"")</f>
        <v>Pending</v>
      </c>
      <c r="AS171" s="184" t="str">
        <f>IFERROR(INDEX(Program_01!$BP:$BP,MATCH($B171,Program_01!$A:$A,0)),"")</f>
        <v>Open</v>
      </c>
      <c r="AT171" s="185" t="str">
        <f>IFERROR(INDEX(Program_01!$BQ:$BQ,MATCH($B171,Program_01!$A:$A,0)),"")</f>
        <v>Awaiting conclusion of EoT</v>
      </c>
      <c r="AU171" s="179" t="str">
        <f>IFERROR(INDEX(Program_01!$BR:$BR,MATCH($B171,Program_01!$A:$A,0)),"")</f>
        <v>8 Aug 26: Claim received on 5 Aug 26: EAR shall be prepared along with EOT No. 03</v>
      </c>
      <c r="AV171" s="186" t="str">
        <f t="shared" si="58"/>
        <v/>
      </c>
      <c r="AW171" s="186" t="str">
        <f t="shared" si="74"/>
        <v>OPEN</v>
      </c>
      <c r="AX171" s="186" t="str">
        <f t="shared" si="59"/>
        <v>OPEN</v>
      </c>
      <c r="AY171" s="181">
        <f t="shared" si="68"/>
        <v>46239</v>
      </c>
      <c r="AZ171" s="181" t="str">
        <f t="shared" si="60"/>
        <v/>
      </c>
      <c r="BA171" s="181" t="str">
        <f t="shared" si="4"/>
        <v/>
      </c>
      <c r="BC171" s="181">
        <f>IFERROR(INDEX(Program_01!BF:BF,MATCH($B171,Program_01!$A:$A,0)),"")</f>
        <v>46239</v>
      </c>
      <c r="BD171" s="188">
        <f ca="1">IFERROR(INDEX(Program_01!BG:BG,MATCH($B171,Program_01!$A:$A,0)),"")</f>
        <v>0</v>
      </c>
      <c r="BE171" s="181">
        <f>IFERROR(INDEX(Program_01!BH:BH,MATCH($B171,Program_01!$A:$A,0)),"")</f>
        <v>0</v>
      </c>
      <c r="BF171" s="189">
        <f ca="1">IFERROR(INDEX(Program_01!BI:BI,MATCH($B171,Program_01!$A:$A,0)),"")</f>
        <v>0</v>
      </c>
      <c r="BG171" s="181">
        <f>IFERROR(INDEX(Program_01!BJ:BJ,MATCH($B171,Program_01!$A:$A,0)),"")</f>
        <v>0</v>
      </c>
      <c r="BH171" s="189">
        <f ca="1">IFERROR(INDEX(Program_01!BK:BK,MATCH($B171,Program_01!$A:$A,0)),"")</f>
        <v>0</v>
      </c>
      <c r="BI171" s="181">
        <f>IFERROR(INDEX(Program_01!BL:BL,MATCH($B171,Program_01!$A:$A,0)),"")</f>
        <v>0</v>
      </c>
      <c r="BK171" s="190" t="str">
        <f>IFERROR(IF(INDEX(Program_01!$BX:$BX,MATCH($B171,Program_01!$A:$A,0))=DATE(1900,1,0),"",INDEX(Program_01!$BX:$BX,MATCH($B171,Program_01!$A:$A,0))),"")</f>
        <v/>
      </c>
      <c r="BL171" s="190" t="str">
        <f>IFERROR(IF(INDEX(Program_01!$BY:$BY,MATCH($B171,Program_01!$A:$A,0))=DATE(1900,1,0),"",INDEX(Program_01!$BY:$BY,MATCH($B171,Program_01!$A:$A,0))),"")</f>
        <v/>
      </c>
      <c r="BM171" s="188" t="str">
        <f t="shared" ca="1" si="69"/>
        <v/>
      </c>
      <c r="BN171" s="191">
        <f t="shared" ca="1" si="70"/>
        <v>0</v>
      </c>
      <c r="BO171" s="188" t="str">
        <f t="shared" si="61"/>
        <v/>
      </c>
      <c r="BP171" s="188" t="str">
        <f t="shared" si="6"/>
        <v/>
      </c>
      <c r="BQ171" s="188" t="str">
        <f t="shared" ca="1" si="71"/>
        <v/>
      </c>
      <c r="BR171" s="181" t="str">
        <f t="shared" ca="1" si="62"/>
        <v/>
      </c>
      <c r="BT171" s="190" t="str">
        <f>IFERROR(IF(INDEX(Program_01!$BZ:$BZ,MATCH($B171,Program_01!$A:$A,0))=DATE(1900,1,0),"",INDEX(Program_01!$BZ:$BZ,MATCH($B171,Program_01!$A:$A,0))),"")</f>
        <v/>
      </c>
      <c r="BU171" s="182" t="str">
        <f t="shared" ca="1" si="75"/>
        <v/>
      </c>
      <c r="BV171" s="188" t="str">
        <f t="shared" si="63"/>
        <v/>
      </c>
      <c r="BW171" s="188" t="str">
        <f t="shared" si="8"/>
        <v/>
      </c>
      <c r="BX171" s="188" t="str">
        <f t="shared" ca="1" si="64"/>
        <v/>
      </c>
      <c r="BY171" s="181" t="str">
        <f t="shared" ca="1" si="65"/>
        <v/>
      </c>
      <c r="CA171" s="192" t="str">
        <f t="shared" si="76"/>
        <v>N</v>
      </c>
      <c r="CB171" s="192" t="str">
        <f t="shared" si="77"/>
        <v>N</v>
      </c>
      <c r="CC171" s="193">
        <f>IFERROR(INDEX(Program_01!$CE:$CE,MATCH($B171,Program_01!$A:$A,0)),"")</f>
        <v>46243</v>
      </c>
      <c r="CD171" s="193">
        <f t="shared" si="66"/>
        <v>46243</v>
      </c>
      <c r="CG171" s="194">
        <f>IFERROR(INDEX(Program_01!$AT:$AT,MATCH($B171,Program_01!$A:$A,0)),"")</f>
        <v>9040646.25</v>
      </c>
      <c r="CH171" s="194">
        <f>IFERROR(INDEX(Program_01!$AX:$AX,MATCH($B171,Program_01!$A:$A,0)),"")</f>
        <v>0</v>
      </c>
    </row>
    <row r="172" spans="1:86" s="187" customFormat="1" ht="51">
      <c r="A172" s="174" t="s">
        <v>1</v>
      </c>
      <c r="B172" s="175">
        <f t="shared" si="72"/>
        <v>154</v>
      </c>
      <c r="C172" s="176" t="str">
        <f>IFERROR(INDEX(Program_01!$B:$B,MATCH($B172,Program_01!$A:$A,0)),"")</f>
        <v>FULL TIA EAR</v>
      </c>
      <c r="D172" s="176" t="str">
        <f>IFERROR(INDEX(Program_01!$D:$D,MATCH($B172,Program_01!$A:$A,0)),"")</f>
        <v>1OC96996B02</v>
      </c>
      <c r="E172" s="176" t="str">
        <f>IFERROR(INDEX(Program_01!$E:$E,MATCH($B172,Program_01!$A:$A,0)),"")</f>
        <v>1.OC.00.999.99</v>
      </c>
      <c r="F172" s="176" t="str">
        <f>IFERROR(INDEX(Program_01!$F:$F,MATCH($B172,Program_01!$A:$A,0)),"")</f>
        <v>Marine Life Operation Facility</v>
      </c>
      <c r="G172" s="176" t="str">
        <f>IFERROR(INDEX(Program_01!$G:$G,MATCH($B172,Program_01!$A:$A,0)),"")</f>
        <v>Package 2 – Design and Build components, changes to base build, AV and Exhibition features</v>
      </c>
      <c r="H172" s="176" t="str">
        <f>IFERROR(INDEX(Program_01!$H:$H,MATCH($B172,Program_01!$A:$A,0)),"")</f>
        <v>Alec Interior Decoration</v>
      </c>
      <c r="I172" s="176" t="str">
        <f t="shared" si="67"/>
        <v>Prolongation</v>
      </c>
      <c r="J172" s="176">
        <f>IFERROR(INDEX(Program_01!$I:$I,MATCH($B172,Program_01!$A:$A,0)),"")</f>
        <v>0</v>
      </c>
      <c r="K172" s="176">
        <f>IFERROR(INDEX(Program_01!$J:$J,MATCH($B172,Program_01!$A:$A,0)),"")</f>
        <v>1</v>
      </c>
      <c r="L172" s="176">
        <f>IFERROR(INDEX(Program_01!$K:$K,MATCH($B172,Program_01!$A:$A,0)),"")</f>
        <v>0</v>
      </c>
      <c r="M172" s="176">
        <f>IFERROR(INDEX(Program_01!$L:$L,MATCH($B172,Program_01!$A:$A,0)),"")</f>
        <v>0</v>
      </c>
      <c r="N172" s="176">
        <f>IFERROR(INDEX(Program_01!$L:$L,MATCH($B172,Program_01!$A:$A,0)),"")</f>
        <v>0</v>
      </c>
      <c r="O172" s="176">
        <f>IFERROR(INDEX(Program_01!$N:$N,MATCH($B172,Program_01!$A:$A,0)),"")</f>
        <v>0</v>
      </c>
      <c r="P172" s="178"/>
      <c r="Q172" s="179" t="str">
        <f>IFERROR(INDEX(Program_01!$C:$C,MATCH($B172,Program_01!$A:$A,0)),"")</f>
        <v>Interim Extension of Time Claim No. 01 (Prolongation Claim)  of Item 137 above</v>
      </c>
      <c r="R172" s="176" t="str">
        <f>IFERROR(INDEX(Program_01!$V:$V,MATCH($B172,Program_01!$A:$A,0)),"")</f>
        <v>1OC96996-996B02-ALI-LTR-0049</v>
      </c>
      <c r="S172" s="180">
        <f>IFERROR(INDEX(Program_01!$W:$W,MATCH($B172,Program_01!$A:$A,0)),"")</f>
        <v>46230</v>
      </c>
      <c r="T172" s="178"/>
      <c r="U172" s="176">
        <f>IFERROR(INDEX(Program_01!$Z:$Z,MATCH($B172,Program_01!$A:$A,0)),"")</f>
        <v>0</v>
      </c>
      <c r="V172" s="181" t="str">
        <f>IFERROR(INDEX(Program_01!$AA:$AA,MATCH($B172,Program_01!$A:$A,0)),"")</f>
        <v>N/A</v>
      </c>
      <c r="W172" s="182" t="str">
        <f t="shared" ca="1" si="0"/>
        <v/>
      </c>
      <c r="X172" s="51"/>
      <c r="Y172" s="179">
        <f>IFERROR(INDEX(Program_01!$BD:$BD,MATCH($B172,Program_01!$A:$A,0)),"")</f>
        <v>0</v>
      </c>
      <c r="Z172" s="51"/>
      <c r="AA172" s="183" t="str">
        <f>IFERROR(IF((INDEX(Program_01!$AD:$AD,MATCH($B172,Program_01!$A:$A,0))=""),INDEX(Program_01!$V:$V,MATCH($B172,Program_01!$A:$A,0)),INDEX(Program_01!$AD:$AD,MATCH($B172,Program_01!$A:$A,0))),"")</f>
        <v>1OC96996-996B02-ALI-LTR-0049</v>
      </c>
      <c r="AB172" s="147">
        <f>IFERROR(IF((INDEX(Program_01!$AE:$AE,MATCH($B172,Program_01!$A:$A,0))=""),INDEX(Program_01!$W:$W,MATCH($B172,Program_01!$A:$A,0)),INDEX(Program_01!$AE:$AE,MATCH($B172,Program_01!$A:$A,0))),"")</f>
        <v>46230</v>
      </c>
      <c r="AC172" s="183">
        <f>IFERROR(IF($I172="EOT",INDEX(Program_01!$AN:$AN,MATCH($B172,Program_01!$A:$A,0)),INDEX(Program_01!$AY:$AY,MATCH($B172,Program_01!$A:$A,0))),"")</f>
        <v>0</v>
      </c>
      <c r="AD172" s="181">
        <f>IFERROR(IF($I172="EOT",INDEX(Program_01!$AO:$AO,MATCH($B172,Program_01!$A:$A,0)),INDEX(Program_01!$AZ:$AZ,MATCH($B172,Program_01!$A:$A,0))),"")</f>
        <v>0</v>
      </c>
      <c r="AE172" s="51"/>
      <c r="AF172" s="183"/>
      <c r="AG172" s="181"/>
      <c r="AH172" s="183" t="str">
        <f>IF(OR($D172="",$AS172="VO Issued",$AS172="Open"),"",IF(OR($AC172="Rejected",$AC172="Superseded",$AC172="Dealt Separately"),$AC172,IF($I172="EOT",INDEX(Program_01!$AR:$AR,MATCH($B172,Program_01!$A:$A,0)),INDEX(Program_01!$BB:$BB,MATCH($B172,Program_01!$A:$A,0)))))</f>
        <v/>
      </c>
      <c r="AI172" s="181" t="str">
        <f>IF(OR($A172="",$B172="",$I172="",$AS172="VO Issued",$AS172="Open"),"",IF(OR($AD172="N/A"),$AD172,IF($I172="EOT",INDEX(Program_01!$AS:$AS,MATCH($B172,Program_01!$A:$A,0)),INDEX(Program_01!$BC:$BC,MATCH($B172,Program_01!$A:$A,0)))))</f>
        <v/>
      </c>
      <c r="AJ172" s="183" t="str">
        <f>IF(OR($D172="",$I172="",$AS172="Determination Issued",$AS172="Rejected",$AS172="Open"),"",IF(OR($AH172="Rejected",$AH172="Dealt Separately",$AH172="Superseded",$AH172="Withdrawn"),"N/A",IF($I172="EOT",INDEX(Program_01!AR:AR,MATCH($B172,Program_01!A:A,0)),INDEX(Program_01!BB:BB,MATCH($B172,Program_01!A:A,0)))))</f>
        <v/>
      </c>
      <c r="AK172" s="181" t="str">
        <f>IF(OR($A172="",$B172="",$I172="",$AS172="Determination Issued",$AS172="Rejected",$AS172="Open"),"",IF($AJ172="N/A","N/A",IF($I172="EOT",INDEX(Program_01!AS:AS,MATCH($B172,Program_01!A:A,0)),INDEX(Program_01!BC:BC,MATCH($B172,Program_01!A:A,0)))))</f>
        <v/>
      </c>
      <c r="AL172" s="51"/>
      <c r="AM172" s="184">
        <f>IFERROR(INDEX(Program_01!$BT:$BT,MATCH($B172,Program_01!$A:$A,0)),"")</f>
        <v>0</v>
      </c>
      <c r="AN172" s="184">
        <f>IFERROR(INDEX(Program_01!$BU:$BU,MATCH($B172,Program_01!$A:$A,0)),"")</f>
        <v>0</v>
      </c>
      <c r="AO172" s="184">
        <f>IFERROR(INDEX(Program_01!$BV:$BV,MATCH($B172,Program_01!$A:$A,0)),"")</f>
        <v>0</v>
      </c>
      <c r="AP172" s="51" t="str">
        <f t="shared" si="73"/>
        <v/>
      </c>
      <c r="AQ172" s="184">
        <f>IFERROR(INDEX(Program_01!$BN:$BN,MATCH($B172,Program_01!$A:$A,0)),"")</f>
        <v>0</v>
      </c>
      <c r="AR172" s="184" t="str">
        <f>IFERROR(INDEX(Program_01!$BO:$BO,MATCH($B172,Program_01!$A:$A,0)),"")</f>
        <v>Pending</v>
      </c>
      <c r="AS172" s="184" t="str">
        <f>IFERROR(INDEX(Program_01!$BP:$BP,MATCH($B172,Program_01!$A:$A,0)),"")</f>
        <v>Open</v>
      </c>
      <c r="AT172" s="185" t="str">
        <f>IFERROR(INDEX(Program_01!$BQ:$BQ,MATCH($B172,Program_01!$A:$A,0)),"")</f>
        <v>Awaiting conclusion of EoT</v>
      </c>
      <c r="AU172" s="179" t="str">
        <f>IFERROR(INDEX(Program_01!$BR:$BR,MATCH($B172,Program_01!$A:$A,0)),"")</f>
        <v>08 Aug 26: Request for Claims team to review claim (time) and advise if it is sufficently substaniated to allow for EAR to be prepared.</v>
      </c>
      <c r="AV172" s="186" t="str">
        <f t="shared" si="58"/>
        <v/>
      </c>
      <c r="AW172" s="186" t="str">
        <f t="shared" si="74"/>
        <v>OPEN</v>
      </c>
      <c r="AX172" s="186" t="str">
        <f t="shared" si="59"/>
        <v>OPEN</v>
      </c>
      <c r="AY172" s="181">
        <f t="shared" si="68"/>
        <v>46230</v>
      </c>
      <c r="AZ172" s="181" t="str">
        <f t="shared" si="60"/>
        <v/>
      </c>
      <c r="BA172" s="181" t="str">
        <f t="shared" si="4"/>
        <v/>
      </c>
      <c r="BC172" s="181">
        <f>IFERROR(INDEX(Program_01!BF:BF,MATCH($B172,Program_01!$A:$A,0)),"")</f>
        <v>46230</v>
      </c>
      <c r="BD172" s="188">
        <f ca="1">IFERROR(INDEX(Program_01!BG:BG,MATCH($B172,Program_01!$A:$A,0)),"")</f>
        <v>0</v>
      </c>
      <c r="BE172" s="181">
        <f>IFERROR(INDEX(Program_01!BH:BH,MATCH($B172,Program_01!$A:$A,0)),"")</f>
        <v>0</v>
      </c>
      <c r="BF172" s="189">
        <f ca="1">IFERROR(INDEX(Program_01!BI:BI,MATCH($B172,Program_01!$A:$A,0)),"")</f>
        <v>0</v>
      </c>
      <c r="BG172" s="181">
        <f>IFERROR(INDEX(Program_01!BJ:BJ,MATCH($B172,Program_01!$A:$A,0)),"")</f>
        <v>0</v>
      </c>
      <c r="BH172" s="189">
        <f ca="1">IFERROR(INDEX(Program_01!BK:BK,MATCH($B172,Program_01!$A:$A,0)),"")</f>
        <v>0</v>
      </c>
      <c r="BI172" s="181">
        <f>IFERROR(INDEX(Program_01!BL:BL,MATCH($B172,Program_01!$A:$A,0)),"")</f>
        <v>0</v>
      </c>
      <c r="BK172" s="190" t="str">
        <f>IFERROR(IF(INDEX(Program_01!$BX:$BX,MATCH($B172,Program_01!$A:$A,0))=DATE(1900,1,0),"",INDEX(Program_01!$BX:$BX,MATCH($B172,Program_01!$A:$A,0))),"")</f>
        <v/>
      </c>
      <c r="BL172" s="190" t="str">
        <f>IFERROR(IF(INDEX(Program_01!$BY:$BY,MATCH($B172,Program_01!$A:$A,0))=DATE(1900,1,0),"",INDEX(Program_01!$BY:$BY,MATCH($B172,Program_01!$A:$A,0))),"")</f>
        <v/>
      </c>
      <c r="BM172" s="188" t="str">
        <f t="shared" ca="1" si="69"/>
        <v/>
      </c>
      <c r="BN172" s="191">
        <f t="shared" ca="1" si="70"/>
        <v>0</v>
      </c>
      <c r="BO172" s="188" t="str">
        <f t="shared" si="61"/>
        <v/>
      </c>
      <c r="BP172" s="188" t="str">
        <f t="shared" si="6"/>
        <v/>
      </c>
      <c r="BQ172" s="188" t="str">
        <f t="shared" ca="1" si="71"/>
        <v/>
      </c>
      <c r="BR172" s="181" t="str">
        <f t="shared" ca="1" si="62"/>
        <v/>
      </c>
      <c r="BT172" s="190" t="str">
        <f>IFERROR(IF(INDEX(Program_01!$BZ:$BZ,MATCH($B172,Program_01!$A:$A,0))=DATE(1900,1,0),"",INDEX(Program_01!$BZ:$BZ,MATCH($B172,Program_01!$A:$A,0))),"")</f>
        <v/>
      </c>
      <c r="BU172" s="182" t="str">
        <f t="shared" ca="1" si="75"/>
        <v/>
      </c>
      <c r="BV172" s="188" t="str">
        <f t="shared" si="63"/>
        <v/>
      </c>
      <c r="BW172" s="188" t="str">
        <f t="shared" si="8"/>
        <v/>
      </c>
      <c r="BX172" s="188" t="str">
        <f t="shared" ca="1" si="64"/>
        <v/>
      </c>
      <c r="BY172" s="181" t="str">
        <f t="shared" ca="1" si="65"/>
        <v/>
      </c>
      <c r="CA172" s="192" t="str">
        <f t="shared" si="76"/>
        <v>N</v>
      </c>
      <c r="CB172" s="192" t="str">
        <f t="shared" si="77"/>
        <v>N</v>
      </c>
      <c r="CC172" s="193">
        <f>IFERROR(INDEX(Program_01!$CE:$CE,MATCH($B172,Program_01!$A:$A,0)),"")</f>
        <v>46243</v>
      </c>
      <c r="CD172" s="193">
        <f t="shared" si="66"/>
        <v>46243</v>
      </c>
      <c r="CG172" s="194">
        <f>IFERROR(INDEX(Program_01!$AT:$AT,MATCH($B172,Program_01!$A:$A,0)),"")</f>
        <v>6014032</v>
      </c>
      <c r="CH172" s="194">
        <f>IFERROR(INDEX(Program_01!$AX:$AX,MATCH($B172,Program_01!$A:$A,0)),"")</f>
        <v>0</v>
      </c>
    </row>
    <row r="173" spans="1:86" s="187" customFormat="1" ht="119">
      <c r="A173" s="174" t="s">
        <v>1</v>
      </c>
      <c r="B173" s="175">
        <f t="shared" si="72"/>
        <v>155</v>
      </c>
      <c r="C173" s="176" t="str">
        <f>IFERROR(INDEX(Program_01!$B:$B,MATCH($B173,Program_01!$A:$A,0)),"")</f>
        <v>FULL TIA EAR</v>
      </c>
      <c r="D173" s="176" t="str">
        <f>IFERROR(INDEX(Program_01!$D:$D,MATCH($B173,Program_01!$A:$A,0)),"")</f>
        <v>1TB01005C24</v>
      </c>
      <c r="E173" s="176" t="str">
        <f>IFERROR(INDEX(Program_01!$E:$E,MATCH($B173,Program_01!$A:$A,0)),"")</f>
        <v>1.TB.01.005.01</v>
      </c>
      <c r="F173" s="176" t="str">
        <f>IFERROR(INDEX(Program_01!$F:$F,MATCH($B173,Program_01!$A:$A,0)),"")</f>
        <v>Red Sea Marine Life Institute</v>
      </c>
      <c r="G173" s="176" t="str">
        <f>IFERROR(INDEX(Program_01!$G:$G,MATCH($B173,Program_01!$A:$A,0)),"")</f>
        <v>Grand Reveal Basin Fitout (Rock Theming)</v>
      </c>
      <c r="H173" s="176" t="str">
        <f>IFERROR(INDEX(Program_01!$H:$H,MATCH($B173,Program_01!$A:$A,0)),"")</f>
        <v>Pangea Rocks A/S</v>
      </c>
      <c r="I173" s="176" t="str">
        <f t="shared" si="67"/>
        <v>EOT</v>
      </c>
      <c r="J173" s="176">
        <f>IFERROR(INDEX(Program_01!$I:$I,MATCH($B173,Program_01!$A:$A,0)),"")</f>
        <v>1</v>
      </c>
      <c r="K173" s="176">
        <f>IFERROR(INDEX(Program_01!$J:$J,MATCH($B173,Program_01!$A:$A,0)),"")</f>
        <v>0</v>
      </c>
      <c r="L173" s="176">
        <f>IFERROR(INDEX(Program_01!$K:$K,MATCH($B173,Program_01!$A:$A,0)),"")</f>
        <v>0</v>
      </c>
      <c r="M173" s="176">
        <f>IFERROR(INDEX(Program_01!$L:$L,MATCH($B173,Program_01!$A:$A,0)),"")</f>
        <v>0</v>
      </c>
      <c r="N173" s="176">
        <f>IFERROR(INDEX(Program_01!$L:$L,MATCH($B173,Program_01!$A:$A,0)),"")</f>
        <v>0</v>
      </c>
      <c r="O173" s="176">
        <f>IFERROR(INDEX(Program_01!$N:$N,MATCH($B173,Program_01!$A:$A,0)),"")</f>
        <v>0</v>
      </c>
      <c r="P173" s="178"/>
      <c r="Q173" s="179" t="str">
        <f>IFERROR(INDEX(Program_01!$C:$C,MATCH($B173,Program_01!$A:$A,0)),"")</f>
        <v>Interim Extension of Time Claim No. 02</v>
      </c>
      <c r="R173" s="176" t="str">
        <f>IFERROR(INDEX(Program_01!$V:$V,MATCH($B173,Program_01!$A:$A,0)),"")</f>
        <v>1TB01005-005C24-PRA-LTR-0027</v>
      </c>
      <c r="S173" s="180">
        <f>IFERROR(INDEX(Program_01!$W:$W,MATCH($B173,Program_01!$A:$A,0)),"")</f>
        <v>46234</v>
      </c>
      <c r="T173" s="178"/>
      <c r="U173" s="176">
        <f>IFERROR(INDEX(Program_01!$Z:$Z,MATCH($B173,Program_01!$A:$A,0)),"")</f>
        <v>0</v>
      </c>
      <c r="V173" s="181">
        <f>IFERROR(INDEX(Program_01!$AA:$AA,MATCH($B173,Program_01!$A:$A,0)),"")</f>
        <v>0</v>
      </c>
      <c r="W173" s="182">
        <f t="shared" ca="1" si="0"/>
        <v>66</v>
      </c>
      <c r="X173" s="51"/>
      <c r="Y173" s="179">
        <f>IFERROR(INDEX(Program_01!$BD:$BD,MATCH($B173,Program_01!$A:$A,0)),"")</f>
        <v>0</v>
      </c>
      <c r="Z173" s="51"/>
      <c r="AA173" s="183" t="str">
        <f>IFERROR(IF((INDEX(Program_01!$AD:$AD,MATCH($B173,Program_01!$A:$A,0))=""),INDEX(Program_01!$V:$V,MATCH($B173,Program_01!$A:$A,0)),INDEX(Program_01!$AD:$AD,MATCH($B173,Program_01!$A:$A,0))),"")</f>
        <v>1TB01005-005C24-PRA-LTR-0027</v>
      </c>
      <c r="AB173" s="147">
        <f>IFERROR(IF((INDEX(Program_01!$AE:$AE,MATCH($B173,Program_01!$A:$A,0))=""),INDEX(Program_01!$W:$W,MATCH($B173,Program_01!$A:$A,0)),INDEX(Program_01!$AE:$AE,MATCH($B173,Program_01!$A:$A,0))),"")</f>
        <v>46234</v>
      </c>
      <c r="AC173" s="183">
        <f>IFERROR(IF($I173="EOT",INDEX(Program_01!$AN:$AN,MATCH($B173,Program_01!$A:$A,0)),INDEX(Program_01!$AY:$AY,MATCH($B173,Program_01!$A:$A,0))),"")</f>
        <v>0</v>
      </c>
      <c r="AD173" s="181">
        <f>IFERROR(IF($I173="EOT",INDEX(Program_01!$AO:$AO,MATCH($B173,Program_01!$A:$A,0)),INDEX(Program_01!$AZ:$AZ,MATCH($B173,Program_01!$A:$A,0))),"")</f>
        <v>0</v>
      </c>
      <c r="AE173" s="51"/>
      <c r="AF173" s="183"/>
      <c r="AG173" s="181"/>
      <c r="AH173" s="183" t="str">
        <f>IF(OR($D173="",$AS173="VO Issued",$AS173="Open"),"",IF(OR($AC173="Rejected",$AC173="Superseded",$AC173="Dealt Separately"),$AC173,IF($I173="EOT",INDEX(Program_01!$AR:$AR,MATCH($B173,Program_01!$A:$A,0)),INDEX(Program_01!$BB:$BB,MATCH($B173,Program_01!$A:$A,0)))))</f>
        <v/>
      </c>
      <c r="AI173" s="181" t="str">
        <f>IF(OR($A173="",$B173="",$I173="",$AS173="VO Issued",$AS173="Open"),"",IF(OR($AD173="N/A"),$AD173,IF($I173="EOT",INDEX(Program_01!$AS:$AS,MATCH($B173,Program_01!$A:$A,0)),INDEX(Program_01!$BC:$BC,MATCH($B173,Program_01!$A:$A,0)))))</f>
        <v/>
      </c>
      <c r="AJ173" s="183" t="str">
        <f>IF(OR($D173="",$I173="",$AS173="Determination Issued",$AS173="Rejected",$AS173="Open"),"",IF(OR($AH173="Rejected",$AH173="Dealt Separately",$AH173="Superseded",$AH173="Withdrawn"),"N/A",IF($I173="EOT",INDEX(Program_01!AR:AR,MATCH($B173,Program_01!A:A,0)),INDEX(Program_01!BB:BB,MATCH($B173,Program_01!A:A,0)))))</f>
        <v/>
      </c>
      <c r="AK173" s="181" t="str">
        <f>IF(OR($A173="",$B173="",$I173="",$AS173="Determination Issued",$AS173="Rejected",$AS173="Open"),"",IF($AJ173="N/A","N/A",IF($I173="EOT",INDEX(Program_01!AS:AS,MATCH($B173,Program_01!A:A,0)),INDEX(Program_01!BC:BC,MATCH($B173,Program_01!A:A,0)))))</f>
        <v/>
      </c>
      <c r="AL173" s="51"/>
      <c r="AM173" s="184">
        <f>IFERROR(INDEX(Program_01!$BT:$BT,MATCH($B173,Program_01!$A:$A,0)),"")</f>
        <v>0</v>
      </c>
      <c r="AN173" s="184">
        <f>IFERROR(INDEX(Program_01!$BU:$BU,MATCH($B173,Program_01!$A:$A,0)),"")</f>
        <v>0</v>
      </c>
      <c r="AO173" s="184">
        <f>IFERROR(INDEX(Program_01!$BV:$BV,MATCH($B173,Program_01!$A:$A,0)),"")</f>
        <v>0</v>
      </c>
      <c r="AP173" s="51" t="str">
        <f t="shared" si="73"/>
        <v/>
      </c>
      <c r="AQ173" s="184">
        <f>IFERROR(INDEX(Program_01!$BN:$BN,MATCH($B173,Program_01!$A:$A,0)),"")</f>
        <v>0</v>
      </c>
      <c r="AR173" s="184" t="str">
        <f>IFERROR(INDEX(Program_01!$BO:$BO,MATCH($B173,Program_01!$A:$A,0)),"")</f>
        <v>Pending</v>
      </c>
      <c r="AS173" s="184" t="str">
        <f>IFERROR(INDEX(Program_01!$BP:$BP,MATCH($B173,Program_01!$A:$A,0)),"")</f>
        <v>Open</v>
      </c>
      <c r="AT173" s="185" t="str">
        <f>IFERROR(INDEX(Program_01!$BQ:$BQ,MATCH($B173,Program_01!$A:$A,0)),"")</f>
        <v>Commercial Team</v>
      </c>
      <c r="AU173" s="179" t="str">
        <f>IFERROR(INDEX(Program_01!$BR:$BR,MATCH($B173,Program_01!$A:$A,0)),"")</f>
        <v>08 Aug 26: EAR to be prepared and traget date for issue 31 Aug 26
21 Aug 26: EoT requested, target date moved to 17 Sept
05 Sept 26: Ditto
19 Sept 26: Date slipped 28 Sept 26
29 Sep 26: Draft EAR sent to claims team for review
01 Oct 26: Draft EAR sent back to commercial with comments
04 Oct 26: Commercial to respond by COP 04 Oct 26.</v>
      </c>
      <c r="AV173" s="186" t="str">
        <f t="shared" si="58"/>
        <v/>
      </c>
      <c r="AW173" s="186" t="str">
        <f t="shared" si="74"/>
        <v>OPEN</v>
      </c>
      <c r="AX173" s="186" t="str">
        <f t="shared" si="59"/>
        <v>OPEN</v>
      </c>
      <c r="AY173" s="181">
        <f t="shared" si="68"/>
        <v>46234</v>
      </c>
      <c r="AZ173" s="181" t="str">
        <f t="shared" si="60"/>
        <v/>
      </c>
      <c r="BA173" s="181" t="str">
        <f t="shared" si="4"/>
        <v/>
      </c>
      <c r="BC173" s="181">
        <f>IFERROR(INDEX(Program_01!BF:BF,MATCH($B173,Program_01!$A:$A,0)),"")</f>
        <v>46234</v>
      </c>
      <c r="BD173" s="188">
        <f ca="1">IFERROR(INDEX(Program_01!BG:BG,MATCH($B173,Program_01!$A:$A,0)),"")</f>
        <v>66</v>
      </c>
      <c r="BE173" s="181">
        <f>IFERROR(INDEX(Program_01!BH:BH,MATCH($B173,Program_01!$A:$A,0)),"")</f>
        <v>0</v>
      </c>
      <c r="BF173" s="189">
        <f ca="1">IFERROR(INDEX(Program_01!BI:BI,MATCH($B173,Program_01!$A:$A,0)),"")</f>
        <v>0</v>
      </c>
      <c r="BG173" s="181">
        <f>IFERROR(INDEX(Program_01!BJ:BJ,MATCH($B173,Program_01!$A:$A,0)),"")</f>
        <v>0</v>
      </c>
      <c r="BH173" s="189">
        <f ca="1">IFERROR(INDEX(Program_01!BK:BK,MATCH($B173,Program_01!$A:$A,0)),"")</f>
        <v>0</v>
      </c>
      <c r="BI173" s="181">
        <f>IFERROR(INDEX(Program_01!BL:BL,MATCH($B173,Program_01!$A:$A,0)),"")</f>
        <v>0</v>
      </c>
      <c r="BK173" s="190" t="str">
        <f>IFERROR(IF(INDEX(Program_01!$BX:$BX,MATCH($B173,Program_01!$A:$A,0))=DATE(1900,1,0),"",INDEX(Program_01!$BX:$BX,MATCH($B173,Program_01!$A:$A,0))),"")</f>
        <v/>
      </c>
      <c r="BL173" s="190" t="str">
        <f>IFERROR(IF(INDEX(Program_01!$BY:$BY,MATCH($B173,Program_01!$A:$A,0))=DATE(1900,1,0),"",INDEX(Program_01!$BY:$BY,MATCH($B173,Program_01!$A:$A,0))),"")</f>
        <v/>
      </c>
      <c r="BM173" s="188" t="str">
        <f t="shared" ca="1" si="69"/>
        <v/>
      </c>
      <c r="BN173" s="191">
        <f t="shared" ca="1" si="70"/>
        <v>66</v>
      </c>
      <c r="BO173" s="188" t="str">
        <f t="shared" si="61"/>
        <v/>
      </c>
      <c r="BP173" s="188" t="str">
        <f t="shared" si="6"/>
        <v/>
      </c>
      <c r="BQ173" s="188" t="str">
        <f t="shared" ca="1" si="71"/>
        <v/>
      </c>
      <c r="BR173" s="181" t="str">
        <f t="shared" ca="1" si="62"/>
        <v/>
      </c>
      <c r="BT173" s="190" t="str">
        <f>IFERROR(IF(INDEX(Program_01!$BZ:$BZ,MATCH($B173,Program_01!$A:$A,0))=DATE(1900,1,0),"",INDEX(Program_01!$BZ:$BZ,MATCH($B173,Program_01!$A:$A,0))),"")</f>
        <v/>
      </c>
      <c r="BU173" s="182" t="str">
        <f t="shared" ca="1" si="75"/>
        <v/>
      </c>
      <c r="BV173" s="188" t="str">
        <f t="shared" si="63"/>
        <v/>
      </c>
      <c r="BW173" s="188" t="str">
        <f t="shared" si="8"/>
        <v/>
      </c>
      <c r="BX173" s="188" t="str">
        <f t="shared" ca="1" si="64"/>
        <v/>
      </c>
      <c r="BY173" s="181" t="str">
        <f t="shared" ca="1" si="65"/>
        <v/>
      </c>
      <c r="CA173" s="192" t="str">
        <f t="shared" si="76"/>
        <v>N</v>
      </c>
      <c r="CB173" s="192" t="str">
        <f t="shared" si="77"/>
        <v>N</v>
      </c>
      <c r="CC173" s="193">
        <f>IFERROR(INDEX(Program_01!$CE:$CE,MATCH($B173,Program_01!$A:$A,0)),"")</f>
        <v>46243</v>
      </c>
      <c r="CD173" s="193">
        <f t="shared" si="66"/>
        <v>46243</v>
      </c>
      <c r="CG173" s="194">
        <f>IFERROR(INDEX(Program_01!$AT:$AT,MATCH($B173,Program_01!$A:$A,0)),"")</f>
        <v>0</v>
      </c>
      <c r="CH173" s="194">
        <f>IFERROR(INDEX(Program_01!$AX:$AX,MATCH($B173,Program_01!$A:$A,0)),"")</f>
        <v>0</v>
      </c>
    </row>
    <row r="174" spans="1:86" s="187" customFormat="1" ht="51">
      <c r="A174" s="174" t="s">
        <v>1</v>
      </c>
      <c r="B174" s="175">
        <f t="shared" si="72"/>
        <v>156</v>
      </c>
      <c r="C174" s="176" t="str">
        <f>IFERROR(INDEX(Program_01!$B:$B,MATCH($B174,Program_01!$A:$A,0)),"")</f>
        <v>FULL TIA EAR</v>
      </c>
      <c r="D174" s="176" t="str">
        <f>IFERROR(INDEX(Program_01!$D:$D,MATCH($B174,Program_01!$A:$A,0)),"")</f>
        <v>1TB01005C11</v>
      </c>
      <c r="E174" s="176" t="str">
        <f>IFERROR(INDEX(Program_01!$E:$E,MATCH($B174,Program_01!$A:$A,0)),"")</f>
        <v>1.TB.01.005.01</v>
      </c>
      <c r="F174" s="176" t="str">
        <f>IFERROR(INDEX(Program_01!$F:$F,MATCH($B174,Program_01!$A:$A,0)),"")</f>
        <v>Red Sea Marine Life Institute</v>
      </c>
      <c r="G174" s="176" t="str">
        <f>IFERROR(INDEX(Program_01!$G:$G,MATCH($B174,Program_01!$A:$A,0)),"")</f>
        <v>Fit Out Works for Red Sea Marine Life Institute</v>
      </c>
      <c r="H174" s="176" t="str">
        <f>IFERROR(INDEX(Program_01!$H:$H,MATCH($B174,Program_01!$A:$A,0)),"")</f>
        <v>Alec Saudi Engineering and Contracting Company</v>
      </c>
      <c r="I174" s="176" t="str">
        <f t="shared" si="67"/>
        <v>EOT</v>
      </c>
      <c r="J174" s="176">
        <f>IFERROR(INDEX(Program_01!$I:$I,MATCH($B174,Program_01!$A:$A,0)),"")</f>
        <v>1</v>
      </c>
      <c r="K174" s="176">
        <f>IFERROR(INDEX(Program_01!$J:$J,MATCH($B174,Program_01!$A:$A,0)),"")</f>
        <v>0</v>
      </c>
      <c r="L174" s="176">
        <f>IFERROR(INDEX(Program_01!$K:$K,MATCH($B174,Program_01!$A:$A,0)),"")</f>
        <v>0</v>
      </c>
      <c r="M174" s="176">
        <f>IFERROR(INDEX(Program_01!$L:$L,MATCH($B174,Program_01!$A:$A,0)),"")</f>
        <v>0</v>
      </c>
      <c r="N174" s="176">
        <f>IFERROR(INDEX(Program_01!$L:$L,MATCH($B174,Program_01!$A:$A,0)),"")</f>
        <v>0</v>
      </c>
      <c r="O174" s="176">
        <f>IFERROR(INDEX(Program_01!$N:$N,MATCH($B174,Program_01!$A:$A,0)),"")</f>
        <v>0</v>
      </c>
      <c r="P174" s="178"/>
      <c r="Q174" s="179" t="str">
        <f>IFERROR(INDEX(Program_01!$C:$C,MATCH($B174,Program_01!$A:$A,0)),"")</f>
        <v>Interim Extension of Time Claim No. 05</v>
      </c>
      <c r="R174" s="176" t="str">
        <f>IFERROR(INDEX(Program_01!$V:$V,MATCH($B174,Program_01!$A:$A,0)),"")</f>
        <v xml:space="preserve">
1TB01005-005C11-ALE-LTR-0340</v>
      </c>
      <c r="S174" s="180">
        <f>IFERROR(INDEX(Program_01!$W:$W,MATCH($B174,Program_01!$A:$A,0)),"")</f>
        <v>46267</v>
      </c>
      <c r="T174" s="178"/>
      <c r="U174" s="176">
        <f>IFERROR(INDEX(Program_01!$Z:$Z,MATCH($B174,Program_01!$A:$A,0)),"")</f>
        <v>0</v>
      </c>
      <c r="V174" s="181">
        <f>IFERROR(INDEX(Program_01!$AA:$AA,MATCH($B174,Program_01!$A:$A,0)),"")</f>
        <v>0</v>
      </c>
      <c r="W174" s="182">
        <f t="shared" ca="1" si="0"/>
        <v>33</v>
      </c>
      <c r="X174" s="51"/>
      <c r="Y174" s="179">
        <f>IFERROR(INDEX(Program_01!$BD:$BD,MATCH($B174,Program_01!$A:$A,0)),"")</f>
        <v>0</v>
      </c>
      <c r="Z174" s="51"/>
      <c r="AA174" s="183" t="str">
        <f>IFERROR(IF((INDEX(Program_01!$AD:$AD,MATCH($B174,Program_01!$A:$A,0))=""),INDEX(Program_01!$V:$V,MATCH($B174,Program_01!$A:$A,0)),INDEX(Program_01!$AD:$AD,MATCH($B174,Program_01!$A:$A,0))),"")</f>
        <v xml:space="preserve">
1TB01005-005C11-ALE-LTR-0340</v>
      </c>
      <c r="AB174" s="147">
        <f>IFERROR(IF((INDEX(Program_01!$AE:$AE,MATCH($B174,Program_01!$A:$A,0))=""),INDEX(Program_01!$W:$W,MATCH($B174,Program_01!$A:$A,0)),INDEX(Program_01!$AE:$AE,MATCH($B174,Program_01!$A:$A,0))),"")</f>
        <v>46267</v>
      </c>
      <c r="AC174" s="183">
        <f>IFERROR(IF($I174="EOT",INDEX(Program_01!$AN:$AN,MATCH($B174,Program_01!$A:$A,0)),INDEX(Program_01!$AY:$AY,MATCH($B174,Program_01!$A:$A,0))),"")</f>
        <v>0</v>
      </c>
      <c r="AD174" s="181">
        <f>IFERROR(IF($I174="EOT",INDEX(Program_01!$AO:$AO,MATCH($B174,Program_01!$A:$A,0)),INDEX(Program_01!$AZ:$AZ,MATCH($B174,Program_01!$A:$A,0))),"")</f>
        <v>0</v>
      </c>
      <c r="AE174" s="51"/>
      <c r="AF174" s="183"/>
      <c r="AG174" s="181"/>
      <c r="AH174" s="183" t="str">
        <f>IF(OR($D174="",$AS174="VO Issued",$AS174="Open"),"",IF(OR($AC174="Rejected",$AC174="Superseded",$AC174="Dealt Separately"),$AC174,IF($I174="EOT",INDEX(Program_01!$AR:$AR,MATCH($B174,Program_01!$A:$A,0)),INDEX(Program_01!$BB:$BB,MATCH($B174,Program_01!$A:$A,0)))))</f>
        <v/>
      </c>
      <c r="AI174" s="181" t="str">
        <f>IF(OR($A174="",$B174="",$I174="",$AS174="VO Issued",$AS174="Open"),"",IF(OR($AD174="N/A"),$AD174,IF($I174="EOT",INDEX(Program_01!$AS:$AS,MATCH($B174,Program_01!$A:$A,0)),INDEX(Program_01!$BC:$BC,MATCH($B174,Program_01!$A:$A,0)))))</f>
        <v/>
      </c>
      <c r="AJ174" s="183" t="str">
        <f>IF(OR($D174="",$I174="",$AS174="Determination Issued",$AS174="Rejected",$AS174="Open"),"",IF(OR($AH174="Rejected",$AH174="Dealt Separately",$AH174="Superseded",$AH174="Withdrawn"),"N/A",IF($I174="EOT",INDEX(Program_01!AR:AR,MATCH($B174,Program_01!A:A,0)),INDEX(Program_01!BB:BB,MATCH($B174,Program_01!A:A,0)))))</f>
        <v/>
      </c>
      <c r="AK174" s="181" t="str">
        <f>IF(OR($A174="",$B174="",$I174="",$AS174="Determination Issued",$AS174="Rejected",$AS174="Open"),"",IF($AJ174="N/A","N/A",IF($I174="EOT",INDEX(Program_01!AS:AS,MATCH($B174,Program_01!A:A,0)),INDEX(Program_01!BC:BC,MATCH($B174,Program_01!A:A,0)))))</f>
        <v/>
      </c>
      <c r="AL174" s="51"/>
      <c r="AM174" s="184">
        <f>IFERROR(INDEX(Program_01!$BT:$BT,MATCH($B174,Program_01!$A:$A,0)),"")</f>
        <v>0</v>
      </c>
      <c r="AN174" s="184">
        <f>IFERROR(INDEX(Program_01!$BU:$BU,MATCH($B174,Program_01!$A:$A,0)),"")</f>
        <v>0</v>
      </c>
      <c r="AO174" s="184">
        <f>IFERROR(INDEX(Program_01!$BV:$BV,MATCH($B174,Program_01!$A:$A,0)),"")</f>
        <v>0</v>
      </c>
      <c r="AP174" s="51" t="str">
        <f t="shared" si="73"/>
        <v/>
      </c>
      <c r="AQ174" s="184">
        <f>IFERROR(INDEX(Program_01!$BN:$BN,MATCH($B174,Program_01!$A:$A,0)),"")</f>
        <v>0</v>
      </c>
      <c r="AR174" s="184" t="str">
        <f>IFERROR(INDEX(Program_01!$BO:$BO,MATCH($B174,Program_01!$A:$A,0)),"")</f>
        <v>Pending</v>
      </c>
      <c r="AS174" s="184" t="str">
        <f>IFERROR(INDEX(Program_01!$BP:$BP,MATCH($B174,Program_01!$A:$A,0)),"")</f>
        <v>Open</v>
      </c>
      <c r="AT174" s="185" t="str">
        <f>IFERROR(INDEX(Program_01!$BQ:$BQ,MATCH($B174,Program_01!$A:$A,0)),"")</f>
        <v>Commercial Team</v>
      </c>
      <c r="AU174" s="179" t="str">
        <f>IFERROR(INDEX(Program_01!$BR:$BR,MATCH($B174,Program_01!$A:$A,0)),"")</f>
        <v>05 Sept 26: Under review by Site Commercial and Planning teams. If compliant EAR target date is 02 Oct.
19 Sept 26: Ditto
04 Oct 26: To be issued to claims by 07 Oct 26.</v>
      </c>
      <c r="AV174" s="186" t="str">
        <f t="shared" si="58"/>
        <v/>
      </c>
      <c r="AW174" s="186" t="str">
        <f t="shared" si="74"/>
        <v>OPEN</v>
      </c>
      <c r="AX174" s="186" t="str">
        <f t="shared" si="59"/>
        <v>OPEN</v>
      </c>
      <c r="AY174" s="181">
        <f t="shared" si="68"/>
        <v>46267</v>
      </c>
      <c r="AZ174" s="181" t="str">
        <f t="shared" si="60"/>
        <v/>
      </c>
      <c r="BA174" s="181" t="str">
        <f t="shared" si="4"/>
        <v/>
      </c>
      <c r="BC174" s="181">
        <f>IFERROR(INDEX(Program_01!BF:BF,MATCH($B174,Program_01!$A:$A,0)),"")</f>
        <v>46267</v>
      </c>
      <c r="BD174" s="188">
        <f ca="1">IFERROR(INDEX(Program_01!BG:BG,MATCH($B174,Program_01!$A:$A,0)),"")</f>
        <v>33</v>
      </c>
      <c r="BE174" s="181">
        <f>IFERROR(INDEX(Program_01!BH:BH,MATCH($B174,Program_01!$A:$A,0)),"")</f>
        <v>0</v>
      </c>
      <c r="BF174" s="189">
        <f ca="1">IFERROR(INDEX(Program_01!BI:BI,MATCH($B174,Program_01!$A:$A,0)),"")</f>
        <v>0</v>
      </c>
      <c r="BG174" s="181">
        <f>IFERROR(INDEX(Program_01!BJ:BJ,MATCH($B174,Program_01!$A:$A,0)),"")</f>
        <v>0</v>
      </c>
      <c r="BH174" s="189">
        <f ca="1">IFERROR(INDEX(Program_01!BK:BK,MATCH($B174,Program_01!$A:$A,0)),"")</f>
        <v>0</v>
      </c>
      <c r="BI174" s="181">
        <f>IFERROR(INDEX(Program_01!BL:BL,MATCH($B174,Program_01!$A:$A,0)),"")</f>
        <v>0</v>
      </c>
      <c r="BK174" s="190" t="str">
        <f>IFERROR(IF(INDEX(Program_01!$BX:$BX,MATCH($B174,Program_01!$A:$A,0))=DATE(1900,1,0),"",INDEX(Program_01!$BX:$BX,MATCH($B174,Program_01!$A:$A,0))),"")</f>
        <v/>
      </c>
      <c r="BL174" s="190" t="str">
        <f>IFERROR(IF(INDEX(Program_01!$BY:$BY,MATCH($B174,Program_01!$A:$A,0))=DATE(1900,1,0),"",INDEX(Program_01!$BY:$BY,MATCH($B174,Program_01!$A:$A,0))),"")</f>
        <v/>
      </c>
      <c r="BM174" s="188" t="str">
        <f t="shared" ca="1" si="69"/>
        <v/>
      </c>
      <c r="BN174" s="191">
        <f t="shared" ca="1" si="70"/>
        <v>33</v>
      </c>
      <c r="BO174" s="188" t="str">
        <f t="shared" si="61"/>
        <v/>
      </c>
      <c r="BP174" s="188" t="str">
        <f t="shared" si="6"/>
        <v/>
      </c>
      <c r="BQ174" s="188" t="str">
        <f t="shared" ca="1" si="71"/>
        <v/>
      </c>
      <c r="BR174" s="181" t="str">
        <f t="shared" ca="1" si="62"/>
        <v/>
      </c>
      <c r="BT174" s="190" t="str">
        <f>IFERROR(IF(INDEX(Program_01!$BZ:$BZ,MATCH($B174,Program_01!$A:$A,0))=DATE(1900,1,0),"",INDEX(Program_01!$BZ:$BZ,MATCH($B174,Program_01!$A:$A,0))),"")</f>
        <v/>
      </c>
      <c r="BU174" s="182" t="str">
        <f t="shared" ca="1" si="75"/>
        <v/>
      </c>
      <c r="BV174" s="188" t="str">
        <f t="shared" si="63"/>
        <v/>
      </c>
      <c r="BW174" s="188" t="str">
        <f t="shared" si="8"/>
        <v/>
      </c>
      <c r="BX174" s="188" t="str">
        <f t="shared" ca="1" si="64"/>
        <v/>
      </c>
      <c r="BY174" s="181" t="str">
        <f t="shared" ca="1" si="65"/>
        <v/>
      </c>
      <c r="CA174" s="192" t="str">
        <f t="shared" si="76"/>
        <v>N</v>
      </c>
      <c r="CB174" s="192" t="str">
        <f t="shared" si="77"/>
        <v>N</v>
      </c>
      <c r="CC174" s="193">
        <f>IFERROR(INDEX(Program_01!$CE:$CE,MATCH($B174,Program_01!$A:$A,0)),"")</f>
        <v>46271</v>
      </c>
      <c r="CD174" s="193">
        <f t="shared" si="66"/>
        <v>46271</v>
      </c>
      <c r="CG174" s="194">
        <f>IFERROR(INDEX(Program_01!$AT:$AT,MATCH($B174,Program_01!$A:$A,0)),"")</f>
        <v>0</v>
      </c>
      <c r="CH174" s="194">
        <f>IFERROR(INDEX(Program_01!$AX:$AX,MATCH($B174,Program_01!$A:$A,0)),"")</f>
        <v>0</v>
      </c>
    </row>
    <row r="175" spans="1:86" s="187" customFormat="1" ht="119">
      <c r="A175" s="174" t="s">
        <v>1</v>
      </c>
      <c r="B175" s="175">
        <f t="shared" si="72"/>
        <v>157</v>
      </c>
      <c r="C175" s="176" t="str">
        <f>IFERROR(INDEX(Program_01!$B:$B,MATCH($B175,Program_01!$A:$A,0)),"")</f>
        <v>FULL TIA EAR</v>
      </c>
      <c r="D175" s="176" t="str">
        <f>IFERROR(INDEX(Program_01!$D:$D,MATCH($B175,Program_01!$A:$A,0)),"")</f>
        <v>1TB01002C64</v>
      </c>
      <c r="E175" s="176" t="str">
        <f>IFERROR(INDEX(Program_01!$E:$E,MATCH($B175,Program_01!$A:$A,0)),"")</f>
        <v>1.TB.01.002.02</v>
      </c>
      <c r="F175" s="176" t="str">
        <f>IFERROR(INDEX(Program_01!$F:$F,MATCH($B175,Program_01!$A:$A,0)),"")</f>
        <v>Marina Lifestyle Hotel &amp; Village</v>
      </c>
      <c r="G175" s="176" t="str">
        <f>IFERROR(INDEX(Program_01!$G:$G,MATCH($B175,Program_01!$A:$A,0)),"")</f>
        <v>Fit Out &amp; MEP works for New Facilities</v>
      </c>
      <c r="H175" s="176" t="str">
        <f>IFERROR(INDEX(Program_01!$H:$H,MATCH($B175,Program_01!$A:$A,0)),"")</f>
        <v>Havelock One Interiors Company</v>
      </c>
      <c r="I175" s="176" t="str">
        <f t="shared" si="67"/>
        <v>EOT</v>
      </c>
      <c r="J175" s="176">
        <f>IFERROR(INDEX(Program_01!$I:$I,MATCH($B175,Program_01!$A:$A,0)),"")</f>
        <v>1</v>
      </c>
      <c r="K175" s="176">
        <f>IFERROR(INDEX(Program_01!$J:$J,MATCH($B175,Program_01!$A:$A,0)),"")</f>
        <v>0</v>
      </c>
      <c r="L175" s="176">
        <f>IFERROR(INDEX(Program_01!$K:$K,MATCH($B175,Program_01!$A:$A,0)),"")</f>
        <v>0</v>
      </c>
      <c r="M175" s="176">
        <f>IFERROR(INDEX(Program_01!$L:$L,MATCH($B175,Program_01!$A:$A,0)),"")</f>
        <v>0</v>
      </c>
      <c r="N175" s="176">
        <f>IFERROR(INDEX(Program_01!$L:$L,MATCH($B175,Program_01!$A:$A,0)),"")</f>
        <v>0</v>
      </c>
      <c r="O175" s="176">
        <f>IFERROR(INDEX(Program_01!$N:$N,MATCH($B175,Program_01!$A:$A,0)),"")</f>
        <v>0</v>
      </c>
      <c r="P175" s="178"/>
      <c r="Q175" s="179" t="str">
        <f>IFERROR(INDEX(Program_01!$C:$C,MATCH($B175,Program_01!$A:$A,0)),"")</f>
        <v>Extension of Time- EOT 3</v>
      </c>
      <c r="R175" s="176" t="str">
        <f>IFERROR(INDEX(Program_01!$V:$V,MATCH($B175,Program_01!$A:$A,0)),"")</f>
        <v>HOI01002-TRANSMIT-000288</v>
      </c>
      <c r="S175" s="180">
        <f>IFERROR(INDEX(Program_01!$W:$W,MATCH($B175,Program_01!$A:$A,0)),"")</f>
        <v>46251</v>
      </c>
      <c r="T175" s="178"/>
      <c r="U175" s="176">
        <f>IFERROR(INDEX(Program_01!$Z:$Z,MATCH($B175,Program_01!$A:$A,0)),"")</f>
        <v>0</v>
      </c>
      <c r="V175" s="181">
        <f>IFERROR(INDEX(Program_01!$AA:$AA,MATCH($B175,Program_01!$A:$A,0)),"")</f>
        <v>0</v>
      </c>
      <c r="W175" s="182">
        <f t="shared" ca="1" si="0"/>
        <v>49</v>
      </c>
      <c r="X175" s="51"/>
      <c r="Y175" s="179">
        <f>IFERROR(INDEX(Program_01!$BD:$BD,MATCH($B175,Program_01!$A:$A,0)),"")</f>
        <v>0</v>
      </c>
      <c r="Z175" s="51"/>
      <c r="AA175" s="183" t="str">
        <f>IFERROR(IF((INDEX(Program_01!$AD:$AD,MATCH($B175,Program_01!$A:$A,0))=""),INDEX(Program_01!$V:$V,MATCH($B175,Program_01!$A:$A,0)),INDEX(Program_01!$AD:$AD,MATCH($B175,Program_01!$A:$A,0))),"")</f>
        <v>HOI01002-TRANSMIT-000288</v>
      </c>
      <c r="AB175" s="147">
        <f>IFERROR(IF((INDEX(Program_01!$AE:$AE,MATCH($B175,Program_01!$A:$A,0))=""),INDEX(Program_01!$W:$W,MATCH($B175,Program_01!$A:$A,0)),INDEX(Program_01!$AE:$AE,MATCH($B175,Program_01!$A:$A,0))),"")</f>
        <v>46251</v>
      </c>
      <c r="AC175" s="183">
        <f>IFERROR(IF($I175="EOT",INDEX(Program_01!$AN:$AN,MATCH($B175,Program_01!$A:$A,0)),INDEX(Program_01!$AY:$AY,MATCH($B175,Program_01!$A:$A,0))),"")</f>
        <v>0</v>
      </c>
      <c r="AD175" s="181">
        <f>IFERROR(IF($I175="EOT",INDEX(Program_01!$AO:$AO,MATCH($B175,Program_01!$A:$A,0)),INDEX(Program_01!$AZ:$AZ,MATCH($B175,Program_01!$A:$A,0))),"")</f>
        <v>0</v>
      </c>
      <c r="AE175" s="51"/>
      <c r="AF175" s="183"/>
      <c r="AG175" s="181"/>
      <c r="AH175" s="183" t="str">
        <f>IF(OR($D175="",$AS175="VO Issued",$AS175="Open"),"",IF(OR($AC175="Rejected",$AC175="Superseded",$AC175="Dealt Separately"),$AC175,IF($I175="EOT",INDEX(Program_01!$AR:$AR,MATCH($B175,Program_01!$A:$A,0)),INDEX(Program_01!$BB:$BB,MATCH($B175,Program_01!$A:$A,0)))))</f>
        <v/>
      </c>
      <c r="AI175" s="181" t="str">
        <f>IF(OR($A175="",$B175="",$I175="",$AS175="VO Issued",$AS175="Open"),"",IF(OR($AD175="N/A"),$AD175,IF($I175="EOT",INDEX(Program_01!$AS:$AS,MATCH($B175,Program_01!$A:$A,0)),INDEX(Program_01!$BC:$BC,MATCH($B175,Program_01!$A:$A,0)))))</f>
        <v/>
      </c>
      <c r="AJ175" s="183" t="str">
        <f>IF(OR($D175="",$I175="",$AS175="Determination Issued",$AS175="Rejected",$AS175="Open"),"",IF(OR($AH175="Rejected",$AH175="Dealt Separately",$AH175="Superseded",$AH175="Withdrawn"),"N/A",IF($I175="EOT",INDEX(Program_01!AR:AR,MATCH($B175,Program_01!A:A,0)),INDEX(Program_01!BB:BB,MATCH($B175,Program_01!A:A,0)))))</f>
        <v/>
      </c>
      <c r="AK175" s="181" t="str">
        <f>IF(OR($A175="",$B175="",$I175="",$AS175="Determination Issued",$AS175="Rejected",$AS175="Open"),"",IF($AJ175="N/A","N/A",IF($I175="EOT",INDEX(Program_01!AS:AS,MATCH($B175,Program_01!A:A,0)),INDEX(Program_01!BC:BC,MATCH($B175,Program_01!A:A,0)))))</f>
        <v/>
      </c>
      <c r="AL175" s="51"/>
      <c r="AM175" s="184">
        <f>IFERROR(INDEX(Program_01!$BT:$BT,MATCH($B175,Program_01!$A:$A,0)),"")</f>
        <v>0</v>
      </c>
      <c r="AN175" s="184">
        <f>IFERROR(INDEX(Program_01!$BU:$BU,MATCH($B175,Program_01!$A:$A,0)),"")</f>
        <v>0</v>
      </c>
      <c r="AO175" s="184">
        <f>IFERROR(INDEX(Program_01!$BV:$BV,MATCH($B175,Program_01!$A:$A,0)),"")</f>
        <v>0</v>
      </c>
      <c r="AP175" s="51" t="str">
        <f t="shared" si="73"/>
        <v/>
      </c>
      <c r="AQ175" s="184">
        <f>IFERROR(INDEX(Program_01!$BN:$BN,MATCH($B175,Program_01!$A:$A,0)),"")</f>
        <v>0</v>
      </c>
      <c r="AR175" s="184" t="str">
        <f>IFERROR(INDEX(Program_01!$BO:$BO,MATCH($B175,Program_01!$A:$A,0)),"")</f>
        <v>Pending</v>
      </c>
      <c r="AS175" s="184" t="str">
        <f>IFERROR(INDEX(Program_01!$BP:$BP,MATCH($B175,Program_01!$A:$A,0)),"")</f>
        <v>Open</v>
      </c>
      <c r="AT175" s="185" t="str">
        <f>IFERROR(INDEX(Program_01!$BQ:$BQ,MATCH($B175,Program_01!$A:$A,0)),"")</f>
        <v>Contractor</v>
      </c>
      <c r="AU175" s="179" t="str">
        <f>IFERROR(INDEX(Program_01!$BR:$BR,MATCH($B175,Program_01!$A:$A,0)),"")</f>
        <v>17 Aug 26 : Contractor's submission received via HOI01002-TRANSMIT-000288.
06 Sep 26: RSG (Commercial and Planning) conducted a workshop with the Contractor on 1 Sep 26 to consolidate the EOT 2 and 3 related to 00C64 Contract. Contractor agreed with the Employer's proposed approach to consolidate based on the EOT 2&amp;3 submissions (EOT 3 received on 17 August 26). Recorded minutes and agreed action will be formalized to the Contractor on or before 10 Sep 2026. [Claims # 145+158 to be combined in one EAR]
21 Sep 26: Priority given to 002C61 Contract's EAR. This EAR target to issue on or before 8 Oct 26.
04 Oct 26: Based on the Consultation with the Contractor on 29 September 2026, Contractor committed to submit the substantiation on or before 8 October 2026.</v>
      </c>
      <c r="AV175" s="186" t="str">
        <f t="shared" si="58"/>
        <v/>
      </c>
      <c r="AW175" s="186" t="str">
        <f t="shared" si="74"/>
        <v>OPEN</v>
      </c>
      <c r="AX175" s="186" t="str">
        <f t="shared" si="59"/>
        <v>OPEN</v>
      </c>
      <c r="AY175" s="181">
        <f t="shared" si="68"/>
        <v>46251</v>
      </c>
      <c r="AZ175" s="181" t="str">
        <f t="shared" si="60"/>
        <v/>
      </c>
      <c r="BA175" s="181" t="str">
        <f t="shared" si="4"/>
        <v/>
      </c>
      <c r="BC175" s="181">
        <f>IFERROR(INDEX(Program_01!BF:BF,MATCH($B175,Program_01!$A:$A,0)),"")</f>
        <v>46251</v>
      </c>
      <c r="BD175" s="188">
        <f ca="1">IFERROR(INDEX(Program_01!BG:BG,MATCH($B175,Program_01!$A:$A,0)),"")</f>
        <v>49</v>
      </c>
      <c r="BE175" s="181">
        <f>IFERROR(INDEX(Program_01!BH:BH,MATCH($B175,Program_01!$A:$A,0)),"")</f>
        <v>0</v>
      </c>
      <c r="BF175" s="189">
        <f ca="1">IFERROR(INDEX(Program_01!BI:BI,MATCH($B175,Program_01!$A:$A,0)),"")</f>
        <v>0</v>
      </c>
      <c r="BG175" s="181">
        <f>IFERROR(INDEX(Program_01!BJ:BJ,MATCH($B175,Program_01!$A:$A,0)),"")</f>
        <v>0</v>
      </c>
      <c r="BH175" s="189">
        <f ca="1">IFERROR(INDEX(Program_01!BK:BK,MATCH($B175,Program_01!$A:$A,0)),"")</f>
        <v>0</v>
      </c>
      <c r="BI175" s="181">
        <f>IFERROR(INDEX(Program_01!BL:BL,MATCH($B175,Program_01!$A:$A,0)),"")</f>
        <v>0</v>
      </c>
      <c r="BK175" s="190" t="str">
        <f>IFERROR(IF(INDEX(Program_01!$BX:$BX,MATCH($B175,Program_01!$A:$A,0))=DATE(1900,1,0),"",INDEX(Program_01!$BX:$BX,MATCH($B175,Program_01!$A:$A,0))),"")</f>
        <v/>
      </c>
      <c r="BL175" s="190" t="str">
        <f>IFERROR(IF(INDEX(Program_01!$BY:$BY,MATCH($B175,Program_01!$A:$A,0))=DATE(1900,1,0),"",INDEX(Program_01!$BY:$BY,MATCH($B175,Program_01!$A:$A,0))),"")</f>
        <v/>
      </c>
      <c r="BM175" s="188" t="str">
        <f t="shared" ca="1" si="69"/>
        <v/>
      </c>
      <c r="BN175" s="191" t="str">
        <f t="shared" ca="1" si="70"/>
        <v/>
      </c>
      <c r="BO175" s="188" t="str">
        <f t="shared" si="61"/>
        <v/>
      </c>
      <c r="BP175" s="188" t="str">
        <f t="shared" si="6"/>
        <v/>
      </c>
      <c r="BQ175" s="188" t="str">
        <f t="shared" ca="1" si="71"/>
        <v/>
      </c>
      <c r="BR175" s="181" t="str">
        <f t="shared" ca="1" si="62"/>
        <v/>
      </c>
      <c r="BT175" s="190" t="str">
        <f>IFERROR(IF(INDEX(Program_01!$BZ:$BZ,MATCH($B175,Program_01!$A:$A,0))=DATE(1900,1,0),"",INDEX(Program_01!$BZ:$BZ,MATCH($B175,Program_01!$A:$A,0))),"")</f>
        <v/>
      </c>
      <c r="BU175" s="182" t="str">
        <f t="shared" ca="1" si="75"/>
        <v/>
      </c>
      <c r="BV175" s="188" t="str">
        <f t="shared" si="63"/>
        <v/>
      </c>
      <c r="BW175" s="188" t="str">
        <f t="shared" si="8"/>
        <v/>
      </c>
      <c r="BX175" s="188" t="str">
        <f t="shared" ca="1" si="64"/>
        <v/>
      </c>
      <c r="BY175" s="181" t="str">
        <f t="shared" ca="1" si="65"/>
        <v/>
      </c>
      <c r="CA175" s="192" t="str">
        <f t="shared" si="76"/>
        <v>N</v>
      </c>
      <c r="CB175" s="192" t="str">
        <f t="shared" si="77"/>
        <v>N</v>
      </c>
      <c r="CC175" s="193">
        <f>IFERROR(INDEX(Program_01!$CE:$CE,MATCH($B175,Program_01!$A:$A,0)),"")</f>
        <v>46271</v>
      </c>
      <c r="CD175" s="193">
        <f t="shared" si="66"/>
        <v>46271</v>
      </c>
      <c r="CG175" s="194">
        <f>IFERROR(INDEX(Program_01!$AT:$AT,MATCH($B175,Program_01!$A:$A,0)),"")</f>
        <v>0</v>
      </c>
      <c r="CH175" s="194">
        <f>IFERROR(INDEX(Program_01!$AX:$AX,MATCH($B175,Program_01!$A:$A,0)),"")</f>
        <v>0</v>
      </c>
    </row>
    <row r="176" spans="1:86" s="187" customFormat="1" ht="153">
      <c r="A176" s="174" t="s">
        <v>1</v>
      </c>
      <c r="B176" s="175">
        <f t="shared" si="72"/>
        <v>158</v>
      </c>
      <c r="C176" s="176" t="str">
        <f>IFERROR(INDEX(Program_01!$B:$B,MATCH($B176,Program_01!$A:$A,0)),"")</f>
        <v>FULL TIA EAR</v>
      </c>
      <c r="D176" s="176" t="str">
        <f>IFERROR(INDEX(Program_01!$D:$D,MATCH($B176,Program_01!$A:$A,0)),"")</f>
        <v>1TB01005C11</v>
      </c>
      <c r="E176" s="176" t="str">
        <f>IFERROR(INDEX(Program_01!$E:$E,MATCH($B176,Program_01!$A:$A,0)),"")</f>
        <v>1.TB.01.005.01</v>
      </c>
      <c r="F176" s="176" t="str">
        <f>IFERROR(INDEX(Program_01!$F:$F,MATCH($B176,Program_01!$A:$A,0)),"")</f>
        <v>Red Sea Marine Life Institute</v>
      </c>
      <c r="G176" s="176" t="str">
        <f>IFERROR(INDEX(Program_01!$G:$G,MATCH($B176,Program_01!$A:$A,0)),"")</f>
        <v>Fit Out Works for Red Sea Marine Life Institute</v>
      </c>
      <c r="H176" s="176" t="str">
        <f>IFERROR(INDEX(Program_01!$H:$H,MATCH($B176,Program_01!$A:$A,0)),"")</f>
        <v>Alec Saudi Engineering and Contracting Company</v>
      </c>
      <c r="I176" s="176" t="str">
        <f t="shared" si="67"/>
        <v>Prolongation</v>
      </c>
      <c r="J176" s="176">
        <f>IFERROR(INDEX(Program_01!$I:$I,MATCH($B176,Program_01!$A:$A,0)),"")</f>
        <v>0</v>
      </c>
      <c r="K176" s="176">
        <f>IFERROR(INDEX(Program_01!$J:$J,MATCH($B176,Program_01!$A:$A,0)),"")</f>
        <v>1</v>
      </c>
      <c r="L176" s="176">
        <f>IFERROR(INDEX(Program_01!$K:$K,MATCH($B176,Program_01!$A:$A,0)),"")</f>
        <v>0</v>
      </c>
      <c r="M176" s="176">
        <f>IFERROR(INDEX(Program_01!$L:$L,MATCH($B176,Program_01!$A:$A,0)),"")</f>
        <v>0</v>
      </c>
      <c r="N176" s="176">
        <f>IFERROR(INDEX(Program_01!$L:$L,MATCH($B176,Program_01!$A:$A,0)),"")</f>
        <v>0</v>
      </c>
      <c r="O176" s="176">
        <f>IFERROR(INDEX(Program_01!$N:$N,MATCH($B176,Program_01!$A:$A,0)),"")</f>
        <v>0</v>
      </c>
      <c r="P176" s="178"/>
      <c r="Q176" s="179" t="str">
        <f>IFERROR(INDEX(Program_01!$C:$C,MATCH($B176,Program_01!$A:$A,0)),"")</f>
        <v>Extension of Time- EOT 3 Cost Claim</v>
      </c>
      <c r="R176" s="176" t="str">
        <f>IFERROR(INDEX(Program_01!$V:$V,MATCH($B176,Program_01!$A:$A,0)),"")</f>
        <v>1TB01005-005C11-ALE-LTR-0318</v>
      </c>
      <c r="S176" s="180">
        <f>IFERROR(INDEX(Program_01!$W:$W,MATCH($B176,Program_01!$A:$A,0)),"")</f>
        <v>46207</v>
      </c>
      <c r="T176" s="178"/>
      <c r="U176" s="176" t="str">
        <f>IFERROR(INDEX(Program_01!$Z:$Z,MATCH($B176,Program_01!$A:$A,0)),"")</f>
        <v>1TB01005-005C11-AMA-LTR-0193</v>
      </c>
      <c r="V176" s="181">
        <f>IFERROR(INDEX(Program_01!$AA:$AA,MATCH($B176,Program_01!$A:$A,0)),"")</f>
        <v>46232</v>
      </c>
      <c r="W176" s="182">
        <f t="shared" ca="1" si="0"/>
        <v>25</v>
      </c>
      <c r="X176" s="51"/>
      <c r="Y176" s="179">
        <f>IFERROR(INDEX(Program_01!$BD:$BD,MATCH($B176,Program_01!$A:$A,0)),"")</f>
        <v>0</v>
      </c>
      <c r="Z176" s="51"/>
      <c r="AA176" s="183" t="str">
        <f>IFERROR(IF((INDEX(Program_01!$AD:$AD,MATCH($B176,Program_01!$A:$A,0))=""),INDEX(Program_01!$V:$V,MATCH($B176,Program_01!$A:$A,0)),INDEX(Program_01!$AD:$AD,MATCH($B176,Program_01!$A:$A,0))),"")</f>
        <v>1TB01005-005C11-ALE-LTR-0318</v>
      </c>
      <c r="AB176" s="147">
        <f>IFERROR(IF((INDEX(Program_01!$AE:$AE,MATCH($B176,Program_01!$A:$A,0))=""),INDEX(Program_01!$W:$W,MATCH($B176,Program_01!$A:$A,0)),INDEX(Program_01!$AE:$AE,MATCH($B176,Program_01!$A:$A,0))),"")</f>
        <v>46207</v>
      </c>
      <c r="AC176" s="183">
        <f>IFERROR(IF($I176="EOT",INDEX(Program_01!$AN:$AN,MATCH($B176,Program_01!$A:$A,0)),INDEX(Program_01!$AY:$AY,MATCH($B176,Program_01!$A:$A,0))),"")</f>
        <v>0</v>
      </c>
      <c r="AD176" s="181">
        <f>IFERROR(IF($I176="EOT",INDEX(Program_01!$AO:$AO,MATCH($B176,Program_01!$A:$A,0)),INDEX(Program_01!$AZ:$AZ,MATCH($B176,Program_01!$A:$A,0))),"")</f>
        <v>0</v>
      </c>
      <c r="AE176" s="51"/>
      <c r="AF176" s="183"/>
      <c r="AG176" s="181"/>
      <c r="AH176" s="183" t="str">
        <f>IF(OR($D176="",$AS176="VO Issued",$AS176="Open"),"",IF(OR($AC176="Rejected",$AC176="Superseded",$AC176="Dealt Separately"),$AC176,IF($I176="EOT",INDEX(Program_01!$AR:$AR,MATCH($B176,Program_01!$A:$A,0)),INDEX(Program_01!$BB:$BB,MATCH($B176,Program_01!$A:$A,0)))))</f>
        <v/>
      </c>
      <c r="AI176" s="181" t="str">
        <f>IF(OR($A176="",$B176="",$I176="",$AS176="VO Issued",$AS176="Open"),"",IF(OR($AD176="N/A"),$AD176,IF($I176="EOT",INDEX(Program_01!$AS:$AS,MATCH($B176,Program_01!$A:$A,0)),INDEX(Program_01!$BC:$BC,MATCH($B176,Program_01!$A:$A,0)))))</f>
        <v/>
      </c>
      <c r="AJ176" s="183" t="str">
        <f>IF(OR($D176="",$I176="",$AS176="Determination Issued",$AS176="Rejected",$AS176="Open"),"",IF(OR($AH176="Rejected",$AH176="Dealt Separately",$AH176="Superseded",$AH176="Withdrawn"),"N/A",IF($I176="EOT",INDEX(Program_01!AR:AR,MATCH($B176,Program_01!A:A,0)),INDEX(Program_01!BB:BB,MATCH($B176,Program_01!A:A,0)))))</f>
        <v/>
      </c>
      <c r="AK176" s="181" t="str">
        <f>IF(OR($A176="",$B176="",$I176="",$AS176="Determination Issued",$AS176="Rejected",$AS176="Open"),"",IF($AJ176="N/A","N/A",IF($I176="EOT",INDEX(Program_01!AS:AS,MATCH($B176,Program_01!A:A,0)),INDEX(Program_01!BC:BC,MATCH($B176,Program_01!A:A,0)))))</f>
        <v/>
      </c>
      <c r="AL176" s="51"/>
      <c r="AM176" s="184">
        <f>IFERROR(INDEX(Program_01!$BT:$BT,MATCH($B176,Program_01!$A:$A,0)),"")</f>
        <v>0</v>
      </c>
      <c r="AN176" s="184">
        <f>IFERROR(INDEX(Program_01!$BU:$BU,MATCH($B176,Program_01!$A:$A,0)),"")</f>
        <v>0</v>
      </c>
      <c r="AO176" s="184">
        <f>IFERROR(INDEX(Program_01!$BV:$BV,MATCH($B176,Program_01!$A:$A,0)),"")</f>
        <v>0</v>
      </c>
      <c r="AP176" s="51" t="str">
        <f t="shared" si="73"/>
        <v/>
      </c>
      <c r="AQ176" s="184">
        <f>IFERROR(INDEX(Program_01!$BN:$BN,MATCH($B176,Program_01!$A:$A,0)),"")</f>
        <v>0</v>
      </c>
      <c r="AR176" s="184" t="str">
        <f>IFERROR(INDEX(Program_01!$BO:$BO,MATCH($B176,Program_01!$A:$A,0)),"")</f>
        <v>Pending</v>
      </c>
      <c r="AS176" s="184" t="str">
        <f>IFERROR(INDEX(Program_01!$BP:$BP,MATCH($B176,Program_01!$A:$A,0)),"")</f>
        <v>Open</v>
      </c>
      <c r="AT176" s="185" t="str">
        <f>IFERROR(INDEX(Program_01!$BQ:$BQ,MATCH($B176,Program_01!$A:$A,0)),"")</f>
        <v>Commercial Team</v>
      </c>
      <c r="AU176" s="179" t="str">
        <f>IFERROR(INDEX(Program_01!$BR:$BR,MATCH($B176,Program_01!$A:$A,0)),"")</f>
        <v>23 Aug 26: Commercial sent email to claims team seeking guidance on how to prooceed with contractor's cost claim,
24 Aug 26: Aclaims team responded that the EAR is assessed as fully concurrent and advised planning to confirm
01 Sep 26: Planning team provided the Delay analyisis breakdown. Commercial responded on the same day seeking further clarification explaning contractor's position 
07 Sep 26: awaiting Planning's response
14 Sep 26: Shaju to discuss with NE in the afternoon
16 Sep 26: Planning provided clarifications to commercial's email 
19 Sept 26: Target date for draft cost assessment end 31 Oct 26
04 Oct 26: Ditto</v>
      </c>
      <c r="AV176" s="186" t="str">
        <f t="shared" si="58"/>
        <v/>
      </c>
      <c r="AW176" s="186" t="str">
        <f t="shared" si="74"/>
        <v>OPEN</v>
      </c>
      <c r="AX176" s="186" t="str">
        <f t="shared" si="59"/>
        <v>OPEN</v>
      </c>
      <c r="AY176" s="181">
        <f t="shared" si="68"/>
        <v>46207</v>
      </c>
      <c r="AZ176" s="181" t="str">
        <f t="shared" si="60"/>
        <v/>
      </c>
      <c r="BA176" s="181" t="str">
        <f t="shared" si="4"/>
        <v/>
      </c>
      <c r="BC176" s="181">
        <f>IFERROR(INDEX(Program_01!BF:BF,MATCH($B176,Program_01!$A:$A,0)),"")</f>
        <v>46207</v>
      </c>
      <c r="BD176" s="188">
        <f ca="1">IFERROR(INDEX(Program_01!BG:BG,MATCH($B176,Program_01!$A:$A,0)),"")</f>
        <v>93</v>
      </c>
      <c r="BE176" s="181">
        <f>IFERROR(INDEX(Program_01!BH:BH,MATCH($B176,Program_01!$A:$A,0)),"")</f>
        <v>0</v>
      </c>
      <c r="BF176" s="189">
        <f ca="1">IFERROR(INDEX(Program_01!BI:BI,MATCH($B176,Program_01!$A:$A,0)),"")</f>
        <v>0</v>
      </c>
      <c r="BG176" s="181">
        <f>IFERROR(INDEX(Program_01!BJ:BJ,MATCH($B176,Program_01!$A:$A,0)),"")</f>
        <v>0</v>
      </c>
      <c r="BH176" s="189">
        <f ca="1">IFERROR(INDEX(Program_01!BK:BK,MATCH($B176,Program_01!$A:$A,0)),"")</f>
        <v>0</v>
      </c>
      <c r="BI176" s="181">
        <f>IFERROR(INDEX(Program_01!BL:BL,MATCH($B176,Program_01!$A:$A,0)),"")</f>
        <v>0</v>
      </c>
      <c r="BK176" s="190" t="str">
        <f>IFERROR(IF(INDEX(Program_01!$BX:$BX,MATCH($B176,Program_01!$A:$A,0))=DATE(1900,1,0),"",INDEX(Program_01!$BX:$BX,MATCH($B176,Program_01!$A:$A,0))),"")</f>
        <v/>
      </c>
      <c r="BL176" s="190" t="str">
        <f>IFERROR(IF(INDEX(Program_01!$BY:$BY,MATCH($B176,Program_01!$A:$A,0))=DATE(1900,1,0),"",INDEX(Program_01!$BY:$BY,MATCH($B176,Program_01!$A:$A,0))),"")</f>
        <v/>
      </c>
      <c r="BM176" s="188" t="str">
        <f t="shared" ca="1" si="69"/>
        <v/>
      </c>
      <c r="BN176" s="191">
        <f t="shared" ca="1" si="70"/>
        <v>93</v>
      </c>
      <c r="BO176" s="188" t="str">
        <f t="shared" si="61"/>
        <v/>
      </c>
      <c r="BP176" s="188" t="str">
        <f t="shared" si="6"/>
        <v/>
      </c>
      <c r="BQ176" s="188" t="str">
        <f t="shared" ca="1" si="71"/>
        <v/>
      </c>
      <c r="BR176" s="181" t="str">
        <f t="shared" ca="1" si="62"/>
        <v/>
      </c>
      <c r="BT176" s="190" t="str">
        <f>IFERROR(IF(INDEX(Program_01!$BZ:$BZ,MATCH($B176,Program_01!$A:$A,0))=DATE(1900,1,0),"",INDEX(Program_01!$BZ:$BZ,MATCH($B176,Program_01!$A:$A,0))),"")</f>
        <v/>
      </c>
      <c r="BU176" s="182" t="str">
        <f t="shared" ca="1" si="75"/>
        <v/>
      </c>
      <c r="BV176" s="188" t="str">
        <f t="shared" si="63"/>
        <v/>
      </c>
      <c r="BW176" s="188" t="str">
        <f t="shared" si="8"/>
        <v/>
      </c>
      <c r="BX176" s="188" t="str">
        <f t="shared" ca="1" si="64"/>
        <v/>
      </c>
      <c r="BY176" s="181" t="str">
        <f t="shared" ca="1" si="65"/>
        <v/>
      </c>
      <c r="CA176" s="192" t="str">
        <f t="shared" si="76"/>
        <v>N</v>
      </c>
      <c r="CB176" s="192" t="str">
        <f t="shared" si="77"/>
        <v>N</v>
      </c>
      <c r="CC176" s="193">
        <f>IFERROR(INDEX(Program_01!$CE:$CE,MATCH($B176,Program_01!$A:$A,0)),"")</f>
        <v>46273</v>
      </c>
      <c r="CD176" s="193">
        <f t="shared" si="66"/>
        <v>46273</v>
      </c>
      <c r="CG176" s="194" t="str">
        <f>IFERROR(INDEX(Program_01!$AT:$AT,MATCH($B176,Program_01!$A:$A,0)),"")</f>
        <v>SAR 3,959,057</v>
      </c>
      <c r="CH176" s="194">
        <f>IFERROR(INDEX(Program_01!$AX:$AX,MATCH($B176,Program_01!$A:$A,0)),"")</f>
        <v>0</v>
      </c>
    </row>
    <row r="177" spans="1:86" s="187" customFormat="1" ht="68">
      <c r="A177" s="174" t="s">
        <v>1</v>
      </c>
      <c r="B177" s="175">
        <f t="shared" si="72"/>
        <v>159</v>
      </c>
      <c r="C177" s="176" t="str">
        <f>IFERROR(INDEX(Program_01!$B:$B,MATCH($B177,Program_01!$A:$A,0)),"")</f>
        <v>FULL TIA EAR</v>
      </c>
      <c r="D177" s="176" t="str">
        <f>IFERROR(INDEX(Program_01!$D:$D,MATCH($B177,Program_01!$A:$A,0)),"")</f>
        <v>1TB01003C08</v>
      </c>
      <c r="E177" s="176" t="str">
        <f>IFERROR(INDEX(Program_01!$E:$E,MATCH($B177,Program_01!$A:$A,0)),"")</f>
        <v>1.TB.01.003.01</v>
      </c>
      <c r="F177" s="176" t="str">
        <f>IFERROR(INDEX(Program_01!$F:$F,MATCH($B177,Program_01!$A:$A,0)),"")</f>
        <v xml:space="preserve">AMAALA Yacht Club </v>
      </c>
      <c r="G177" s="176" t="str">
        <f>IFERROR(INDEX(Program_01!$G:$G,MATCH($B177,Program_01!$A:$A,0)),"")</f>
        <v>Kitchen &amp; Laundry Works</v>
      </c>
      <c r="H177" s="176" t="str">
        <f>IFERROR(INDEX(Program_01!$H:$H,MATCH($B177,Program_01!$A:$A,0)),"")</f>
        <v>Abdulaziz Al Raqtan and Partners Company for Trading and Industry Company</v>
      </c>
      <c r="I177" s="176" t="str">
        <f t="shared" si="67"/>
        <v>EOT</v>
      </c>
      <c r="J177" s="176">
        <f>IFERROR(INDEX(Program_01!$I:$I,MATCH($B177,Program_01!$A:$A,0)),"")</f>
        <v>1</v>
      </c>
      <c r="K177" s="176">
        <f>IFERROR(INDEX(Program_01!$J:$J,MATCH($B177,Program_01!$A:$A,0)),"")</f>
        <v>0</v>
      </c>
      <c r="L177" s="176">
        <f>IFERROR(INDEX(Program_01!$K:$K,MATCH($B177,Program_01!$A:$A,0)),"")</f>
        <v>0</v>
      </c>
      <c r="M177" s="176">
        <f>IFERROR(INDEX(Program_01!$L:$L,MATCH($B177,Program_01!$A:$A,0)),"")</f>
        <v>0</v>
      </c>
      <c r="N177" s="176">
        <f>IFERROR(INDEX(Program_01!$L:$L,MATCH($B177,Program_01!$A:$A,0)),"")</f>
        <v>0</v>
      </c>
      <c r="O177" s="176">
        <f>IFERROR(INDEX(Program_01!$N:$N,MATCH($B177,Program_01!$A:$A,0)),"")</f>
        <v>0</v>
      </c>
      <c r="P177" s="178"/>
      <c r="Q177" s="179" t="str">
        <f>IFERROR(INDEX(Program_01!$C:$C,MATCH($B177,Program_01!$A:$A,0)),"")</f>
        <v>Al RAQTAN EOT 2 Concurrency Analysis</v>
      </c>
      <c r="R177" s="176" t="str">
        <f>IFERROR(INDEX(Program_01!$V:$V,MATCH($B177,Program_01!$A:$A,0)),"")</f>
        <v xml:space="preserve">RQN01003-GENCORR-000053
1TB01003-003C08-RQN-LTR-0007 </v>
      </c>
      <c r="S177" s="180">
        <f>IFERROR(INDEX(Program_01!$W:$W,MATCH($B177,Program_01!$A:$A,0)),"")</f>
        <v>46240</v>
      </c>
      <c r="T177" s="178"/>
      <c r="U177" s="176">
        <f>IFERROR(INDEX(Program_01!$Z:$Z,MATCH($B177,Program_01!$A:$A,0)),"")</f>
        <v>0</v>
      </c>
      <c r="V177" s="181">
        <f>IFERROR(INDEX(Program_01!$AA:$AA,MATCH($B177,Program_01!$A:$A,0)),"")</f>
        <v>0</v>
      </c>
      <c r="W177" s="182">
        <f t="shared" ca="1" si="0"/>
        <v>60</v>
      </c>
      <c r="X177" s="51"/>
      <c r="Y177" s="179">
        <f>IFERROR(INDEX(Program_01!$BD:$BD,MATCH($B177,Program_01!$A:$A,0)),"")</f>
        <v>0</v>
      </c>
      <c r="Z177" s="51"/>
      <c r="AA177" s="183" t="str">
        <f>IFERROR(IF((INDEX(Program_01!$AD:$AD,MATCH($B177,Program_01!$A:$A,0))=""),INDEX(Program_01!$V:$V,MATCH($B177,Program_01!$A:$A,0)),INDEX(Program_01!$AD:$AD,MATCH($B177,Program_01!$A:$A,0))),"")</f>
        <v xml:space="preserve">RQN01003-GENCORR-000053
1TB01003-003C08-RQN-LTR-0007 </v>
      </c>
      <c r="AB177" s="147">
        <f>IFERROR(IF((INDEX(Program_01!$AE:$AE,MATCH($B177,Program_01!$A:$A,0))=""),INDEX(Program_01!$W:$W,MATCH($B177,Program_01!$A:$A,0)),INDEX(Program_01!$AE:$AE,MATCH($B177,Program_01!$A:$A,0))),"")</f>
        <v>46240</v>
      </c>
      <c r="AC177" s="183">
        <f>IFERROR(IF($I177="EOT",INDEX(Program_01!$AN:$AN,MATCH($B177,Program_01!$A:$A,0)),INDEX(Program_01!$AY:$AY,MATCH($B177,Program_01!$A:$A,0))),"")</f>
        <v>0</v>
      </c>
      <c r="AD177" s="181">
        <f>IFERROR(IF($I177="EOT",INDEX(Program_01!$AO:$AO,MATCH($B177,Program_01!$A:$A,0)),INDEX(Program_01!$AZ:$AZ,MATCH($B177,Program_01!$A:$A,0))),"")</f>
        <v>0</v>
      </c>
      <c r="AE177" s="51"/>
      <c r="AF177" s="183"/>
      <c r="AG177" s="181"/>
      <c r="AH177" s="183" t="str">
        <f>IF(OR($D177="",$AS177="VO Issued",$AS177="Open"),"",IF(OR($AC177="Rejected",$AC177="Superseded",$AC177="Dealt Separately"),$AC177,IF($I177="EOT",INDEX(Program_01!$AR:$AR,MATCH($B177,Program_01!$A:$A,0)),INDEX(Program_01!$BB:$BB,MATCH($B177,Program_01!$A:$A,0)))))</f>
        <v/>
      </c>
      <c r="AI177" s="181" t="str">
        <f>IF(OR($A177="",$B177="",$I177="",$AS177="VO Issued",$AS177="Open"),"",IF(OR($AD177="N/A"),$AD177,IF($I177="EOT",INDEX(Program_01!$AS:$AS,MATCH($B177,Program_01!$A:$A,0)),INDEX(Program_01!$BC:$BC,MATCH($B177,Program_01!$A:$A,0)))))</f>
        <v/>
      </c>
      <c r="AJ177" s="183" t="str">
        <f>IF(OR($D177="",$I177="",$AS177="Determination Issued",$AS177="Rejected",$AS177="Open"),"",IF(OR($AH177="Rejected",$AH177="Dealt Separately",$AH177="Superseded",$AH177="Withdrawn"),"N/A",IF($I177="EOT",INDEX(Program_01!AR:AR,MATCH($B177,Program_01!A:A,0)),INDEX(Program_01!BB:BB,MATCH($B177,Program_01!A:A,0)))))</f>
        <v/>
      </c>
      <c r="AK177" s="181" t="str">
        <f>IF(OR($A177="",$B177="",$I177="",$AS177="Determination Issued",$AS177="Rejected",$AS177="Open"),"",IF($AJ177="N/A","N/A",IF($I177="EOT",INDEX(Program_01!AS:AS,MATCH($B177,Program_01!A:A,0)),INDEX(Program_01!BC:BC,MATCH($B177,Program_01!A:A,0)))))</f>
        <v/>
      </c>
      <c r="AL177" s="51"/>
      <c r="AM177" s="184">
        <f>IFERROR(INDEX(Program_01!$BT:$BT,MATCH($B177,Program_01!$A:$A,0)),"")</f>
        <v>0</v>
      </c>
      <c r="AN177" s="184">
        <f>IFERROR(INDEX(Program_01!$BU:$BU,MATCH($B177,Program_01!$A:$A,0)),"")</f>
        <v>0</v>
      </c>
      <c r="AO177" s="184">
        <f>IFERROR(INDEX(Program_01!$BV:$BV,MATCH($B177,Program_01!$A:$A,0)),"")</f>
        <v>0</v>
      </c>
      <c r="AP177" s="51" t="str">
        <f t="shared" si="73"/>
        <v/>
      </c>
      <c r="AQ177" s="184">
        <f>IFERROR(INDEX(Program_01!$BN:$BN,MATCH($B177,Program_01!$A:$A,0)),"")</f>
        <v>0</v>
      </c>
      <c r="AR177" s="184" t="str">
        <f>IFERROR(INDEX(Program_01!$BO:$BO,MATCH($B177,Program_01!$A:$A,0)),"")</f>
        <v>Pending</v>
      </c>
      <c r="AS177" s="184" t="str">
        <f>IFERROR(INDEX(Program_01!$BP:$BP,MATCH($B177,Program_01!$A:$A,0)),"")</f>
        <v>Open</v>
      </c>
      <c r="AT177" s="185" t="str">
        <f>IFERROR(INDEX(Program_01!$BQ:$BQ,MATCH($B177,Program_01!$A:$A,0)),"")</f>
        <v>Commercial Team</v>
      </c>
      <c r="AU177" s="179" t="str">
        <f>IFERROR(INDEX(Program_01!$BR:$BR,MATCH($B177,Program_01!$A:$A,0)),"")</f>
        <v>06 Aug 26: Contractor in response to the EAR /EI following it's has acceptence of the 215 days EOT days, it disagrees with the concurrency analysis. Contractor's response / concurrency analyis was sent to planning team for review
07 Sep 26: planning responded that the Employer’s TIA assessment end of window updated programmes in all windows are driven by the Contractor delays. Therefore, the assessed EOT shall be fully concurrent with the Contractor delays.</v>
      </c>
      <c r="AV177" s="186" t="str">
        <f t="shared" si="58"/>
        <v/>
      </c>
      <c r="AW177" s="186" t="str">
        <f t="shared" si="74"/>
        <v>OPEN</v>
      </c>
      <c r="AX177" s="186" t="str">
        <f t="shared" si="59"/>
        <v>OPEN</v>
      </c>
      <c r="AY177" s="181">
        <f t="shared" si="68"/>
        <v>46240</v>
      </c>
      <c r="AZ177" s="181" t="str">
        <f t="shared" si="60"/>
        <v/>
      </c>
      <c r="BA177" s="181" t="str">
        <f t="shared" si="4"/>
        <v/>
      </c>
      <c r="BC177" s="181">
        <f>IFERROR(INDEX(Program_01!BF:BF,MATCH($B177,Program_01!$A:$A,0)),"")</f>
        <v>46240</v>
      </c>
      <c r="BD177" s="188">
        <f ca="1">IFERROR(INDEX(Program_01!BG:BG,MATCH($B177,Program_01!$A:$A,0)),"")</f>
        <v>60</v>
      </c>
      <c r="BE177" s="181">
        <f>IFERROR(INDEX(Program_01!BH:BH,MATCH($B177,Program_01!$A:$A,0)),"")</f>
        <v>0</v>
      </c>
      <c r="BF177" s="189">
        <f ca="1">IFERROR(INDEX(Program_01!BI:BI,MATCH($B177,Program_01!$A:$A,0)),"")</f>
        <v>0</v>
      </c>
      <c r="BG177" s="181">
        <f>IFERROR(INDEX(Program_01!BJ:BJ,MATCH($B177,Program_01!$A:$A,0)),"")</f>
        <v>0</v>
      </c>
      <c r="BH177" s="189">
        <f ca="1">IFERROR(INDEX(Program_01!BK:BK,MATCH($B177,Program_01!$A:$A,0)),"")</f>
        <v>0</v>
      </c>
      <c r="BI177" s="181">
        <f>IFERROR(INDEX(Program_01!BL:BL,MATCH($B177,Program_01!$A:$A,0)),"")</f>
        <v>0</v>
      </c>
      <c r="BK177" s="190" t="str">
        <f>IFERROR(IF(INDEX(Program_01!$BX:$BX,MATCH($B177,Program_01!$A:$A,0))=DATE(1900,1,0),"",INDEX(Program_01!$BX:$BX,MATCH($B177,Program_01!$A:$A,0))),"")</f>
        <v/>
      </c>
      <c r="BL177" s="190" t="str">
        <f>IFERROR(IF(INDEX(Program_01!$BY:$BY,MATCH($B177,Program_01!$A:$A,0))=DATE(1900,1,0),"",INDEX(Program_01!$BY:$BY,MATCH($B177,Program_01!$A:$A,0))),"")</f>
        <v/>
      </c>
      <c r="BM177" s="188" t="str">
        <f t="shared" ca="1" si="69"/>
        <v/>
      </c>
      <c r="BN177" s="191">
        <f t="shared" ca="1" si="70"/>
        <v>60</v>
      </c>
      <c r="BO177" s="188" t="str">
        <f t="shared" si="61"/>
        <v/>
      </c>
      <c r="BP177" s="188" t="str">
        <f t="shared" si="6"/>
        <v/>
      </c>
      <c r="BQ177" s="188" t="str">
        <f t="shared" ca="1" si="71"/>
        <v/>
      </c>
      <c r="BR177" s="181" t="str">
        <f t="shared" ca="1" si="62"/>
        <v/>
      </c>
      <c r="BT177" s="190" t="str">
        <f>IFERROR(IF(INDEX(Program_01!$BZ:$BZ,MATCH($B177,Program_01!$A:$A,0))=DATE(1900,1,0),"",INDEX(Program_01!$BZ:$BZ,MATCH($B177,Program_01!$A:$A,0))),"")</f>
        <v/>
      </c>
      <c r="BU177" s="182" t="str">
        <f t="shared" ca="1" si="75"/>
        <v/>
      </c>
      <c r="BV177" s="188" t="str">
        <f t="shared" si="63"/>
        <v/>
      </c>
      <c r="BW177" s="188" t="str">
        <f t="shared" si="8"/>
        <v/>
      </c>
      <c r="BX177" s="188" t="str">
        <f t="shared" ca="1" si="64"/>
        <v/>
      </c>
      <c r="BY177" s="181" t="str">
        <f t="shared" ca="1" si="65"/>
        <v/>
      </c>
      <c r="CA177" s="192" t="str">
        <f t="shared" si="76"/>
        <v>N</v>
      </c>
      <c r="CB177" s="192" t="str">
        <f t="shared" si="77"/>
        <v>N</v>
      </c>
      <c r="CC177" s="193">
        <f>IFERROR(INDEX(Program_01!$CE:$CE,MATCH($B177,Program_01!$A:$A,0)),"")</f>
        <v>46272</v>
      </c>
      <c r="CD177" s="193">
        <f t="shared" si="66"/>
        <v>46272</v>
      </c>
      <c r="CG177" s="194">
        <f>IFERROR(INDEX(Program_01!$AT:$AT,MATCH($B177,Program_01!$A:$A,0)),"")</f>
        <v>0</v>
      </c>
      <c r="CH177" s="194">
        <f>IFERROR(INDEX(Program_01!$AX:$AX,MATCH($B177,Program_01!$A:$A,0)),"")</f>
        <v>0</v>
      </c>
    </row>
    <row r="178" spans="1:86" s="187" customFormat="1" ht="119">
      <c r="A178" s="174" t="s">
        <v>1</v>
      </c>
      <c r="B178" s="175">
        <f t="shared" si="72"/>
        <v>160</v>
      </c>
      <c r="C178" s="176" t="str">
        <f>IFERROR(INDEX(Program_01!$B:$B,MATCH($B178,Program_01!$A:$A,0)),"")</f>
        <v>FULL TIA EAR</v>
      </c>
      <c r="D178" s="176" t="str">
        <f>IFERROR(INDEX(Program_01!$D:$D,MATCH($B178,Program_01!$A:$A,0)),"")</f>
        <v>1TB01031C15</v>
      </c>
      <c r="E178" s="176" t="str">
        <f>IFERROR(INDEX(Program_01!$E:$E,MATCH($B178,Program_01!$A:$A,0)),"")</f>
        <v>1.TB.01.031.01</v>
      </c>
      <c r="F178" s="176" t="str">
        <f>IFERROR(INDEX(Program_01!$F:$F,MATCH($B178,Program_01!$A:$A,0)),"")</f>
        <v>The Marina</v>
      </c>
      <c r="G178" s="176" t="str">
        <f>IFERROR(INDEX(Program_01!$G:$G,MATCH($B178,Program_01!$A:$A,0)),"")</f>
        <v>Constructing Boardwalks &amp; Jetties for Hijaz Island at Amaala
Development</v>
      </c>
      <c r="H178" s="176" t="str">
        <f>IFERROR(INDEX(Program_01!$H:$H,MATCH($B178,Program_01!$A:$A,0)),"")</f>
        <v>Elmar Marinas Khaleej LLC</v>
      </c>
      <c r="I178" s="176" t="str">
        <f t="shared" si="67"/>
        <v>EOT</v>
      </c>
      <c r="J178" s="176">
        <f>IFERROR(INDEX(Program_01!$I:$I,MATCH($B178,Program_01!$A:$A,0)),"")</f>
        <v>1</v>
      </c>
      <c r="K178" s="176">
        <f>IFERROR(INDEX(Program_01!$J:$J,MATCH($B178,Program_01!$A:$A,0)),"")</f>
        <v>0</v>
      </c>
      <c r="L178" s="176">
        <f>IFERROR(INDEX(Program_01!$K:$K,MATCH($B178,Program_01!$A:$A,0)),"")</f>
        <v>0</v>
      </c>
      <c r="M178" s="176">
        <f>IFERROR(INDEX(Program_01!$L:$L,MATCH($B178,Program_01!$A:$A,0)),"")</f>
        <v>0</v>
      </c>
      <c r="N178" s="176">
        <f>IFERROR(INDEX(Program_01!$L:$L,MATCH($B178,Program_01!$A:$A,0)),"")</f>
        <v>0</v>
      </c>
      <c r="O178" s="176">
        <f>IFERROR(INDEX(Program_01!$N:$N,MATCH($B178,Program_01!$A:$A,0)),"")</f>
        <v>0</v>
      </c>
      <c r="P178" s="178"/>
      <c r="Q178" s="179" t="str">
        <f>IFERROR(INDEX(Program_01!$C:$C,MATCH($B178,Program_01!$A:$A,0)),"")</f>
        <v>Contractor's Extension of Time (EOT) - 02 R02
reassessment of item 123 above</v>
      </c>
      <c r="R178" s="176" t="str">
        <f>IFERROR(INDEX(Program_01!$V:$V,MATCH($B178,Program_01!$A:$A,0)),"")</f>
        <v>1TB01031-031C15-EMC-LTR-0031</v>
      </c>
      <c r="S178" s="180">
        <f>IFERROR(INDEX(Program_01!$W:$W,MATCH($B178,Program_01!$A:$A,0)),"")</f>
        <v>46272</v>
      </c>
      <c r="T178" s="178"/>
      <c r="U178" s="176">
        <f>IFERROR(INDEX(Program_01!$Z:$Z,MATCH($B178,Program_01!$A:$A,0)),"")</f>
        <v>0</v>
      </c>
      <c r="V178" s="181" t="str">
        <f>IFERROR(INDEX(Program_01!$AA:$AA,MATCH($B178,Program_01!$A:$A,0)),"")</f>
        <v>N/A</v>
      </c>
      <c r="W178" s="182" t="str">
        <f t="shared" ca="1" si="0"/>
        <v/>
      </c>
      <c r="X178" s="51"/>
      <c r="Y178" s="179">
        <f>IFERROR(INDEX(Program_01!$BD:$BD,MATCH($B178,Program_01!$A:$A,0)),"")</f>
        <v>0</v>
      </c>
      <c r="Z178" s="51"/>
      <c r="AA178" s="183" t="str">
        <f>IFERROR(IF((INDEX(Program_01!$AD:$AD,MATCH($B178,Program_01!$A:$A,0))=""),INDEX(Program_01!$V:$V,MATCH($B178,Program_01!$A:$A,0)),INDEX(Program_01!$AD:$AD,MATCH($B178,Program_01!$A:$A,0))),"")</f>
        <v>1TB01031-031C15-EMC-LTR-0031</v>
      </c>
      <c r="AB178" s="147">
        <f>IFERROR(IF((INDEX(Program_01!$AE:$AE,MATCH($B178,Program_01!$A:$A,0))=""),INDEX(Program_01!$W:$W,MATCH($B178,Program_01!$A:$A,0)),INDEX(Program_01!$AE:$AE,MATCH($B178,Program_01!$A:$A,0))),"")</f>
        <v>46272</v>
      </c>
      <c r="AC178" s="183">
        <f>IFERROR(IF($I178="EOT",INDEX(Program_01!$AN:$AN,MATCH($B178,Program_01!$A:$A,0)),INDEX(Program_01!$AY:$AY,MATCH($B178,Program_01!$A:$A,0))),"")</f>
        <v>0</v>
      </c>
      <c r="AD178" s="181">
        <f>IFERROR(IF($I178="EOT",INDEX(Program_01!$AO:$AO,MATCH($B178,Program_01!$A:$A,0)),INDEX(Program_01!$AZ:$AZ,MATCH($B178,Program_01!$A:$A,0))),"")</f>
        <v>0</v>
      </c>
      <c r="AE178" s="51"/>
      <c r="AF178" s="183"/>
      <c r="AG178" s="181"/>
      <c r="AH178" s="183" t="str">
        <f>IF(OR($D178="",$AS178="VO Issued",$AS178="Open"),"",IF(OR($AC178="Rejected",$AC178="Superseded",$AC178="Dealt Separately"),$AC178,IF($I178="EOT",INDEX(Program_01!$AR:$AR,MATCH($B178,Program_01!$A:$A,0)),INDEX(Program_01!$BB:$BB,MATCH($B178,Program_01!$A:$A,0)))))</f>
        <v/>
      </c>
      <c r="AI178" s="181" t="str">
        <f>IF(OR($A178="",$B178="",$I178="",$AS178="VO Issued",$AS178="Open"),"",IF(OR($AD178="N/A"),$AD178,IF($I178="EOT",INDEX(Program_01!$AS:$AS,MATCH($B178,Program_01!$A:$A,0)),INDEX(Program_01!$BC:$BC,MATCH($B178,Program_01!$A:$A,0)))))</f>
        <v/>
      </c>
      <c r="AJ178" s="183" t="str">
        <f>IF(OR($D178="",$I178="",$AS178="Determination Issued",$AS178="Rejected",$AS178="Open"),"",IF(OR($AH178="Rejected",$AH178="Dealt Separately",$AH178="Superseded",$AH178="Withdrawn"),"N/A",IF($I178="EOT",INDEX(Program_01!AR:AR,MATCH($B178,Program_01!A:A,0)),INDEX(Program_01!BB:BB,MATCH($B178,Program_01!A:A,0)))))</f>
        <v/>
      </c>
      <c r="AK178" s="181" t="str">
        <f>IF(OR($A178="",$B178="",$I178="",$AS178="Determination Issued",$AS178="Rejected",$AS178="Open"),"",IF($AJ178="N/A","N/A",IF($I178="EOT",INDEX(Program_01!AS:AS,MATCH($B178,Program_01!A:A,0)),INDEX(Program_01!BC:BC,MATCH($B178,Program_01!A:A,0)))))</f>
        <v/>
      </c>
      <c r="AL178" s="51"/>
      <c r="AM178" s="184">
        <f>IFERROR(INDEX(Program_01!$BT:$BT,MATCH($B178,Program_01!$A:$A,0)),"")</f>
        <v>0</v>
      </c>
      <c r="AN178" s="184">
        <f>IFERROR(INDEX(Program_01!$BU:$BU,MATCH($B178,Program_01!$A:$A,0)),"")</f>
        <v>0</v>
      </c>
      <c r="AO178" s="184">
        <f>IFERROR(INDEX(Program_01!$BV:$BV,MATCH($B178,Program_01!$A:$A,0)),"")</f>
        <v>0</v>
      </c>
      <c r="AP178" s="51" t="str">
        <f t="shared" si="73"/>
        <v/>
      </c>
      <c r="AQ178" s="184">
        <f>IFERROR(INDEX(Program_01!$BN:$BN,MATCH($B178,Program_01!$A:$A,0)),"")</f>
        <v>0</v>
      </c>
      <c r="AR178" s="184" t="str">
        <f>IFERROR(INDEX(Program_01!$BO:$BO,MATCH($B178,Program_01!$A:$A,0)),"")</f>
        <v>Pending</v>
      </c>
      <c r="AS178" s="184" t="str">
        <f>IFERROR(INDEX(Program_01!$BP:$BP,MATCH($B178,Program_01!$A:$A,0)),"")</f>
        <v>Open</v>
      </c>
      <c r="AT178" s="185" t="str">
        <f>IFERROR(INDEX(Program_01!$BQ:$BQ,MATCH($B178,Program_01!$A:$A,0)),"")</f>
        <v>Claims Team</v>
      </c>
      <c r="AU178" s="179" t="str">
        <f>IFERROR(INDEX(Program_01!$BR:$BR,MATCH($B178,Program_01!$A:$A,0)),"")</f>
        <v xml:space="preserve">24 Aug 26: EAR Issued to Contractor via Ref Letter 1TB01031-031C15-AMA-LTR-0044 dated 17 Aug 2026 - Awaiting contractor acceptance
24 Aug 26: Contractor responded via 1TB01031-031C15-EMC-LTR-0030 rejecting the EAR, under review with commercial &amp; Planning 
04 Sept 26: Contractor's Rejection is forwarded to Claims team for review and response
07 Sept 26: Contractor submitted further particulars via 1TB01031-031C15-EMC-LTR-0031 and has requested for a re-assessment
08 Sep 26: revised EAR sent to claims team seeking approval to proceed with reassessment
16 Sep 26: Reverted to commercial with queries &amp; comments
05 Oct 26: Review comments from Claims team on 30Sept 26 regarding additional DE-06 are addressed, responded on 05 Oct 26 
</v>
      </c>
      <c r="AV178" s="186" t="str">
        <f t="shared" si="58"/>
        <v/>
      </c>
      <c r="AW178" s="186" t="str">
        <f t="shared" si="74"/>
        <v>OPEN</v>
      </c>
      <c r="AX178" s="186" t="str">
        <f t="shared" si="59"/>
        <v>OPEN</v>
      </c>
      <c r="AY178" s="181">
        <f t="shared" si="68"/>
        <v>46272</v>
      </c>
      <c r="AZ178" s="181" t="str">
        <f t="shared" si="60"/>
        <v/>
      </c>
      <c r="BA178" s="181" t="str">
        <f t="shared" si="4"/>
        <v/>
      </c>
      <c r="BC178" s="181">
        <f>IFERROR(INDEX(Program_01!BF:BF,MATCH($B178,Program_01!$A:$A,0)),"")</f>
        <v>46272</v>
      </c>
      <c r="BD178" s="188">
        <f ca="1">IFERROR(INDEX(Program_01!BG:BG,MATCH($B178,Program_01!$A:$A,0)),"")</f>
        <v>28</v>
      </c>
      <c r="BE178" s="181">
        <f>IFERROR(INDEX(Program_01!BH:BH,MATCH($B178,Program_01!$A:$A,0)),"")</f>
        <v>0</v>
      </c>
      <c r="BF178" s="189">
        <f ca="1">IFERROR(INDEX(Program_01!BI:BI,MATCH($B178,Program_01!$A:$A,0)),"")</f>
        <v>0</v>
      </c>
      <c r="BG178" s="181">
        <f>IFERROR(INDEX(Program_01!BJ:BJ,MATCH($B178,Program_01!$A:$A,0)),"")</f>
        <v>0</v>
      </c>
      <c r="BH178" s="189">
        <f ca="1">IFERROR(INDEX(Program_01!BK:BK,MATCH($B178,Program_01!$A:$A,0)),"")</f>
        <v>0</v>
      </c>
      <c r="BI178" s="181">
        <f>IFERROR(INDEX(Program_01!BL:BL,MATCH($B178,Program_01!$A:$A,0)),"")</f>
        <v>0</v>
      </c>
      <c r="BK178" s="190" t="str">
        <f>IFERROR(IF(INDEX(Program_01!$BX:$BX,MATCH($B178,Program_01!$A:$A,0))=DATE(1900,1,0),"",INDEX(Program_01!$BX:$BX,MATCH($B178,Program_01!$A:$A,0))),"")</f>
        <v/>
      </c>
      <c r="BL178" s="190" t="str">
        <f>IFERROR(IF(INDEX(Program_01!$BY:$BY,MATCH($B178,Program_01!$A:$A,0))=DATE(1900,1,0),"",INDEX(Program_01!$BY:$BY,MATCH($B178,Program_01!$A:$A,0))),"")</f>
        <v/>
      </c>
      <c r="BM178" s="188" t="str">
        <f t="shared" ca="1" si="69"/>
        <v/>
      </c>
      <c r="BN178" s="191">
        <f t="shared" ca="1" si="70"/>
        <v>28</v>
      </c>
      <c r="BO178" s="188" t="str">
        <f t="shared" si="61"/>
        <v/>
      </c>
      <c r="BP178" s="188" t="str">
        <f t="shared" si="6"/>
        <v/>
      </c>
      <c r="BQ178" s="188" t="str">
        <f t="shared" ca="1" si="71"/>
        <v/>
      </c>
      <c r="BR178" s="181" t="str">
        <f t="shared" ca="1" si="62"/>
        <v/>
      </c>
      <c r="BT178" s="190" t="str">
        <f>IFERROR(IF(INDEX(Program_01!$BZ:$BZ,MATCH($B178,Program_01!$A:$A,0))=DATE(1900,1,0),"",INDEX(Program_01!$BZ:$BZ,MATCH($B178,Program_01!$A:$A,0))),"")</f>
        <v/>
      </c>
      <c r="BU178" s="182" t="str">
        <f t="shared" ca="1" si="75"/>
        <v/>
      </c>
      <c r="BV178" s="188" t="str">
        <f t="shared" si="63"/>
        <v/>
      </c>
      <c r="BW178" s="188" t="str">
        <f t="shared" si="8"/>
        <v/>
      </c>
      <c r="BX178" s="188" t="str">
        <f t="shared" ca="1" si="64"/>
        <v/>
      </c>
      <c r="BY178" s="181" t="str">
        <f t="shared" ca="1" si="65"/>
        <v/>
      </c>
      <c r="CA178" s="192" t="str">
        <f t="shared" si="76"/>
        <v>N</v>
      </c>
      <c r="CB178" s="192" t="str">
        <f t="shared" si="77"/>
        <v>N</v>
      </c>
      <c r="CC178" s="193">
        <f>IFERROR(INDEX(Program_01!$CE:$CE,MATCH($B178,Program_01!$A:$A,0)),"")</f>
        <v>46273</v>
      </c>
      <c r="CD178" s="193">
        <f t="shared" si="66"/>
        <v>46273</v>
      </c>
      <c r="CG178" s="194">
        <f>IFERROR(INDEX(Program_01!$AT:$AT,MATCH($B178,Program_01!$A:$A,0)),"")</f>
        <v>0</v>
      </c>
      <c r="CH178" s="194">
        <f>IFERROR(INDEX(Program_01!$AX:$AX,MATCH($B178,Program_01!$A:$A,0)),"")</f>
        <v>0</v>
      </c>
    </row>
    <row r="179" spans="1:86" s="187" customFormat="1" ht="68">
      <c r="A179" s="174" t="s">
        <v>1</v>
      </c>
      <c r="B179" s="175">
        <f t="shared" si="72"/>
        <v>161</v>
      </c>
      <c r="C179" s="176" t="str">
        <f>IFERROR(INDEX(Program_01!$B:$B,MATCH($B179,Program_01!$A:$A,0)),"")</f>
        <v>FULL TIA EAR</v>
      </c>
      <c r="D179" s="176" t="str">
        <f>IFERROR(INDEX(Program_01!$D:$D,MATCH($B179,Program_01!$A:$A,0)),"")</f>
        <v>1TB01100C29</v>
      </c>
      <c r="E179" s="176" t="str">
        <f>IFERROR(INDEX(Program_01!$E:$E,MATCH($B179,Program_01!$A:$A,0)),"")</f>
        <v>1.TB.01.100.00</v>
      </c>
      <c r="F179" s="176" t="str">
        <f>IFERROR(INDEX(Program_01!$F:$F,MATCH($B179,Program_01!$A:$A,0)),"")</f>
        <v>Marina Village - Wide</v>
      </c>
      <c r="G179" s="176" t="str">
        <f>IFERROR(INDEX(Program_01!$G:$G,MATCH($B179,Program_01!$A:$A,0)),"")</f>
        <v>AMAALA  Secondary Infrastructure Concrete Chambers MV Cabling  Dry  Wet Utilities South Corridor Works Package</v>
      </c>
      <c r="H179" s="176" t="str">
        <f>IFERROR(INDEX(Program_01!$H:$H,MATCH($B179,Program_01!$A:$A,0)),"")</f>
        <v>Arab Supply &amp; Trading Co. (ASTRA Construction)</v>
      </c>
      <c r="I179" s="176" t="str">
        <f t="shared" si="67"/>
        <v>EOT</v>
      </c>
      <c r="J179" s="176">
        <f>IFERROR(INDEX(Program_01!$I:$I,MATCH($B179,Program_01!$A:$A,0)),"")</f>
        <v>1</v>
      </c>
      <c r="K179" s="176">
        <f>IFERROR(INDEX(Program_01!$J:$J,MATCH($B179,Program_01!$A:$A,0)),"")</f>
        <v>0</v>
      </c>
      <c r="L179" s="176">
        <f>IFERROR(INDEX(Program_01!$K:$K,MATCH($B179,Program_01!$A:$A,0)),"")</f>
        <v>0</v>
      </c>
      <c r="M179" s="176">
        <f>IFERROR(INDEX(Program_01!$L:$L,MATCH($B179,Program_01!$A:$A,0)),"")</f>
        <v>0</v>
      </c>
      <c r="N179" s="176">
        <f>IFERROR(INDEX(Program_01!$L:$L,MATCH($B179,Program_01!$A:$A,0)),"")</f>
        <v>0</v>
      </c>
      <c r="O179" s="176">
        <f>IFERROR(INDEX(Program_01!$N:$N,MATCH($B179,Program_01!$A:$A,0)),"")</f>
        <v>0</v>
      </c>
      <c r="P179" s="178"/>
      <c r="Q179" s="179" t="str">
        <f>IFERROR(INDEX(Program_01!$C:$C,MATCH($B179,Program_01!$A:$A,0)),"")</f>
        <v>Extension 0f Time Claim No. 1 - Concurrency Analysis</v>
      </c>
      <c r="R179" s="176" t="str">
        <f>IFERROR(INDEX(Program_01!$V:$V,MATCH($B179,Program_01!$A:$A,0)),"")</f>
        <v>1TB01100-100C29-ACC-LTR-0242</v>
      </c>
      <c r="S179" s="180">
        <f>IFERROR(INDEX(Program_01!$W:$W,MATCH($B179,Program_01!$A:$A,0)),"")</f>
        <v>46279</v>
      </c>
      <c r="T179" s="178"/>
      <c r="U179" s="176">
        <f>IFERROR(INDEX(Program_01!$Z:$Z,MATCH($B179,Program_01!$A:$A,0)),"")</f>
        <v>0</v>
      </c>
      <c r="V179" s="181">
        <f>IFERROR(INDEX(Program_01!$AA:$AA,MATCH($B179,Program_01!$A:$A,0)),"")</f>
        <v>0</v>
      </c>
      <c r="W179" s="182">
        <f t="shared" ca="1" si="0"/>
        <v>21</v>
      </c>
      <c r="X179" s="51"/>
      <c r="Y179" s="179">
        <f>IFERROR(INDEX(Program_01!$BD:$BD,MATCH($B179,Program_01!$A:$A,0)),"")</f>
        <v>0</v>
      </c>
      <c r="Z179" s="51"/>
      <c r="AA179" s="183" t="str">
        <f>IFERROR(IF((INDEX(Program_01!$AD:$AD,MATCH($B179,Program_01!$A:$A,0))=""),INDEX(Program_01!$V:$V,MATCH($B179,Program_01!$A:$A,0)),INDEX(Program_01!$AD:$AD,MATCH($B179,Program_01!$A:$A,0))),"")</f>
        <v>1TB01100-100C29-ACC-LTR-0242</v>
      </c>
      <c r="AB179" s="147">
        <f>IFERROR(IF((INDEX(Program_01!$AE:$AE,MATCH($B179,Program_01!$A:$A,0))=""),INDEX(Program_01!$W:$W,MATCH($B179,Program_01!$A:$A,0)),INDEX(Program_01!$AE:$AE,MATCH($B179,Program_01!$A:$A,0))),"")</f>
        <v>46279</v>
      </c>
      <c r="AC179" s="183">
        <f>IFERROR(IF($I179="EOT",INDEX(Program_01!$AN:$AN,MATCH($B179,Program_01!$A:$A,0)),INDEX(Program_01!$AY:$AY,MATCH($B179,Program_01!$A:$A,0))),"")</f>
        <v>0</v>
      </c>
      <c r="AD179" s="181">
        <f>IFERROR(IF($I179="EOT",INDEX(Program_01!$AO:$AO,MATCH($B179,Program_01!$A:$A,0)),INDEX(Program_01!$AZ:$AZ,MATCH($B179,Program_01!$A:$A,0))),"")</f>
        <v>0</v>
      </c>
      <c r="AE179" s="51"/>
      <c r="AF179" s="183"/>
      <c r="AG179" s="181"/>
      <c r="AH179" s="183" t="str">
        <f>IF(OR($D179="",$AS179="VO Issued",$AS179="Open"),"",IF(OR($AC179="Rejected",$AC179="Superseded",$AC179="Dealt Separately"),$AC179,IF($I179="EOT",INDEX(Program_01!$AR:$AR,MATCH($B179,Program_01!$A:$A,0)),INDEX(Program_01!$BB:$BB,MATCH($B179,Program_01!$A:$A,0)))))</f>
        <v/>
      </c>
      <c r="AI179" s="181" t="str">
        <f>IF(OR($A179="",$B179="",$I179="",$AS179="VO Issued",$AS179="Open"),"",IF(OR($AD179="N/A"),$AD179,IF($I179="EOT",INDEX(Program_01!$AS:$AS,MATCH($B179,Program_01!$A:$A,0)),INDEX(Program_01!$BC:$BC,MATCH($B179,Program_01!$A:$A,0)))))</f>
        <v/>
      </c>
      <c r="AJ179" s="183" t="str">
        <f>IF(OR($D179="",$I179="",$AS179="Determination Issued",$AS179="Rejected",$AS179="Open"),"",IF(OR($AH179="Rejected",$AH179="Dealt Separately",$AH179="Superseded",$AH179="Withdrawn"),"N/A",IF($I179="EOT",INDEX(Program_01!AR:AR,MATCH($B179,Program_01!A:A,0)),INDEX(Program_01!BB:BB,MATCH($B179,Program_01!A:A,0)))))</f>
        <v/>
      </c>
      <c r="AK179" s="181" t="str">
        <f>IF(OR($A179="",$B179="",$I179="",$AS179="Determination Issued",$AS179="Rejected",$AS179="Open"),"",IF($AJ179="N/A","N/A",IF($I179="EOT",INDEX(Program_01!AS:AS,MATCH($B179,Program_01!A:A,0)),INDEX(Program_01!BC:BC,MATCH($B179,Program_01!A:A,0)))))</f>
        <v/>
      </c>
      <c r="AL179" s="51"/>
      <c r="AM179" s="184">
        <f>IFERROR(INDEX(Program_01!$BT:$BT,MATCH($B179,Program_01!$A:$A,0)),"")</f>
        <v>0</v>
      </c>
      <c r="AN179" s="184">
        <f>IFERROR(INDEX(Program_01!$BU:$BU,MATCH($B179,Program_01!$A:$A,0)),"")</f>
        <v>0</v>
      </c>
      <c r="AO179" s="184">
        <f>IFERROR(INDEX(Program_01!$BV:$BV,MATCH($B179,Program_01!$A:$A,0)),"")</f>
        <v>0</v>
      </c>
      <c r="AP179" s="51" t="str">
        <f t="shared" si="73"/>
        <v/>
      </c>
      <c r="AQ179" s="184">
        <f>IFERROR(INDEX(Program_01!$BN:$BN,MATCH($B179,Program_01!$A:$A,0)),"")</f>
        <v>0</v>
      </c>
      <c r="AR179" s="184" t="str">
        <f>IFERROR(INDEX(Program_01!$BO:$BO,MATCH($B179,Program_01!$A:$A,0)),"")</f>
        <v>Pending</v>
      </c>
      <c r="AS179" s="184" t="str">
        <f>IFERROR(INDEX(Program_01!$BP:$BP,MATCH($B179,Program_01!$A:$A,0)),"")</f>
        <v>Open</v>
      </c>
      <c r="AT179" s="185" t="str">
        <f>IFERROR(INDEX(Program_01!$BQ:$BQ,MATCH($B179,Program_01!$A:$A,0)),"")</f>
        <v>Commercial Team</v>
      </c>
      <c r="AU179" s="179" t="str">
        <f>IFERROR(INDEX(Program_01!$BR:$BR,MATCH($B179,Program_01!$A:$A,0)),"")</f>
        <v>16 Sep 26: Further to Employer's concurrency analysis report, contractor has responded via 1TB01100-100C29-ACC-LTR-0242 with additional supporting documents. Currently under review with commercial &amp; Planning
21 Sep 26: Ditto
01 Oct 26: Concurrency analysis sent to commercial to incorporate into the EAR</v>
      </c>
      <c r="AV179" s="186" t="str">
        <f t="shared" si="58"/>
        <v/>
      </c>
      <c r="AW179" s="186" t="str">
        <f t="shared" si="74"/>
        <v>OPEN</v>
      </c>
      <c r="AX179" s="186" t="str">
        <f t="shared" si="59"/>
        <v>OPEN</v>
      </c>
      <c r="AY179" s="181">
        <f t="shared" si="68"/>
        <v>46279</v>
      </c>
      <c r="AZ179" s="181" t="str">
        <f t="shared" si="60"/>
        <v/>
      </c>
      <c r="BA179" s="181" t="str">
        <f t="shared" si="4"/>
        <v/>
      </c>
      <c r="BC179" s="181">
        <f>IFERROR(INDEX(Program_01!BF:BF,MATCH($B179,Program_01!$A:$A,0)),"")</f>
        <v>46279</v>
      </c>
      <c r="BD179" s="188">
        <f ca="1">IFERROR(INDEX(Program_01!BG:BG,MATCH($B179,Program_01!$A:$A,0)),"")</f>
        <v>21</v>
      </c>
      <c r="BE179" s="181">
        <f>IFERROR(INDEX(Program_01!BH:BH,MATCH($B179,Program_01!$A:$A,0)),"")</f>
        <v>0</v>
      </c>
      <c r="BF179" s="189">
        <f ca="1">IFERROR(INDEX(Program_01!BI:BI,MATCH($B179,Program_01!$A:$A,0)),"")</f>
        <v>0</v>
      </c>
      <c r="BG179" s="181">
        <f>IFERROR(INDEX(Program_01!BJ:BJ,MATCH($B179,Program_01!$A:$A,0)),"")</f>
        <v>0</v>
      </c>
      <c r="BH179" s="189">
        <f ca="1">IFERROR(INDEX(Program_01!BK:BK,MATCH($B179,Program_01!$A:$A,0)),"")</f>
        <v>0</v>
      </c>
      <c r="BI179" s="181">
        <f>IFERROR(INDEX(Program_01!BL:BL,MATCH($B179,Program_01!$A:$A,0)),"")</f>
        <v>0</v>
      </c>
      <c r="BK179" s="190" t="str">
        <f>IFERROR(IF(INDEX(Program_01!$BX:$BX,MATCH($B179,Program_01!$A:$A,0))=DATE(1900,1,0),"",INDEX(Program_01!$BX:$BX,MATCH($B179,Program_01!$A:$A,0))),"")</f>
        <v/>
      </c>
      <c r="BL179" s="190" t="str">
        <f>IFERROR(IF(INDEX(Program_01!$BY:$BY,MATCH($B179,Program_01!$A:$A,0))=DATE(1900,1,0),"",INDEX(Program_01!$BY:$BY,MATCH($B179,Program_01!$A:$A,0))),"")</f>
        <v/>
      </c>
      <c r="BM179" s="188" t="str">
        <f t="shared" ca="1" si="69"/>
        <v/>
      </c>
      <c r="BN179" s="191">
        <f t="shared" ca="1" si="70"/>
        <v>21</v>
      </c>
      <c r="BO179" s="188" t="str">
        <f t="shared" si="61"/>
        <v/>
      </c>
      <c r="BP179" s="188" t="str">
        <f t="shared" si="6"/>
        <v/>
      </c>
      <c r="BQ179" s="188" t="str">
        <f t="shared" ca="1" si="71"/>
        <v/>
      </c>
      <c r="BR179" s="181" t="str">
        <f t="shared" ca="1" si="62"/>
        <v/>
      </c>
      <c r="BT179" s="190" t="str">
        <f>IFERROR(IF(INDEX(Program_01!$BZ:$BZ,MATCH($B179,Program_01!$A:$A,0))=DATE(1900,1,0),"",INDEX(Program_01!$BZ:$BZ,MATCH($B179,Program_01!$A:$A,0))),"")</f>
        <v/>
      </c>
      <c r="BU179" s="182" t="str">
        <f t="shared" ca="1" si="75"/>
        <v/>
      </c>
      <c r="BV179" s="188" t="str">
        <f t="shared" si="63"/>
        <v/>
      </c>
      <c r="BW179" s="188" t="str">
        <f t="shared" si="8"/>
        <v/>
      </c>
      <c r="BX179" s="188" t="str">
        <f t="shared" ca="1" si="64"/>
        <v/>
      </c>
      <c r="BY179" s="181" t="str">
        <f t="shared" ca="1" si="65"/>
        <v/>
      </c>
      <c r="CA179" s="192" t="str">
        <f t="shared" si="76"/>
        <v>N</v>
      </c>
      <c r="CB179" s="192" t="str">
        <f t="shared" si="77"/>
        <v>N</v>
      </c>
      <c r="CC179" s="193">
        <f>IFERROR(INDEX(Program_01!$CE:$CE,MATCH($B179,Program_01!$A:$A,0)),"")</f>
        <v>46281</v>
      </c>
      <c r="CD179" s="193">
        <f t="shared" si="66"/>
        <v>46281</v>
      </c>
      <c r="CG179" s="194">
        <f>IFERROR(INDEX(Program_01!$AT:$AT,MATCH($B179,Program_01!$A:$A,0)),"")</f>
        <v>0</v>
      </c>
      <c r="CH179" s="194">
        <f>IFERROR(INDEX(Program_01!$AX:$AX,MATCH($B179,Program_01!$A:$A,0)),"")</f>
        <v>0</v>
      </c>
    </row>
    <row r="180" spans="1:86" s="187" customFormat="1" ht="102">
      <c r="A180" s="174" t="s">
        <v>1</v>
      </c>
      <c r="B180" s="175">
        <f t="shared" si="72"/>
        <v>162</v>
      </c>
      <c r="C180" s="176" t="str">
        <f>IFERROR(INDEX(Program_01!$B:$B,MATCH($B180,Program_01!$A:$A,0)),"")</f>
        <v>FULL TIA EAR</v>
      </c>
      <c r="D180" s="176" t="str">
        <f>IFERROR(INDEX(Program_01!$D:$D,MATCH($B180,Program_01!$A:$A,0)),"")</f>
        <v>1TB01002F04</v>
      </c>
      <c r="E180" s="176" t="str">
        <f>IFERROR(INDEX(Program_01!$E:$E,MATCH($B180,Program_01!$A:$A,0)),"")</f>
        <v>1.TB.01.002.99</v>
      </c>
      <c r="F180" s="176" t="str">
        <f>IFERROR(INDEX(Program_01!$F:$F,MATCH($B180,Program_01!$A:$A,0)),"")</f>
        <v>Marina Lifestyle Hotel &amp; Village</v>
      </c>
      <c r="G180" s="176" t="str">
        <f>IFERROR(INDEX(Program_01!$G:$G,MATCH($B180,Program_01!$A:$A,0)),"")</f>
        <v>Supply and Installation of the Vertical Transportation System Works</v>
      </c>
      <c r="H180" s="176" t="str">
        <f>IFERROR(INDEX(Program_01!$H:$H,MATCH($B180,Program_01!$A:$A,0)),"")</f>
        <v>Elevator Systems Contracting Company (ESCCO)</v>
      </c>
      <c r="I180" s="176" t="str">
        <f t="shared" si="67"/>
        <v>EOT</v>
      </c>
      <c r="J180" s="176">
        <f>IFERROR(INDEX(Program_01!$I:$I,MATCH($B180,Program_01!$A:$A,0)),"")</f>
        <v>1</v>
      </c>
      <c r="K180" s="176">
        <f>IFERROR(INDEX(Program_01!$J:$J,MATCH($B180,Program_01!$A:$A,0)),"")</f>
        <v>0</v>
      </c>
      <c r="L180" s="176">
        <f>IFERROR(INDEX(Program_01!$K:$K,MATCH($B180,Program_01!$A:$A,0)),"")</f>
        <v>0</v>
      </c>
      <c r="M180" s="176">
        <f>IFERROR(INDEX(Program_01!$L:$L,MATCH($B180,Program_01!$A:$A,0)),"")</f>
        <v>0</v>
      </c>
      <c r="N180" s="176">
        <f>IFERROR(INDEX(Program_01!$L:$L,MATCH($B180,Program_01!$A:$A,0)),"")</f>
        <v>0</v>
      </c>
      <c r="O180" s="176">
        <f>IFERROR(INDEX(Program_01!$N:$N,MATCH($B180,Program_01!$A:$A,0)),"")</f>
        <v>0</v>
      </c>
      <c r="P180" s="178"/>
      <c r="Q180" s="179" t="str">
        <f>IFERROR(INDEX(Program_01!$C:$C,MATCH($B180,Program_01!$A:$A,0)),"")</f>
        <v>Extension of Time- EOT 1</v>
      </c>
      <c r="R180" s="176" t="str">
        <f>IFERROR(INDEX(Program_01!$V:$V,MATCH($B180,Program_01!$A:$A,0)),"")</f>
        <v>ESC01002-TRANSMIT-000098</v>
      </c>
      <c r="S180" s="180">
        <f>IFERROR(INDEX(Program_01!$W:$W,MATCH($B180,Program_01!$A:$A,0)),"")</f>
        <v>46289</v>
      </c>
      <c r="T180" s="178"/>
      <c r="U180" s="176">
        <f>IFERROR(INDEX(Program_01!$Z:$Z,MATCH($B180,Program_01!$A:$A,0)),"")</f>
        <v>0</v>
      </c>
      <c r="V180" s="181">
        <f>IFERROR(INDEX(Program_01!$AA:$AA,MATCH($B180,Program_01!$A:$A,0)),"")</f>
        <v>0</v>
      </c>
      <c r="W180" s="182">
        <f t="shared" ca="1" si="0"/>
        <v>11</v>
      </c>
      <c r="X180" s="51"/>
      <c r="Y180" s="179">
        <f>IFERROR(INDEX(Program_01!$BD:$BD,MATCH($B180,Program_01!$A:$A,0)),"")</f>
        <v>0</v>
      </c>
      <c r="Z180" s="51"/>
      <c r="AA180" s="183" t="str">
        <f>IFERROR(IF((INDEX(Program_01!$AD:$AD,MATCH($B180,Program_01!$A:$A,0))=""),INDEX(Program_01!$V:$V,MATCH($B180,Program_01!$A:$A,0)),INDEX(Program_01!$AD:$AD,MATCH($B180,Program_01!$A:$A,0))),"")</f>
        <v>ESC01002-TRANSMIT-000098</v>
      </c>
      <c r="AB180" s="147">
        <f>IFERROR(IF((INDEX(Program_01!$AE:$AE,MATCH($B180,Program_01!$A:$A,0))=""),INDEX(Program_01!$W:$W,MATCH($B180,Program_01!$A:$A,0)),INDEX(Program_01!$AE:$AE,MATCH($B180,Program_01!$A:$A,0))),"")</f>
        <v>46289</v>
      </c>
      <c r="AC180" s="183">
        <f>IFERROR(IF($I180="EOT",INDEX(Program_01!$AN:$AN,MATCH($B180,Program_01!$A:$A,0)),INDEX(Program_01!$AY:$AY,MATCH($B180,Program_01!$A:$A,0))),"")</f>
        <v>0</v>
      </c>
      <c r="AD180" s="181">
        <f>IFERROR(IF($I180="EOT",INDEX(Program_01!$AO:$AO,MATCH($B180,Program_01!$A:$A,0)),INDEX(Program_01!$AZ:$AZ,MATCH($B180,Program_01!$A:$A,0))),"")</f>
        <v>0</v>
      </c>
      <c r="AE180" s="51"/>
      <c r="AF180" s="183"/>
      <c r="AG180" s="181"/>
      <c r="AH180" s="183" t="str">
        <f>IF(OR($D180="",$AS180="VO Issued",$AS180="Open"),"",IF(OR($AC180="Rejected",$AC180="Superseded",$AC180="Dealt Separately"),$AC180,IF($I180="EOT",INDEX(Program_01!$AR:$AR,MATCH($B180,Program_01!$A:$A,0)),INDEX(Program_01!$BB:$BB,MATCH($B180,Program_01!$A:$A,0)))))</f>
        <v/>
      </c>
      <c r="AI180" s="181" t="str">
        <f>IF(OR($A180="",$B180="",$I180="",$AS180="VO Issued",$AS180="Open"),"",IF(OR($AD180="N/A"),$AD180,IF($I180="EOT",INDEX(Program_01!$AS:$AS,MATCH($B180,Program_01!$A:$A,0)),INDEX(Program_01!$BC:$BC,MATCH($B180,Program_01!$A:$A,0)))))</f>
        <v/>
      </c>
      <c r="AJ180" s="183" t="str">
        <f>IF(OR($D180="",$I180="",$AS180="Determination Issued",$AS180="Rejected",$AS180="Open"),"",IF(OR($AH180="Rejected",$AH180="Dealt Separately",$AH180="Superseded",$AH180="Withdrawn"),"N/A",IF($I180="EOT",INDEX(Program_01!AR:AR,MATCH($B180,Program_01!A:A,0)),INDEX(Program_01!BB:BB,MATCH($B180,Program_01!A:A,0)))))</f>
        <v/>
      </c>
      <c r="AK180" s="181" t="str">
        <f>IF(OR($A180="",$B180="",$I180="",$AS180="Determination Issued",$AS180="Rejected",$AS180="Open"),"",IF($AJ180="N/A","N/A",IF($I180="EOT",INDEX(Program_01!AS:AS,MATCH($B180,Program_01!A:A,0)),INDEX(Program_01!BC:BC,MATCH($B180,Program_01!A:A,0)))))</f>
        <v/>
      </c>
      <c r="AL180" s="51"/>
      <c r="AM180" s="184">
        <f>IFERROR(INDEX(Program_01!$BT:$BT,MATCH($B180,Program_01!$A:$A,0)),"")</f>
        <v>0</v>
      </c>
      <c r="AN180" s="184">
        <f>IFERROR(INDEX(Program_01!$BU:$BU,MATCH($B180,Program_01!$A:$A,0)),"")</f>
        <v>0</v>
      </c>
      <c r="AO180" s="184">
        <f>IFERROR(INDEX(Program_01!$BV:$BV,MATCH($B180,Program_01!$A:$A,0)),"")</f>
        <v>0</v>
      </c>
      <c r="AP180" s="51" t="str">
        <f t="shared" si="73"/>
        <v/>
      </c>
      <c r="AQ180" s="184">
        <f>IFERROR(INDEX(Program_01!$BN:$BN,MATCH($B180,Program_01!$A:$A,0)),"")</f>
        <v>0</v>
      </c>
      <c r="AR180" s="184" t="str">
        <f>IFERROR(INDEX(Program_01!$BO:$BO,MATCH($B180,Program_01!$A:$A,0)),"")</f>
        <v>Pending</v>
      </c>
      <c r="AS180" s="184" t="str">
        <f>IFERROR(INDEX(Program_01!$BP:$BP,MATCH($B180,Program_01!$A:$A,0)),"")</f>
        <v>Open</v>
      </c>
      <c r="AT180" s="185" t="str">
        <f>IFERROR(INDEX(Program_01!$BQ:$BQ,MATCH($B180,Program_01!$A:$A,0)),"")</f>
        <v>Commercial Team</v>
      </c>
      <c r="AU180" s="179" t="str">
        <f>IFERROR(INDEX(Program_01!$BR:$BR,MATCH($B180,Program_01!$A:$A,0)),"")</f>
        <v>24 Sep 2026: Contractor submitted the EOT claim/update based on a cut-off date of 04 September 2026, requesting a revised Completion Date of 04 October 2026.
27 Sep 2026: The Planning Team reviewed the submission and confirmed that the proposed methodology was not acceptable. The Contractor was instructed to revise and resubmit the assessment.
04 Oct 2026: A consolidated initial response incorporating both Planning and Commercial comments is currently being prepared. The response is targeted for issuance by 15 October 2026, which is within the contractual 21-day review period.</v>
      </c>
      <c r="AV180" s="186" t="str">
        <f t="shared" si="58"/>
        <v/>
      </c>
      <c r="AW180" s="186" t="str">
        <f t="shared" si="74"/>
        <v>OPEN</v>
      </c>
      <c r="AX180" s="186" t="str">
        <f t="shared" si="59"/>
        <v>OPEN</v>
      </c>
      <c r="AY180" s="181">
        <f t="shared" si="68"/>
        <v>46289</v>
      </c>
      <c r="AZ180" s="181" t="str">
        <f t="shared" si="60"/>
        <v/>
      </c>
      <c r="BA180" s="181" t="str">
        <f t="shared" si="4"/>
        <v/>
      </c>
      <c r="BC180" s="181">
        <f>IFERROR(INDEX(Program_01!BF:BF,MATCH($B180,Program_01!$A:$A,0)),"")</f>
        <v>46289</v>
      </c>
      <c r="BD180" s="188">
        <f ca="1">IFERROR(INDEX(Program_01!BG:BG,MATCH($B180,Program_01!$A:$A,0)),"")</f>
        <v>11</v>
      </c>
      <c r="BE180" s="181">
        <f>IFERROR(INDEX(Program_01!BH:BH,MATCH($B180,Program_01!$A:$A,0)),"")</f>
        <v>0</v>
      </c>
      <c r="BF180" s="189">
        <f ca="1">IFERROR(INDEX(Program_01!BI:BI,MATCH($B180,Program_01!$A:$A,0)),"")</f>
        <v>0</v>
      </c>
      <c r="BG180" s="181">
        <f>IFERROR(INDEX(Program_01!BJ:BJ,MATCH($B180,Program_01!$A:$A,0)),"")</f>
        <v>0</v>
      </c>
      <c r="BH180" s="189">
        <f ca="1">IFERROR(INDEX(Program_01!BK:BK,MATCH($B180,Program_01!$A:$A,0)),"")</f>
        <v>0</v>
      </c>
      <c r="BI180" s="181">
        <f>IFERROR(INDEX(Program_01!BL:BL,MATCH($B180,Program_01!$A:$A,0)),"")</f>
        <v>0</v>
      </c>
      <c r="BK180" s="190" t="str">
        <f>IFERROR(IF(INDEX(Program_01!$BX:$BX,MATCH($B180,Program_01!$A:$A,0))=DATE(1900,1,0),"",INDEX(Program_01!$BX:$BX,MATCH($B180,Program_01!$A:$A,0))),"")</f>
        <v/>
      </c>
      <c r="BL180" s="190" t="str">
        <f>IFERROR(IF(INDEX(Program_01!$BY:$BY,MATCH($B180,Program_01!$A:$A,0))=DATE(1900,1,0),"",INDEX(Program_01!$BY:$BY,MATCH($B180,Program_01!$A:$A,0))),"")</f>
        <v/>
      </c>
      <c r="BM180" s="188" t="str">
        <f t="shared" ca="1" si="69"/>
        <v/>
      </c>
      <c r="BN180" s="191">
        <f t="shared" ca="1" si="70"/>
        <v>11</v>
      </c>
      <c r="BO180" s="188" t="str">
        <f t="shared" si="61"/>
        <v/>
      </c>
      <c r="BP180" s="188" t="str">
        <f t="shared" si="6"/>
        <v/>
      </c>
      <c r="BQ180" s="188" t="str">
        <f t="shared" ca="1" si="71"/>
        <v/>
      </c>
      <c r="BR180" s="181" t="str">
        <f t="shared" ca="1" si="62"/>
        <v/>
      </c>
      <c r="BT180" s="190" t="str">
        <f>IFERROR(IF(INDEX(Program_01!$BZ:$BZ,MATCH($B180,Program_01!$A:$A,0))=DATE(1900,1,0),"",INDEX(Program_01!$BZ:$BZ,MATCH($B180,Program_01!$A:$A,0))),"")</f>
        <v/>
      </c>
      <c r="BU180" s="182" t="str">
        <f t="shared" ca="1" si="75"/>
        <v/>
      </c>
      <c r="BV180" s="188" t="str">
        <f t="shared" si="63"/>
        <v/>
      </c>
      <c r="BW180" s="188" t="str">
        <f t="shared" si="8"/>
        <v/>
      </c>
      <c r="BX180" s="188" t="str">
        <f t="shared" ca="1" si="64"/>
        <v/>
      </c>
      <c r="BY180" s="181" t="str">
        <f t="shared" ca="1" si="65"/>
        <v/>
      </c>
      <c r="CA180" s="192" t="str">
        <f t="shared" si="76"/>
        <v>N</v>
      </c>
      <c r="CB180" s="192" t="str">
        <f t="shared" si="77"/>
        <v>N</v>
      </c>
      <c r="CC180" s="193">
        <f>IFERROR(INDEX(Program_01!$CE:$CE,MATCH($B180,Program_01!$A:$A,0)),"")</f>
        <v>46299</v>
      </c>
      <c r="CD180" s="193">
        <f t="shared" si="66"/>
        <v>46299</v>
      </c>
      <c r="CG180" s="194">
        <f>IFERROR(INDEX(Program_01!$AT:$AT,MATCH($B180,Program_01!$A:$A,0)),"")</f>
        <v>0</v>
      </c>
      <c r="CH180" s="194">
        <f>IFERROR(INDEX(Program_01!$AX:$AX,MATCH($B180,Program_01!$A:$A,0)),"")</f>
        <v>0</v>
      </c>
    </row>
    <row r="181" spans="1:86" s="187" customFormat="1" ht="17">
      <c r="A181" s="174" t="s">
        <v>1</v>
      </c>
      <c r="B181" s="175">
        <f t="shared" si="72"/>
        <v>163</v>
      </c>
      <c r="C181" s="176" t="str">
        <f>IFERROR(INDEX(Program_01!$B:$B,MATCH($B181,Program_01!$A:$A,0)),"")</f>
        <v/>
      </c>
      <c r="D181" s="176" t="str">
        <f>IFERROR(INDEX(Program_01!$D:$D,MATCH($B181,Program_01!$A:$A,0)),"")</f>
        <v/>
      </c>
      <c r="E181" s="176" t="str">
        <f>IFERROR(INDEX(Program_01!$E:$E,MATCH($B181,Program_01!$A:$A,0)),"")</f>
        <v/>
      </c>
      <c r="F181" s="176" t="str">
        <f>IFERROR(INDEX(Program_01!$F:$F,MATCH($B181,Program_01!$A:$A,0)),"")</f>
        <v/>
      </c>
      <c r="G181" s="176" t="str">
        <f>IFERROR(INDEX(Program_01!$G:$G,MATCH($B181,Program_01!$A:$A,0)),"")</f>
        <v/>
      </c>
      <c r="H181" s="176" t="str">
        <f>IFERROR(INDEX(Program_01!$H:$H,MATCH($B181,Program_01!$A:$A,0)),"")</f>
        <v/>
      </c>
      <c r="I181" s="176" t="str">
        <f t="shared" si="67"/>
        <v/>
      </c>
      <c r="J181" s="176" t="str">
        <f>IFERROR(INDEX(Program_01!$I:$I,MATCH($B181,Program_01!$A:$A,0)),"")</f>
        <v/>
      </c>
      <c r="K181" s="176" t="str">
        <f>IFERROR(INDEX(Program_01!$J:$J,MATCH($B181,Program_01!$A:$A,0)),"")</f>
        <v/>
      </c>
      <c r="L181" s="176" t="str">
        <f>IFERROR(INDEX(Program_01!$K:$K,MATCH($B181,Program_01!$A:$A,0)),"")</f>
        <v/>
      </c>
      <c r="M181" s="176" t="str">
        <f>IFERROR(INDEX(Program_01!$L:$L,MATCH($B181,Program_01!$A:$A,0)),"")</f>
        <v/>
      </c>
      <c r="N181" s="176" t="str">
        <f>IFERROR(INDEX(Program_01!$L:$L,MATCH($B181,Program_01!$A:$A,0)),"")</f>
        <v/>
      </c>
      <c r="O181" s="176" t="str">
        <f>IFERROR(INDEX(Program_01!$N:$N,MATCH($B181,Program_01!$A:$A,0)),"")</f>
        <v/>
      </c>
      <c r="P181" s="178"/>
      <c r="Q181" s="179" t="str">
        <f>IFERROR(INDEX(Program_01!$C:$C,MATCH($B181,Program_01!$A:$A,0)),"")</f>
        <v/>
      </c>
      <c r="R181" s="176" t="str">
        <f>IFERROR(INDEX(Program_01!$V:$V,MATCH($B181,Program_01!$A:$A,0)),"")</f>
        <v/>
      </c>
      <c r="S181" s="180" t="str">
        <f>IFERROR(INDEX(Program_01!$W:$W,MATCH($B181,Program_01!$A:$A,0)),"")</f>
        <v/>
      </c>
      <c r="T181" s="178"/>
      <c r="U181" s="176" t="str">
        <f>IFERROR(INDEX(Program_01!$Z:$Z,MATCH($B181,Program_01!$A:$A,0)),"")</f>
        <v/>
      </c>
      <c r="V181" s="181" t="str">
        <f>IFERROR(INDEX(Program_01!$AA:$AA,MATCH($B181,Program_01!$A:$A,0)),"")</f>
        <v/>
      </c>
      <c r="W181" s="182" t="str">
        <f t="shared" ca="1" si="0"/>
        <v/>
      </c>
      <c r="X181" s="51"/>
      <c r="Y181" s="179" t="str">
        <f>IFERROR(INDEX(Program_01!$BD:$BD,MATCH($B181,Program_01!$A:$A,0)),"")</f>
        <v/>
      </c>
      <c r="Z181" s="51"/>
      <c r="AA181" s="183" t="str">
        <f>IFERROR(IF((INDEX(Program_01!$AD:$AD,MATCH($B181,Program_01!$A:$A,0))=""),INDEX(Program_01!$V:$V,MATCH($B181,Program_01!$A:$A,0)),INDEX(Program_01!$AD:$AD,MATCH($B181,Program_01!$A:$A,0))),"")</f>
        <v/>
      </c>
      <c r="AB181" s="147" t="str">
        <f>IFERROR(IF((INDEX(Program_01!$AE:$AE,MATCH($B181,Program_01!$A:$A,0))=""),INDEX(Program_01!$W:$W,MATCH($B181,Program_01!$A:$A,0)),INDEX(Program_01!$AE:$AE,MATCH($B181,Program_01!$A:$A,0))),"")</f>
        <v/>
      </c>
      <c r="AC181" s="183" t="str">
        <f>IFERROR(IF($I181="EOT",INDEX(Program_01!$AN:$AN,MATCH($B181,Program_01!$A:$A,0)),INDEX(Program_01!$AY:$AY,MATCH($B181,Program_01!$A:$A,0))),"")</f>
        <v/>
      </c>
      <c r="AD181" s="181" t="str">
        <f>IFERROR(IF($I181="EOT",INDEX(Program_01!$AO:$AO,MATCH($B181,Program_01!$A:$A,0)),INDEX(Program_01!$AZ:$AZ,MATCH($B181,Program_01!$A:$A,0))),"")</f>
        <v/>
      </c>
      <c r="AE181" s="51"/>
      <c r="AF181" s="183"/>
      <c r="AG181" s="181"/>
      <c r="AH181" s="183" t="str">
        <f>IF(OR($D181="",$AS181="VO Issued",$AS181="Open"),"",IF(OR($AC181="Rejected",$AC181="Superseded",$AC181="Dealt Separately"),$AC181,IF($I181="EOT",INDEX(Program_01!$AR:$AR,MATCH($B181,Program_01!$A:$A,0)),INDEX(Program_01!$BB:$BB,MATCH($B181,Program_01!$A:$A,0)))))</f>
        <v/>
      </c>
      <c r="AI181" s="181" t="str">
        <f>IF(OR($A181="",$B181="",$I181="",$AS181="VO Issued",$AS181="Open"),"",IF(OR($AD181="N/A"),$AD181,IF($I181="EOT",INDEX(Program_01!$AS:$AS,MATCH($B181,Program_01!$A:$A,0)),INDEX(Program_01!$BC:$BC,MATCH($B181,Program_01!$A:$A,0)))))</f>
        <v/>
      </c>
      <c r="AJ181" s="183" t="str">
        <f>IF(OR($D181="",$I181="",$AS181="Determination Issued",$AS181="Rejected",$AS181="Open"),"",IF(OR($AH181="Rejected",$AH181="Dealt Separately",$AH181="Superseded",$AH181="Withdrawn"),"N/A",IF($I181="EOT",INDEX(Program_01!AR:AR,MATCH($B181,Program_01!A:A,0)),INDEX(Program_01!BB:BB,MATCH($B181,Program_01!A:A,0)))))</f>
        <v/>
      </c>
      <c r="AK181" s="181" t="str">
        <f>IF(OR($A181="",$B181="",$I181="",$AS181="Determination Issued",$AS181="Rejected",$AS181="Open"),"",IF($AJ181="N/A","N/A",IF($I181="EOT",INDEX(Program_01!AS:AS,MATCH($B181,Program_01!A:A,0)),INDEX(Program_01!BC:BC,MATCH($B181,Program_01!A:A,0)))))</f>
        <v/>
      </c>
      <c r="AL181" s="51"/>
      <c r="AM181" s="184" t="str">
        <f>IFERROR(INDEX(Program_01!$BT:$BT,MATCH($B181,Program_01!$A:$A,0)),"")</f>
        <v/>
      </c>
      <c r="AN181" s="184" t="str">
        <f>IFERROR(INDEX(Program_01!$BU:$BU,MATCH($B181,Program_01!$A:$A,0)),"")</f>
        <v/>
      </c>
      <c r="AO181" s="184" t="str">
        <f>IFERROR(INDEX(Program_01!$BV:$BV,MATCH($B181,Program_01!$A:$A,0)),"")</f>
        <v/>
      </c>
      <c r="AP181" s="51" t="str">
        <f t="shared" si="73"/>
        <v/>
      </c>
      <c r="AQ181" s="184" t="str">
        <f>IFERROR(INDEX(Program_01!$BN:$BN,MATCH($B181,Program_01!$A:$A,0)),"")</f>
        <v/>
      </c>
      <c r="AR181" s="184" t="str">
        <f>IFERROR(INDEX(Program_01!$BO:$BO,MATCH($B181,Program_01!$A:$A,0)),"")</f>
        <v/>
      </c>
      <c r="AS181" s="184" t="str">
        <f>IFERROR(INDEX(Program_01!$BP:$BP,MATCH($B181,Program_01!$A:$A,0)),"")</f>
        <v/>
      </c>
      <c r="AT181" s="185" t="str">
        <f>IFERROR(INDEX(Program_01!$BQ:$BQ,MATCH($B181,Program_01!$A:$A,0)),"")</f>
        <v/>
      </c>
      <c r="AU181" s="179" t="str">
        <f>IFERROR(INDEX(Program_01!$BR:$BR,MATCH($B181,Program_01!$A:$A,0)),"")</f>
        <v/>
      </c>
      <c r="AV181" s="186" t="str">
        <f t="shared" si="58"/>
        <v/>
      </c>
      <c r="AW181" s="186" t="str">
        <f t="shared" si="74"/>
        <v/>
      </c>
      <c r="AX181" s="186" t="str">
        <f t="shared" si="59"/>
        <v/>
      </c>
      <c r="AY181" s="181" t="str">
        <f t="shared" si="68"/>
        <v/>
      </c>
      <c r="AZ181" s="181" t="str">
        <f t="shared" si="60"/>
        <v/>
      </c>
      <c r="BA181" s="181" t="str">
        <f t="shared" si="4"/>
        <v/>
      </c>
      <c r="BC181" s="181" t="str">
        <f>IFERROR(INDEX(Program_01!BF:BF,MATCH($B181,Program_01!$A:$A,0)),"")</f>
        <v/>
      </c>
      <c r="BD181" s="188" t="str">
        <f>IFERROR(INDEX(Program_01!BG:BG,MATCH($B181,Program_01!$A:$A,0)),"")</f>
        <v/>
      </c>
      <c r="BE181" s="181" t="str">
        <f>IFERROR(INDEX(Program_01!BH:BH,MATCH($B181,Program_01!$A:$A,0)),"")</f>
        <v/>
      </c>
      <c r="BF181" s="189" t="str">
        <f>IFERROR(INDEX(Program_01!BI:BI,MATCH($B181,Program_01!$A:$A,0)),"")</f>
        <v/>
      </c>
      <c r="BG181" s="181" t="str">
        <f>IFERROR(INDEX(Program_01!BJ:BJ,MATCH($B181,Program_01!$A:$A,0)),"")</f>
        <v/>
      </c>
      <c r="BH181" s="189" t="str">
        <f>IFERROR(INDEX(Program_01!BK:BK,MATCH($B181,Program_01!$A:$A,0)),"")</f>
        <v/>
      </c>
      <c r="BI181" s="181" t="str">
        <f>IFERROR(INDEX(Program_01!BL:BL,MATCH($B181,Program_01!$A:$A,0)),"")</f>
        <v/>
      </c>
      <c r="BK181" s="190" t="str">
        <f>IFERROR(IF(INDEX(Program_01!$BX:$BX,MATCH($B181,Program_01!$A:$A,0))=DATE(1900,1,0),"",INDEX(Program_01!$BX:$BX,MATCH($B181,Program_01!$A:$A,0))),"")</f>
        <v/>
      </c>
      <c r="BL181" s="190" t="str">
        <f>IFERROR(IF(INDEX(Program_01!$BY:$BY,MATCH($B181,Program_01!$A:$A,0))=DATE(1900,1,0),"",INDEX(Program_01!$BY:$BY,MATCH($B181,Program_01!$A:$A,0))),"")</f>
        <v/>
      </c>
      <c r="BM181" s="188" t="str">
        <f t="shared" ca="1" si="69"/>
        <v/>
      </c>
      <c r="BN181" s="191" t="str">
        <f t="shared" ca="1" si="70"/>
        <v/>
      </c>
      <c r="BO181" s="188" t="str">
        <f t="shared" si="61"/>
        <v/>
      </c>
      <c r="BP181" s="188" t="str">
        <f t="shared" si="6"/>
        <v/>
      </c>
      <c r="BQ181" s="188" t="str">
        <f t="shared" ca="1" si="71"/>
        <v/>
      </c>
      <c r="BR181" s="181" t="str">
        <f t="shared" ca="1" si="62"/>
        <v/>
      </c>
      <c r="BT181" s="190" t="str">
        <f>IFERROR(IF(INDEX(Program_01!$BZ:$BZ,MATCH($B181,Program_01!$A:$A,0))=DATE(1900,1,0),"",INDEX(Program_01!$BZ:$BZ,MATCH($B181,Program_01!$A:$A,0))),"")</f>
        <v/>
      </c>
      <c r="BU181" s="182" t="str">
        <f t="shared" ca="1" si="75"/>
        <v/>
      </c>
      <c r="BV181" s="188" t="str">
        <f t="shared" si="63"/>
        <v/>
      </c>
      <c r="BW181" s="188" t="str">
        <f t="shared" si="8"/>
        <v/>
      </c>
      <c r="BX181" s="188" t="str">
        <f t="shared" ca="1" si="64"/>
        <v/>
      </c>
      <c r="BY181" s="181" t="str">
        <f t="shared" ca="1" si="65"/>
        <v/>
      </c>
      <c r="CA181" s="192" t="str">
        <f t="shared" si="76"/>
        <v/>
      </c>
      <c r="CB181" s="192" t="str">
        <f t="shared" si="77"/>
        <v/>
      </c>
      <c r="CC181" s="193" t="str">
        <f>IFERROR(INDEX(Program_01!$CE:$CE,MATCH($B181,Program_01!$A:$A,0)),"")</f>
        <v/>
      </c>
      <c r="CD181" s="193">
        <f t="shared" si="66"/>
        <v>0</v>
      </c>
      <c r="CG181" s="194" t="str">
        <f>IFERROR(INDEX(Program_01!$AT:$AT,MATCH($B181,Program_01!$A:$A,0)),"")</f>
        <v/>
      </c>
      <c r="CH181" s="194" t="str">
        <f>IFERROR(INDEX(Program_01!$AX:$AX,MATCH($B181,Program_01!$A:$A,0)),"")</f>
        <v/>
      </c>
    </row>
    <row r="182" spans="1:86" s="187" customFormat="1" ht="17">
      <c r="A182" s="174" t="s">
        <v>1</v>
      </c>
      <c r="B182" s="175">
        <f t="shared" si="72"/>
        <v>164</v>
      </c>
      <c r="C182" s="176" t="str">
        <f>IFERROR(INDEX(Program_01!$B:$B,MATCH($B182,Program_01!$A:$A,0)),"")</f>
        <v/>
      </c>
      <c r="D182" s="176" t="str">
        <f>IFERROR(INDEX(Program_01!$D:$D,MATCH($B182,Program_01!$A:$A,0)),"")</f>
        <v/>
      </c>
      <c r="E182" s="176" t="str">
        <f>IFERROR(INDEX(Program_01!$E:$E,MATCH($B182,Program_01!$A:$A,0)),"")</f>
        <v/>
      </c>
      <c r="F182" s="176" t="str">
        <f>IFERROR(INDEX(Program_01!$F:$F,MATCH($B182,Program_01!$A:$A,0)),"")</f>
        <v/>
      </c>
      <c r="G182" s="176" t="str">
        <f>IFERROR(INDEX(Program_01!$G:$G,MATCH($B182,Program_01!$A:$A,0)),"")</f>
        <v/>
      </c>
      <c r="H182" s="176" t="str">
        <f>IFERROR(INDEX(Program_01!$H:$H,MATCH($B182,Program_01!$A:$A,0)),"")</f>
        <v/>
      </c>
      <c r="I182" s="176" t="str">
        <f t="shared" si="67"/>
        <v/>
      </c>
      <c r="J182" s="176" t="str">
        <f>IFERROR(INDEX(Program_01!$I:$I,MATCH($B182,Program_01!$A:$A,0)),"")</f>
        <v/>
      </c>
      <c r="K182" s="176" t="str">
        <f>IFERROR(INDEX(Program_01!$J:$J,MATCH($B182,Program_01!$A:$A,0)),"")</f>
        <v/>
      </c>
      <c r="L182" s="176" t="str">
        <f>IFERROR(INDEX(Program_01!$K:$K,MATCH($B182,Program_01!$A:$A,0)),"")</f>
        <v/>
      </c>
      <c r="M182" s="176" t="str">
        <f>IFERROR(INDEX(Program_01!$L:$L,MATCH($B182,Program_01!$A:$A,0)),"")</f>
        <v/>
      </c>
      <c r="N182" s="176" t="str">
        <f>IFERROR(INDEX(Program_01!$L:$L,MATCH($B182,Program_01!$A:$A,0)),"")</f>
        <v/>
      </c>
      <c r="O182" s="176" t="str">
        <f>IFERROR(INDEX(Program_01!$N:$N,MATCH($B182,Program_01!$A:$A,0)),"")</f>
        <v/>
      </c>
      <c r="P182" s="178"/>
      <c r="Q182" s="179" t="str">
        <f>IFERROR(INDEX(Program_01!$C:$C,MATCH($B182,Program_01!$A:$A,0)),"")</f>
        <v/>
      </c>
      <c r="R182" s="176" t="str">
        <f>IFERROR(INDEX(Program_01!$V:$V,MATCH($B182,Program_01!$A:$A,0)),"")</f>
        <v/>
      </c>
      <c r="S182" s="180" t="str">
        <f>IFERROR(INDEX(Program_01!$W:$W,MATCH($B182,Program_01!$A:$A,0)),"")</f>
        <v/>
      </c>
      <c r="T182" s="178"/>
      <c r="U182" s="176" t="str">
        <f>IFERROR(INDEX(Program_01!$Z:$Z,MATCH($B182,Program_01!$A:$A,0)),"")</f>
        <v/>
      </c>
      <c r="V182" s="181" t="str">
        <f>IFERROR(INDEX(Program_01!$AA:$AA,MATCH($B182,Program_01!$A:$A,0)),"")</f>
        <v/>
      </c>
      <c r="W182" s="182" t="str">
        <f t="shared" ca="1" si="0"/>
        <v/>
      </c>
      <c r="X182" s="51"/>
      <c r="Y182" s="179" t="str">
        <f>IFERROR(INDEX(Program_01!$BD:$BD,MATCH($B182,Program_01!$A:$A,0)),"")</f>
        <v/>
      </c>
      <c r="Z182" s="51"/>
      <c r="AA182" s="183" t="str">
        <f>IFERROR(IF((INDEX(Program_01!$AD:$AD,MATCH($B182,Program_01!$A:$A,0))=""),INDEX(Program_01!$V:$V,MATCH($B182,Program_01!$A:$A,0)),INDEX(Program_01!$AD:$AD,MATCH($B182,Program_01!$A:$A,0))),"")</f>
        <v/>
      </c>
      <c r="AB182" s="147" t="str">
        <f>IFERROR(IF((INDEX(Program_01!$AE:$AE,MATCH($B182,Program_01!$A:$A,0))=""),INDEX(Program_01!$W:$W,MATCH($B182,Program_01!$A:$A,0)),INDEX(Program_01!$AE:$AE,MATCH($B182,Program_01!$A:$A,0))),"")</f>
        <v/>
      </c>
      <c r="AC182" s="183" t="str">
        <f>IFERROR(IF($I182="EOT",INDEX(Program_01!$AN:$AN,MATCH($B182,Program_01!$A:$A,0)),INDEX(Program_01!$AY:$AY,MATCH($B182,Program_01!$A:$A,0))),"")</f>
        <v/>
      </c>
      <c r="AD182" s="181" t="str">
        <f>IFERROR(IF($I182="EOT",INDEX(Program_01!$AO:$AO,MATCH($B182,Program_01!$A:$A,0)),INDEX(Program_01!$AZ:$AZ,MATCH($B182,Program_01!$A:$A,0))),"")</f>
        <v/>
      </c>
      <c r="AE182" s="51"/>
      <c r="AF182" s="183"/>
      <c r="AG182" s="181"/>
      <c r="AH182" s="183" t="str">
        <f>IF(OR($D182="",$AS182="VO Issued",$AS182="Open"),"",IF(OR($AC182="Rejected",$AC182="Superseded",$AC182="Dealt Separately"),$AC182,IF($I182="EOT",INDEX(Program_01!$AR:$AR,MATCH($B182,Program_01!$A:$A,0)),INDEX(Program_01!$BB:$BB,MATCH($B182,Program_01!$A:$A,0)))))</f>
        <v/>
      </c>
      <c r="AI182" s="181" t="str">
        <f>IF(OR($A182="",$B182="",$I182="",$AS182="VO Issued",$AS182="Open"),"",IF(OR($AD182="N/A"),$AD182,IF($I182="EOT",INDEX(Program_01!$AS:$AS,MATCH($B182,Program_01!$A:$A,0)),INDEX(Program_01!$BC:$BC,MATCH($B182,Program_01!$A:$A,0)))))</f>
        <v/>
      </c>
      <c r="AJ182" s="183" t="str">
        <f>IF(OR($D182="",$I182="",$AS182="Determination Issued",$AS182="Rejected",$AS182="Open"),"",IF(OR($AH182="Rejected",$AH182="Dealt Separately",$AH182="Superseded",$AH182="Withdrawn"),"N/A",IF($I182="EOT",INDEX(Program_01!AR:AR,MATCH($B182,Program_01!A:A,0)),INDEX(Program_01!BB:BB,MATCH($B182,Program_01!A:A,0)))))</f>
        <v/>
      </c>
      <c r="AK182" s="181" t="str">
        <f>IF(OR($A182="",$B182="",$I182="",$AS182="Determination Issued",$AS182="Rejected",$AS182="Open"),"",IF($AJ182="N/A","N/A",IF($I182="EOT",INDEX(Program_01!AS:AS,MATCH($B182,Program_01!A:A,0)),INDEX(Program_01!BC:BC,MATCH($B182,Program_01!A:A,0)))))</f>
        <v/>
      </c>
      <c r="AL182" s="51"/>
      <c r="AM182" s="184" t="str">
        <f>IFERROR(INDEX(Program_01!$BT:$BT,MATCH($B182,Program_01!$A:$A,0)),"")</f>
        <v/>
      </c>
      <c r="AN182" s="184" t="str">
        <f>IFERROR(INDEX(Program_01!$BU:$BU,MATCH($B182,Program_01!$A:$A,0)),"")</f>
        <v/>
      </c>
      <c r="AO182" s="184" t="str">
        <f>IFERROR(INDEX(Program_01!$BV:$BV,MATCH($B182,Program_01!$A:$A,0)),"")</f>
        <v/>
      </c>
      <c r="AP182" s="51" t="str">
        <f t="shared" si="73"/>
        <v/>
      </c>
      <c r="AQ182" s="184" t="str">
        <f>IFERROR(INDEX(Program_01!$BN:$BN,MATCH($B182,Program_01!$A:$A,0)),"")</f>
        <v/>
      </c>
      <c r="AR182" s="184" t="str">
        <f>IFERROR(INDEX(Program_01!$BO:$BO,MATCH($B182,Program_01!$A:$A,0)),"")</f>
        <v/>
      </c>
      <c r="AS182" s="184" t="str">
        <f>IFERROR(INDEX(Program_01!$BP:$BP,MATCH($B182,Program_01!$A:$A,0)),"")</f>
        <v/>
      </c>
      <c r="AT182" s="185" t="str">
        <f>IFERROR(INDEX(Program_01!$BQ:$BQ,MATCH($B182,Program_01!$A:$A,0)),"")</f>
        <v/>
      </c>
      <c r="AU182" s="179" t="str">
        <f>IFERROR(INDEX(Program_01!$BR:$BR,MATCH($B182,Program_01!$A:$A,0)),"")</f>
        <v/>
      </c>
      <c r="AV182" s="186" t="str">
        <f t="shared" si="58"/>
        <v/>
      </c>
      <c r="AW182" s="186" t="str">
        <f t="shared" si="74"/>
        <v/>
      </c>
      <c r="AX182" s="186" t="str">
        <f t="shared" si="59"/>
        <v/>
      </c>
      <c r="AY182" s="181" t="str">
        <f t="shared" si="68"/>
        <v/>
      </c>
      <c r="AZ182" s="181" t="str">
        <f t="shared" si="60"/>
        <v/>
      </c>
      <c r="BA182" s="181" t="str">
        <f t="shared" si="4"/>
        <v/>
      </c>
      <c r="BC182" s="181" t="str">
        <f>IFERROR(INDEX(Program_01!BF:BF,MATCH($B182,Program_01!$A:$A,0)),"")</f>
        <v/>
      </c>
      <c r="BD182" s="188" t="str">
        <f>IFERROR(INDEX(Program_01!BG:BG,MATCH($B182,Program_01!$A:$A,0)),"")</f>
        <v/>
      </c>
      <c r="BE182" s="181" t="str">
        <f>IFERROR(INDEX(Program_01!BH:BH,MATCH($B182,Program_01!$A:$A,0)),"")</f>
        <v/>
      </c>
      <c r="BF182" s="189" t="str">
        <f>IFERROR(INDEX(Program_01!BI:BI,MATCH($B182,Program_01!$A:$A,0)),"")</f>
        <v/>
      </c>
      <c r="BG182" s="181" t="str">
        <f>IFERROR(INDEX(Program_01!BJ:BJ,MATCH($B182,Program_01!$A:$A,0)),"")</f>
        <v/>
      </c>
      <c r="BH182" s="189" t="str">
        <f>IFERROR(INDEX(Program_01!BK:BK,MATCH($B182,Program_01!$A:$A,0)),"")</f>
        <v/>
      </c>
      <c r="BI182" s="181" t="str">
        <f>IFERROR(INDEX(Program_01!BL:BL,MATCH($B182,Program_01!$A:$A,0)),"")</f>
        <v/>
      </c>
      <c r="BK182" s="190" t="str">
        <f>IFERROR(IF(INDEX(Program_01!$BX:$BX,MATCH($B182,Program_01!$A:$A,0))=DATE(1900,1,0),"",INDEX(Program_01!$BX:$BX,MATCH($B182,Program_01!$A:$A,0))),"")</f>
        <v/>
      </c>
      <c r="BL182" s="190" t="str">
        <f>IFERROR(IF(INDEX(Program_01!$BY:$BY,MATCH($B182,Program_01!$A:$A,0))=DATE(1900,1,0),"",INDEX(Program_01!$BY:$BY,MATCH($B182,Program_01!$A:$A,0))),"")</f>
        <v/>
      </c>
      <c r="BM182" s="188" t="str">
        <f t="shared" ca="1" si="69"/>
        <v/>
      </c>
      <c r="BN182" s="191" t="str">
        <f t="shared" ca="1" si="70"/>
        <v/>
      </c>
      <c r="BO182" s="188" t="str">
        <f t="shared" si="61"/>
        <v/>
      </c>
      <c r="BP182" s="188" t="str">
        <f t="shared" si="6"/>
        <v/>
      </c>
      <c r="BQ182" s="188" t="str">
        <f t="shared" ca="1" si="71"/>
        <v/>
      </c>
      <c r="BR182" s="181" t="str">
        <f t="shared" ca="1" si="62"/>
        <v/>
      </c>
      <c r="BT182" s="190" t="str">
        <f>IFERROR(IF(INDEX(Program_01!$BZ:$BZ,MATCH($B182,Program_01!$A:$A,0))=DATE(1900,1,0),"",INDEX(Program_01!$BZ:$BZ,MATCH($B182,Program_01!$A:$A,0))),"")</f>
        <v/>
      </c>
      <c r="BU182" s="182" t="str">
        <f t="shared" ca="1" si="75"/>
        <v/>
      </c>
      <c r="BV182" s="188" t="str">
        <f t="shared" si="63"/>
        <v/>
      </c>
      <c r="BW182" s="188" t="str">
        <f t="shared" si="8"/>
        <v/>
      </c>
      <c r="BX182" s="188" t="str">
        <f t="shared" ca="1" si="64"/>
        <v/>
      </c>
      <c r="BY182" s="181" t="str">
        <f t="shared" ca="1" si="65"/>
        <v/>
      </c>
      <c r="CA182" s="192" t="str">
        <f t="shared" si="76"/>
        <v/>
      </c>
      <c r="CB182" s="192" t="str">
        <f t="shared" si="77"/>
        <v/>
      </c>
      <c r="CC182" s="193" t="str">
        <f>IFERROR(INDEX(Program_01!$CE:$CE,MATCH($B182,Program_01!$A:$A,0)),"")</f>
        <v/>
      </c>
      <c r="CD182" s="193">
        <f t="shared" si="66"/>
        <v>0</v>
      </c>
      <c r="CG182" s="194" t="str">
        <f>IFERROR(INDEX(Program_01!$AT:$AT,MATCH($B182,Program_01!$A:$A,0)),"")</f>
        <v/>
      </c>
      <c r="CH182" s="194" t="str">
        <f>IFERROR(INDEX(Program_01!$AX:$AX,MATCH($B182,Program_01!$A:$A,0)),"")</f>
        <v/>
      </c>
    </row>
    <row r="183" spans="1:86" s="187" customFormat="1" ht="17">
      <c r="A183" s="174" t="s">
        <v>1</v>
      </c>
      <c r="B183" s="175">
        <f t="shared" si="72"/>
        <v>165</v>
      </c>
      <c r="C183" s="176" t="str">
        <f>IFERROR(INDEX(Program_01!$B:$B,MATCH($B183,Program_01!$A:$A,0)),"")</f>
        <v/>
      </c>
      <c r="D183" s="176" t="str">
        <f>IFERROR(INDEX(Program_01!$D:$D,MATCH($B183,Program_01!$A:$A,0)),"")</f>
        <v/>
      </c>
      <c r="E183" s="176" t="str">
        <f>IFERROR(INDEX(Program_01!$E:$E,MATCH($B183,Program_01!$A:$A,0)),"")</f>
        <v/>
      </c>
      <c r="F183" s="176" t="str">
        <f>IFERROR(INDEX(Program_01!$F:$F,MATCH($B183,Program_01!$A:$A,0)),"")</f>
        <v/>
      </c>
      <c r="G183" s="176" t="str">
        <f>IFERROR(INDEX(Program_01!$G:$G,MATCH($B183,Program_01!$A:$A,0)),"")</f>
        <v/>
      </c>
      <c r="H183" s="176" t="str">
        <f>IFERROR(INDEX(Program_01!$H:$H,MATCH($B183,Program_01!$A:$A,0)),"")</f>
        <v/>
      </c>
      <c r="I183" s="176" t="str">
        <f t="shared" si="67"/>
        <v/>
      </c>
      <c r="J183" s="176" t="str">
        <f>IFERROR(INDEX(Program_01!$I:$I,MATCH($B183,Program_01!$A:$A,0)),"")</f>
        <v/>
      </c>
      <c r="K183" s="176" t="str">
        <f>IFERROR(INDEX(Program_01!$J:$J,MATCH($B183,Program_01!$A:$A,0)),"")</f>
        <v/>
      </c>
      <c r="L183" s="176" t="str">
        <f>IFERROR(INDEX(Program_01!$K:$K,MATCH($B183,Program_01!$A:$A,0)),"")</f>
        <v/>
      </c>
      <c r="M183" s="176" t="str">
        <f>IFERROR(INDEX(Program_01!$L:$L,MATCH($B183,Program_01!$A:$A,0)),"")</f>
        <v/>
      </c>
      <c r="N183" s="176" t="str">
        <f>IFERROR(INDEX(Program_01!$L:$L,MATCH($B183,Program_01!$A:$A,0)),"")</f>
        <v/>
      </c>
      <c r="O183" s="176" t="str">
        <f>IFERROR(INDEX(Program_01!$N:$N,MATCH($B183,Program_01!$A:$A,0)),"")</f>
        <v/>
      </c>
      <c r="P183" s="178"/>
      <c r="Q183" s="179" t="str">
        <f>IFERROR(INDEX(Program_01!$C:$C,MATCH($B183,Program_01!$A:$A,0)),"")</f>
        <v/>
      </c>
      <c r="R183" s="176" t="str">
        <f>IFERROR(INDEX(Program_01!$V:$V,MATCH($B183,Program_01!$A:$A,0)),"")</f>
        <v/>
      </c>
      <c r="S183" s="180" t="str">
        <f>IFERROR(INDEX(Program_01!$W:$W,MATCH($B183,Program_01!$A:$A,0)),"")</f>
        <v/>
      </c>
      <c r="T183" s="178"/>
      <c r="U183" s="176" t="str">
        <f>IFERROR(INDEX(Program_01!$Z:$Z,MATCH($B183,Program_01!$A:$A,0)),"")</f>
        <v/>
      </c>
      <c r="V183" s="181" t="str">
        <f>IFERROR(INDEX(Program_01!$AA:$AA,MATCH($B183,Program_01!$A:$A,0)),"")</f>
        <v/>
      </c>
      <c r="W183" s="182" t="str">
        <f t="shared" ca="1" si="0"/>
        <v/>
      </c>
      <c r="X183" s="51"/>
      <c r="Y183" s="179" t="str">
        <f>IFERROR(INDEX(Program_01!$BD:$BD,MATCH($B183,Program_01!$A:$A,0)),"")</f>
        <v/>
      </c>
      <c r="Z183" s="51"/>
      <c r="AA183" s="183" t="str">
        <f>IFERROR(IF((INDEX(Program_01!$AD:$AD,MATCH($B183,Program_01!$A:$A,0))=""),INDEX(Program_01!$V:$V,MATCH($B183,Program_01!$A:$A,0)),INDEX(Program_01!$AD:$AD,MATCH($B183,Program_01!$A:$A,0))),"")</f>
        <v/>
      </c>
      <c r="AB183" s="147" t="str">
        <f>IFERROR(IF((INDEX(Program_01!$AE:$AE,MATCH($B183,Program_01!$A:$A,0))=""),INDEX(Program_01!$W:$W,MATCH($B183,Program_01!$A:$A,0)),INDEX(Program_01!$AE:$AE,MATCH($B183,Program_01!$A:$A,0))),"")</f>
        <v/>
      </c>
      <c r="AC183" s="183" t="str">
        <f>IFERROR(IF($I183="EOT",INDEX(Program_01!$AN:$AN,MATCH($B183,Program_01!$A:$A,0)),INDEX(Program_01!$AY:$AY,MATCH($B183,Program_01!$A:$A,0))),"")</f>
        <v/>
      </c>
      <c r="AD183" s="181" t="str">
        <f>IFERROR(IF($I183="EOT",INDEX(Program_01!$AO:$AO,MATCH($B183,Program_01!$A:$A,0)),INDEX(Program_01!$AZ:$AZ,MATCH($B183,Program_01!$A:$A,0))),"")</f>
        <v/>
      </c>
      <c r="AE183" s="51"/>
      <c r="AF183" s="183"/>
      <c r="AG183" s="181"/>
      <c r="AH183" s="183" t="str">
        <f>IF(OR($D183="",$AS183="VO Issued",$AS183="Open"),"",IF(OR($AC183="Rejected",$AC183="Superseded",$AC183="Dealt Separately"),$AC183,IF($I183="EOT",INDEX(Program_01!$AR:$AR,MATCH($B183,Program_01!$A:$A,0)),INDEX(Program_01!$BB:$BB,MATCH($B183,Program_01!$A:$A,0)))))</f>
        <v/>
      </c>
      <c r="AI183" s="181" t="str">
        <f>IF(OR($A183="",$B183="",$I183="",$AS183="VO Issued",$AS183="Open"),"",IF(OR($AD183="N/A"),$AD183,IF($I183="EOT",INDEX(Program_01!$AS:$AS,MATCH($B183,Program_01!$A:$A,0)),INDEX(Program_01!$BC:$BC,MATCH($B183,Program_01!$A:$A,0)))))</f>
        <v/>
      </c>
      <c r="AJ183" s="183" t="str">
        <f>IF(OR($D183="",$I183="",$AS183="Determination Issued",$AS183="Rejected",$AS183="Open"),"",IF(OR($AH183="Rejected",$AH183="Dealt Separately",$AH183="Superseded",$AH183="Withdrawn"),"N/A",IF($I183="EOT",INDEX(Program_01!AR:AR,MATCH($B183,Program_01!A:A,0)),INDEX(Program_01!BB:BB,MATCH($B183,Program_01!A:A,0)))))</f>
        <v/>
      </c>
      <c r="AK183" s="181" t="str">
        <f>IF(OR($A183="",$B183="",$I183="",$AS183="Determination Issued",$AS183="Rejected",$AS183="Open"),"",IF($AJ183="N/A","N/A",IF($I183="EOT",INDEX(Program_01!AS:AS,MATCH($B183,Program_01!A:A,0)),INDEX(Program_01!BC:BC,MATCH($B183,Program_01!A:A,0)))))</f>
        <v/>
      </c>
      <c r="AL183" s="51"/>
      <c r="AM183" s="184" t="str">
        <f>IFERROR(INDEX(Program_01!$BT:$BT,MATCH($B183,Program_01!$A:$A,0)),"")</f>
        <v/>
      </c>
      <c r="AN183" s="184" t="str">
        <f>IFERROR(INDEX(Program_01!$BU:$BU,MATCH($B183,Program_01!$A:$A,0)),"")</f>
        <v/>
      </c>
      <c r="AO183" s="184" t="str">
        <f>IFERROR(INDEX(Program_01!$BV:$BV,MATCH($B183,Program_01!$A:$A,0)),"")</f>
        <v/>
      </c>
      <c r="AP183" s="51" t="str">
        <f t="shared" si="73"/>
        <v/>
      </c>
      <c r="AQ183" s="184" t="str">
        <f>IFERROR(INDEX(Program_01!$BN:$BN,MATCH($B183,Program_01!$A:$A,0)),"")</f>
        <v/>
      </c>
      <c r="AR183" s="184" t="str">
        <f>IFERROR(INDEX(Program_01!$BO:$BO,MATCH($B183,Program_01!$A:$A,0)),"")</f>
        <v/>
      </c>
      <c r="AS183" s="184" t="str">
        <f>IFERROR(INDEX(Program_01!$BP:$BP,MATCH($B183,Program_01!$A:$A,0)),"")</f>
        <v/>
      </c>
      <c r="AT183" s="185" t="str">
        <f>IFERROR(INDEX(Program_01!$BQ:$BQ,MATCH($B183,Program_01!$A:$A,0)),"")</f>
        <v/>
      </c>
      <c r="AU183" s="179" t="str">
        <f>IFERROR(INDEX(Program_01!$BR:$BR,MATCH($B183,Program_01!$A:$A,0)),"")</f>
        <v/>
      </c>
      <c r="AV183" s="186" t="str">
        <f t="shared" si="58"/>
        <v/>
      </c>
      <c r="AW183" s="186" t="str">
        <f t="shared" si="74"/>
        <v/>
      </c>
      <c r="AX183" s="186" t="str">
        <f t="shared" si="59"/>
        <v/>
      </c>
      <c r="AY183" s="181" t="str">
        <f t="shared" si="68"/>
        <v/>
      </c>
      <c r="AZ183" s="181" t="str">
        <f t="shared" si="60"/>
        <v/>
      </c>
      <c r="BA183" s="181" t="str">
        <f t="shared" si="4"/>
        <v/>
      </c>
      <c r="BC183" s="181" t="str">
        <f>IFERROR(INDEX(Program_01!BF:BF,MATCH($B183,Program_01!$A:$A,0)),"")</f>
        <v/>
      </c>
      <c r="BD183" s="188" t="str">
        <f>IFERROR(INDEX(Program_01!BG:BG,MATCH($B183,Program_01!$A:$A,0)),"")</f>
        <v/>
      </c>
      <c r="BE183" s="181" t="str">
        <f>IFERROR(INDEX(Program_01!BH:BH,MATCH($B183,Program_01!$A:$A,0)),"")</f>
        <v/>
      </c>
      <c r="BF183" s="189" t="str">
        <f>IFERROR(INDEX(Program_01!BI:BI,MATCH($B183,Program_01!$A:$A,0)),"")</f>
        <v/>
      </c>
      <c r="BG183" s="181" t="str">
        <f>IFERROR(INDEX(Program_01!BJ:BJ,MATCH($B183,Program_01!$A:$A,0)),"")</f>
        <v/>
      </c>
      <c r="BH183" s="189" t="str">
        <f>IFERROR(INDEX(Program_01!BK:BK,MATCH($B183,Program_01!$A:$A,0)),"")</f>
        <v/>
      </c>
      <c r="BI183" s="181" t="str">
        <f>IFERROR(INDEX(Program_01!BL:BL,MATCH($B183,Program_01!$A:$A,0)),"")</f>
        <v/>
      </c>
      <c r="BK183" s="190" t="str">
        <f>IFERROR(IF(INDEX(Program_01!$BX:$BX,MATCH($B183,Program_01!$A:$A,0))=DATE(1900,1,0),"",INDEX(Program_01!$BX:$BX,MATCH($B183,Program_01!$A:$A,0))),"")</f>
        <v/>
      </c>
      <c r="BL183" s="190" t="str">
        <f>IFERROR(IF(INDEX(Program_01!$BY:$BY,MATCH($B183,Program_01!$A:$A,0))=DATE(1900,1,0),"",INDEX(Program_01!$BY:$BY,MATCH($B183,Program_01!$A:$A,0))),"")</f>
        <v/>
      </c>
      <c r="BM183" s="188" t="str">
        <f t="shared" ca="1" si="69"/>
        <v/>
      </c>
      <c r="BN183" s="191" t="str">
        <f t="shared" ca="1" si="70"/>
        <v/>
      </c>
      <c r="BO183" s="188" t="str">
        <f t="shared" si="61"/>
        <v/>
      </c>
      <c r="BP183" s="188" t="str">
        <f t="shared" si="6"/>
        <v/>
      </c>
      <c r="BQ183" s="188" t="str">
        <f t="shared" ca="1" si="71"/>
        <v/>
      </c>
      <c r="BR183" s="181" t="str">
        <f t="shared" ca="1" si="62"/>
        <v/>
      </c>
      <c r="BT183" s="190" t="str">
        <f>IFERROR(IF(INDEX(Program_01!$BZ:$BZ,MATCH($B183,Program_01!$A:$A,0))=DATE(1900,1,0),"",INDEX(Program_01!$BZ:$BZ,MATCH($B183,Program_01!$A:$A,0))),"")</f>
        <v/>
      </c>
      <c r="BU183" s="182" t="str">
        <f t="shared" ca="1" si="75"/>
        <v/>
      </c>
      <c r="BV183" s="188" t="str">
        <f t="shared" si="63"/>
        <v/>
      </c>
      <c r="BW183" s="188" t="str">
        <f t="shared" si="8"/>
        <v/>
      </c>
      <c r="BX183" s="188" t="str">
        <f t="shared" ca="1" si="64"/>
        <v/>
      </c>
      <c r="BY183" s="181" t="str">
        <f t="shared" ca="1" si="65"/>
        <v/>
      </c>
      <c r="CA183" s="192" t="str">
        <f t="shared" si="76"/>
        <v/>
      </c>
      <c r="CB183" s="192" t="str">
        <f t="shared" si="77"/>
        <v/>
      </c>
      <c r="CC183" s="193" t="str">
        <f>IFERROR(INDEX(Program_01!$CE:$CE,MATCH($B183,Program_01!$A:$A,0)),"")</f>
        <v/>
      </c>
      <c r="CD183" s="193">
        <f t="shared" si="66"/>
        <v>0</v>
      </c>
      <c r="CG183" s="194" t="str">
        <f>IFERROR(INDEX(Program_01!$AT:$AT,MATCH($B183,Program_01!$A:$A,0)),"")</f>
        <v/>
      </c>
      <c r="CH183" s="194" t="str">
        <f>IFERROR(INDEX(Program_01!$AX:$AX,MATCH($B183,Program_01!$A:$A,0)),"")</f>
        <v/>
      </c>
    </row>
    <row r="184" spans="1:86" s="187" customFormat="1" ht="17">
      <c r="A184" s="174" t="s">
        <v>1</v>
      </c>
      <c r="B184" s="175">
        <f t="shared" si="72"/>
        <v>166</v>
      </c>
      <c r="C184" s="176" t="str">
        <f>IFERROR(INDEX(Program_01!$B:$B,MATCH($B184,Program_01!$A:$A,0)),"")</f>
        <v/>
      </c>
      <c r="D184" s="176" t="str">
        <f>IFERROR(INDEX(Program_01!$D:$D,MATCH($B184,Program_01!$A:$A,0)),"")</f>
        <v/>
      </c>
      <c r="E184" s="176" t="str">
        <f>IFERROR(INDEX(Program_01!$E:$E,MATCH($B184,Program_01!$A:$A,0)),"")</f>
        <v/>
      </c>
      <c r="F184" s="176" t="str">
        <f>IFERROR(INDEX(Program_01!$F:$F,MATCH($B184,Program_01!$A:$A,0)),"")</f>
        <v/>
      </c>
      <c r="G184" s="176" t="str">
        <f>IFERROR(INDEX(Program_01!$G:$G,MATCH($B184,Program_01!$A:$A,0)),"")</f>
        <v/>
      </c>
      <c r="H184" s="176" t="str">
        <f>IFERROR(INDEX(Program_01!$H:$H,MATCH($B184,Program_01!$A:$A,0)),"")</f>
        <v/>
      </c>
      <c r="I184" s="176" t="str">
        <f t="shared" si="67"/>
        <v/>
      </c>
      <c r="J184" s="176" t="str">
        <f>IFERROR(INDEX(Program_01!$I:$I,MATCH($B184,Program_01!$A:$A,0)),"")</f>
        <v/>
      </c>
      <c r="K184" s="176" t="str">
        <f>IFERROR(INDEX(Program_01!$J:$J,MATCH($B184,Program_01!$A:$A,0)),"")</f>
        <v/>
      </c>
      <c r="L184" s="176" t="str">
        <f>IFERROR(INDEX(Program_01!$K:$K,MATCH($B184,Program_01!$A:$A,0)),"")</f>
        <v/>
      </c>
      <c r="M184" s="176" t="str">
        <f>IFERROR(INDEX(Program_01!$L:$L,MATCH($B184,Program_01!$A:$A,0)),"")</f>
        <v/>
      </c>
      <c r="N184" s="176" t="str">
        <f>IFERROR(INDEX(Program_01!$L:$L,MATCH($B184,Program_01!$A:$A,0)),"")</f>
        <v/>
      </c>
      <c r="O184" s="176" t="str">
        <f>IFERROR(INDEX(Program_01!$N:$N,MATCH($B184,Program_01!$A:$A,0)),"")</f>
        <v/>
      </c>
      <c r="P184" s="178"/>
      <c r="Q184" s="179" t="str">
        <f>IFERROR(INDEX(Program_01!$C:$C,MATCH($B184,Program_01!$A:$A,0)),"")</f>
        <v/>
      </c>
      <c r="R184" s="176" t="str">
        <f>IFERROR(INDEX(Program_01!$V:$V,MATCH($B184,Program_01!$A:$A,0)),"")</f>
        <v/>
      </c>
      <c r="S184" s="180" t="str">
        <f>IFERROR(INDEX(Program_01!$W:$W,MATCH($B184,Program_01!$A:$A,0)),"")</f>
        <v/>
      </c>
      <c r="T184" s="178"/>
      <c r="U184" s="176" t="str">
        <f>IFERROR(INDEX(Program_01!$Z:$Z,MATCH($B184,Program_01!$A:$A,0)),"")</f>
        <v/>
      </c>
      <c r="V184" s="181" t="str">
        <f>IFERROR(INDEX(Program_01!$AA:$AA,MATCH($B184,Program_01!$A:$A,0)),"")</f>
        <v/>
      </c>
      <c r="W184" s="182" t="str">
        <f t="shared" ca="1" si="0"/>
        <v/>
      </c>
      <c r="X184" s="51"/>
      <c r="Y184" s="179" t="str">
        <f>IFERROR(INDEX(Program_01!$BD:$BD,MATCH($B184,Program_01!$A:$A,0)),"")</f>
        <v/>
      </c>
      <c r="Z184" s="51"/>
      <c r="AA184" s="183" t="str">
        <f>IFERROR(IF((INDEX(Program_01!$AD:$AD,MATCH($B184,Program_01!$A:$A,0))=""),INDEX(Program_01!$V:$V,MATCH($B184,Program_01!$A:$A,0)),INDEX(Program_01!$AD:$AD,MATCH($B184,Program_01!$A:$A,0))),"")</f>
        <v/>
      </c>
      <c r="AB184" s="147" t="str">
        <f>IFERROR(IF((INDEX(Program_01!$AE:$AE,MATCH($B184,Program_01!$A:$A,0))=""),INDEX(Program_01!$W:$W,MATCH($B184,Program_01!$A:$A,0)),INDEX(Program_01!$AE:$AE,MATCH($B184,Program_01!$A:$A,0))),"")</f>
        <v/>
      </c>
      <c r="AC184" s="183" t="str">
        <f>IFERROR(IF($I184="EOT",INDEX(Program_01!$AN:$AN,MATCH($B184,Program_01!$A:$A,0)),INDEX(Program_01!$AY:$AY,MATCH($B184,Program_01!$A:$A,0))),"")</f>
        <v/>
      </c>
      <c r="AD184" s="181" t="str">
        <f>IFERROR(IF($I184="EOT",INDEX(Program_01!$AO:$AO,MATCH($B184,Program_01!$A:$A,0)),INDEX(Program_01!$AZ:$AZ,MATCH($B184,Program_01!$A:$A,0))),"")</f>
        <v/>
      </c>
      <c r="AE184" s="51"/>
      <c r="AF184" s="183"/>
      <c r="AG184" s="181"/>
      <c r="AH184" s="183" t="str">
        <f>IF(OR($D184="",$AS184="VO Issued",$AS184="Open"),"",IF(OR($AC184="Rejected",$AC184="Superseded",$AC184="Dealt Separately"),$AC184,IF($I184="EOT",INDEX(Program_01!$AR:$AR,MATCH($B184,Program_01!$A:$A,0)),INDEX(Program_01!$BB:$BB,MATCH($B184,Program_01!$A:$A,0)))))</f>
        <v/>
      </c>
      <c r="AI184" s="181" t="str">
        <f>IF(OR($A184="",$B184="",$I184="",$AS184="VO Issued",$AS184="Open"),"",IF(OR($AD184="N/A"),$AD184,IF($I184="EOT",INDEX(Program_01!$AS:$AS,MATCH($B184,Program_01!$A:$A,0)),INDEX(Program_01!$BC:$BC,MATCH($B184,Program_01!$A:$A,0)))))</f>
        <v/>
      </c>
      <c r="AJ184" s="183" t="str">
        <f>IF(OR($D184="",$I184="",$AS184="Determination Issued",$AS184="Rejected",$AS184="Open"),"",IF(OR($AH184="Rejected",$AH184="Dealt Separately",$AH184="Superseded",$AH184="Withdrawn"),"N/A",IF($I184="EOT",INDEX(Program_01!AR:AR,MATCH($B184,Program_01!A:A,0)),INDEX(Program_01!BB:BB,MATCH($B184,Program_01!A:A,0)))))</f>
        <v/>
      </c>
      <c r="AK184" s="181" t="str">
        <f>IF(OR($A184="",$B184="",$I184="",$AS184="Determination Issued",$AS184="Rejected",$AS184="Open"),"",IF($AJ184="N/A","N/A",IF($I184="EOT",INDEX(Program_01!AS:AS,MATCH($B184,Program_01!A:A,0)),INDEX(Program_01!BC:BC,MATCH($B184,Program_01!A:A,0)))))</f>
        <v/>
      </c>
      <c r="AL184" s="51"/>
      <c r="AM184" s="184" t="str">
        <f>IFERROR(INDEX(Program_01!$BT:$BT,MATCH($B184,Program_01!$A:$A,0)),"")</f>
        <v/>
      </c>
      <c r="AN184" s="184" t="str">
        <f>IFERROR(INDEX(Program_01!$BU:$BU,MATCH($B184,Program_01!$A:$A,0)),"")</f>
        <v/>
      </c>
      <c r="AO184" s="184" t="str">
        <f>IFERROR(INDEX(Program_01!$BV:$BV,MATCH($B184,Program_01!$A:$A,0)),"")</f>
        <v/>
      </c>
      <c r="AP184" s="51" t="str">
        <f t="shared" si="73"/>
        <v/>
      </c>
      <c r="AQ184" s="184" t="str">
        <f>IFERROR(INDEX(Program_01!$BN:$BN,MATCH($B184,Program_01!$A:$A,0)),"")</f>
        <v/>
      </c>
      <c r="AR184" s="184" t="str">
        <f>IFERROR(INDEX(Program_01!$BO:$BO,MATCH($B184,Program_01!$A:$A,0)),"")</f>
        <v/>
      </c>
      <c r="AS184" s="184" t="str">
        <f>IFERROR(INDEX(Program_01!$BP:$BP,MATCH($B184,Program_01!$A:$A,0)),"")</f>
        <v/>
      </c>
      <c r="AT184" s="185" t="str">
        <f>IFERROR(INDEX(Program_01!$BQ:$BQ,MATCH($B184,Program_01!$A:$A,0)),"")</f>
        <v/>
      </c>
      <c r="AU184" s="179" t="str">
        <f>IFERROR(INDEX(Program_01!$BR:$BR,MATCH($B184,Program_01!$A:$A,0)),"")</f>
        <v/>
      </c>
      <c r="AV184" s="186" t="str">
        <f t="shared" si="58"/>
        <v/>
      </c>
      <c r="AW184" s="186" t="str">
        <f t="shared" si="74"/>
        <v/>
      </c>
      <c r="AX184" s="186" t="str">
        <f t="shared" si="59"/>
        <v/>
      </c>
      <c r="AY184" s="181" t="str">
        <f t="shared" si="68"/>
        <v/>
      </c>
      <c r="AZ184" s="181" t="str">
        <f t="shared" si="60"/>
        <v/>
      </c>
      <c r="BA184" s="181" t="str">
        <f t="shared" si="4"/>
        <v/>
      </c>
      <c r="BC184" s="181" t="str">
        <f>IFERROR(INDEX(Program_01!BF:BF,MATCH($B184,Program_01!$A:$A,0)),"")</f>
        <v/>
      </c>
      <c r="BD184" s="188" t="str">
        <f>IFERROR(INDEX(Program_01!BG:BG,MATCH($B184,Program_01!$A:$A,0)),"")</f>
        <v/>
      </c>
      <c r="BE184" s="181" t="str">
        <f>IFERROR(INDEX(Program_01!BH:BH,MATCH($B184,Program_01!$A:$A,0)),"")</f>
        <v/>
      </c>
      <c r="BF184" s="189" t="str">
        <f>IFERROR(INDEX(Program_01!BI:BI,MATCH($B184,Program_01!$A:$A,0)),"")</f>
        <v/>
      </c>
      <c r="BG184" s="181" t="str">
        <f>IFERROR(INDEX(Program_01!BJ:BJ,MATCH($B184,Program_01!$A:$A,0)),"")</f>
        <v/>
      </c>
      <c r="BH184" s="189" t="str">
        <f>IFERROR(INDEX(Program_01!BK:BK,MATCH($B184,Program_01!$A:$A,0)),"")</f>
        <v/>
      </c>
      <c r="BI184" s="181" t="str">
        <f>IFERROR(INDEX(Program_01!BL:BL,MATCH($B184,Program_01!$A:$A,0)),"")</f>
        <v/>
      </c>
      <c r="BK184" s="190" t="str">
        <f>IFERROR(IF(INDEX(Program_01!$BX:$BX,MATCH($B184,Program_01!$A:$A,0))=DATE(1900,1,0),"",INDEX(Program_01!$BX:$BX,MATCH($B184,Program_01!$A:$A,0))),"")</f>
        <v/>
      </c>
      <c r="BL184" s="190" t="str">
        <f>IFERROR(IF(INDEX(Program_01!$BY:$BY,MATCH($B184,Program_01!$A:$A,0))=DATE(1900,1,0),"",INDEX(Program_01!$BY:$BY,MATCH($B184,Program_01!$A:$A,0))),"")</f>
        <v/>
      </c>
      <c r="BM184" s="188" t="str">
        <f t="shared" ca="1" si="69"/>
        <v/>
      </c>
      <c r="BN184" s="191" t="str">
        <f t="shared" ca="1" si="70"/>
        <v/>
      </c>
      <c r="BO184" s="188" t="str">
        <f t="shared" si="61"/>
        <v/>
      </c>
      <c r="BP184" s="188" t="str">
        <f t="shared" si="6"/>
        <v/>
      </c>
      <c r="BQ184" s="188" t="str">
        <f t="shared" ca="1" si="71"/>
        <v/>
      </c>
      <c r="BR184" s="181" t="str">
        <f t="shared" ca="1" si="62"/>
        <v/>
      </c>
      <c r="BT184" s="190" t="str">
        <f>IFERROR(IF(INDEX(Program_01!$BZ:$BZ,MATCH($B184,Program_01!$A:$A,0))=DATE(1900,1,0),"",INDEX(Program_01!$BZ:$BZ,MATCH($B184,Program_01!$A:$A,0))),"")</f>
        <v/>
      </c>
      <c r="BU184" s="182" t="str">
        <f t="shared" ca="1" si="75"/>
        <v/>
      </c>
      <c r="BV184" s="188" t="str">
        <f t="shared" si="63"/>
        <v/>
      </c>
      <c r="BW184" s="188" t="str">
        <f t="shared" si="8"/>
        <v/>
      </c>
      <c r="BX184" s="188" t="str">
        <f t="shared" ca="1" si="64"/>
        <v/>
      </c>
      <c r="BY184" s="181" t="str">
        <f t="shared" ca="1" si="65"/>
        <v/>
      </c>
      <c r="CA184" s="192" t="str">
        <f t="shared" si="76"/>
        <v/>
      </c>
      <c r="CB184" s="192" t="str">
        <f t="shared" si="77"/>
        <v/>
      </c>
      <c r="CC184" s="193" t="str">
        <f>IFERROR(INDEX(Program_01!$CE:$CE,MATCH($B184,Program_01!$A:$A,0)),"")</f>
        <v/>
      </c>
      <c r="CD184" s="193">
        <f t="shared" si="66"/>
        <v>0</v>
      </c>
      <c r="CG184" s="194" t="str">
        <f>IFERROR(INDEX(Program_01!$AT:$AT,MATCH($B184,Program_01!$A:$A,0)),"")</f>
        <v/>
      </c>
      <c r="CH184" s="194" t="str">
        <f>IFERROR(INDEX(Program_01!$AX:$AX,MATCH($B184,Program_01!$A:$A,0)),"")</f>
        <v/>
      </c>
    </row>
    <row r="185" spans="1:86" s="187" customFormat="1" ht="17">
      <c r="A185" s="174" t="s">
        <v>1</v>
      </c>
      <c r="B185" s="175">
        <f t="shared" si="72"/>
        <v>167</v>
      </c>
      <c r="C185" s="176" t="str">
        <f>IFERROR(INDEX(Program_01!$B:$B,MATCH($B185,Program_01!$A:$A,0)),"")</f>
        <v/>
      </c>
      <c r="D185" s="176" t="str">
        <f>IFERROR(INDEX(Program_01!$D:$D,MATCH($B185,Program_01!$A:$A,0)),"")</f>
        <v/>
      </c>
      <c r="E185" s="176" t="str">
        <f>IFERROR(INDEX(Program_01!$E:$E,MATCH($B185,Program_01!$A:$A,0)),"")</f>
        <v/>
      </c>
      <c r="F185" s="176" t="str">
        <f>IFERROR(INDEX(Program_01!$F:$F,MATCH($B185,Program_01!$A:$A,0)),"")</f>
        <v/>
      </c>
      <c r="G185" s="176" t="str">
        <f>IFERROR(INDEX(Program_01!$G:$G,MATCH($B185,Program_01!$A:$A,0)),"")</f>
        <v/>
      </c>
      <c r="H185" s="176" t="str">
        <f>IFERROR(INDEX(Program_01!$H:$H,MATCH($B185,Program_01!$A:$A,0)),"")</f>
        <v/>
      </c>
      <c r="I185" s="176" t="str">
        <f t="shared" si="67"/>
        <v/>
      </c>
      <c r="J185" s="176" t="str">
        <f>IFERROR(INDEX(Program_01!$I:$I,MATCH($B185,Program_01!$A:$A,0)),"")</f>
        <v/>
      </c>
      <c r="K185" s="176" t="str">
        <f>IFERROR(INDEX(Program_01!$J:$J,MATCH($B185,Program_01!$A:$A,0)),"")</f>
        <v/>
      </c>
      <c r="L185" s="176" t="str">
        <f>IFERROR(INDEX(Program_01!$K:$K,MATCH($B185,Program_01!$A:$A,0)),"")</f>
        <v/>
      </c>
      <c r="M185" s="176" t="str">
        <f>IFERROR(INDEX(Program_01!$L:$L,MATCH($B185,Program_01!$A:$A,0)),"")</f>
        <v/>
      </c>
      <c r="N185" s="176" t="str">
        <f>IFERROR(INDEX(Program_01!$L:$L,MATCH($B185,Program_01!$A:$A,0)),"")</f>
        <v/>
      </c>
      <c r="O185" s="176" t="str">
        <f>IFERROR(INDEX(Program_01!$N:$N,MATCH($B185,Program_01!$A:$A,0)),"")</f>
        <v/>
      </c>
      <c r="P185" s="178"/>
      <c r="Q185" s="179" t="str">
        <f>IFERROR(INDEX(Program_01!$C:$C,MATCH($B185,Program_01!$A:$A,0)),"")</f>
        <v/>
      </c>
      <c r="R185" s="176" t="str">
        <f>IFERROR(INDEX(Program_01!$V:$V,MATCH($B185,Program_01!$A:$A,0)),"")</f>
        <v/>
      </c>
      <c r="S185" s="180" t="str">
        <f>IFERROR(INDEX(Program_01!$W:$W,MATCH($B185,Program_01!$A:$A,0)),"")</f>
        <v/>
      </c>
      <c r="T185" s="178"/>
      <c r="U185" s="176" t="str">
        <f>IFERROR(INDEX(Program_01!$Z:$Z,MATCH($B185,Program_01!$A:$A,0)),"")</f>
        <v/>
      </c>
      <c r="V185" s="181" t="str">
        <f>IFERROR(INDEX(Program_01!$AA:$AA,MATCH($B185,Program_01!$A:$A,0)),"")</f>
        <v/>
      </c>
      <c r="W185" s="182" t="str">
        <f t="shared" ca="1" si="0"/>
        <v/>
      </c>
      <c r="X185" s="51"/>
      <c r="Y185" s="179" t="str">
        <f>IFERROR(INDEX(Program_01!$BD:$BD,MATCH($B185,Program_01!$A:$A,0)),"")</f>
        <v/>
      </c>
      <c r="Z185" s="51"/>
      <c r="AA185" s="183" t="str">
        <f>IFERROR(IF((INDEX(Program_01!$AD:$AD,MATCH($B185,Program_01!$A:$A,0))=""),INDEX(Program_01!$V:$V,MATCH($B185,Program_01!$A:$A,0)),INDEX(Program_01!$AD:$AD,MATCH($B185,Program_01!$A:$A,0))),"")</f>
        <v/>
      </c>
      <c r="AB185" s="147" t="str">
        <f>IFERROR(IF((INDEX(Program_01!$AE:$AE,MATCH($B185,Program_01!$A:$A,0))=""),INDEX(Program_01!$W:$W,MATCH($B185,Program_01!$A:$A,0)),INDEX(Program_01!$AE:$AE,MATCH($B185,Program_01!$A:$A,0))),"")</f>
        <v/>
      </c>
      <c r="AC185" s="183" t="str">
        <f>IFERROR(IF($I185="EOT",INDEX(Program_01!$AN:$AN,MATCH($B185,Program_01!$A:$A,0)),INDEX(Program_01!$AY:$AY,MATCH($B185,Program_01!$A:$A,0))),"")</f>
        <v/>
      </c>
      <c r="AD185" s="181" t="str">
        <f>IFERROR(IF($I185="EOT",INDEX(Program_01!$AO:$AO,MATCH($B185,Program_01!$A:$A,0)),INDEX(Program_01!$AZ:$AZ,MATCH($B185,Program_01!$A:$A,0))),"")</f>
        <v/>
      </c>
      <c r="AE185" s="51"/>
      <c r="AF185" s="183"/>
      <c r="AG185" s="181"/>
      <c r="AH185" s="183" t="str">
        <f>IF(OR($D185="",$AS185="VO Issued",$AS185="Open"),"",IF(OR($AC185="Rejected",$AC185="Superseded",$AC185="Dealt Separately"),$AC185,IF($I185="EOT",INDEX(Program_01!$AR:$AR,MATCH($B185,Program_01!$A:$A,0)),INDEX(Program_01!$BB:$BB,MATCH($B185,Program_01!$A:$A,0)))))</f>
        <v/>
      </c>
      <c r="AI185" s="181" t="str">
        <f>IF(OR($A185="",$B185="",$I185="",$AS185="VO Issued",$AS185="Open"),"",IF(OR($AD185="N/A"),$AD185,IF($I185="EOT",INDEX(Program_01!$AS:$AS,MATCH($B185,Program_01!$A:$A,0)),INDEX(Program_01!$BC:$BC,MATCH($B185,Program_01!$A:$A,0)))))</f>
        <v/>
      </c>
      <c r="AJ185" s="183" t="str">
        <f>IF(OR($D185="",$I185="",$AS185="Determination Issued",$AS185="Rejected",$AS185="Open"),"",IF(OR($AH185="Rejected",$AH185="Dealt Separately",$AH185="Superseded",$AH185="Withdrawn"),"N/A",IF($I185="EOT",INDEX(Program_01!AR:AR,MATCH($B185,Program_01!A:A,0)),INDEX(Program_01!BB:BB,MATCH($B185,Program_01!A:A,0)))))</f>
        <v/>
      </c>
      <c r="AK185" s="181" t="str">
        <f>IF(OR($A185="",$B185="",$I185="",$AS185="Determination Issued",$AS185="Rejected",$AS185="Open"),"",IF($AJ185="N/A","N/A",IF($I185="EOT",INDEX(Program_01!AS:AS,MATCH($B185,Program_01!A:A,0)),INDEX(Program_01!BC:BC,MATCH($B185,Program_01!A:A,0)))))</f>
        <v/>
      </c>
      <c r="AL185" s="51"/>
      <c r="AM185" s="184" t="str">
        <f>IFERROR(INDEX(Program_01!$BT:$BT,MATCH($B185,Program_01!$A:$A,0)),"")</f>
        <v/>
      </c>
      <c r="AN185" s="184" t="str">
        <f>IFERROR(INDEX(Program_01!$BU:$BU,MATCH($B185,Program_01!$A:$A,0)),"")</f>
        <v/>
      </c>
      <c r="AO185" s="184" t="str">
        <f>IFERROR(INDEX(Program_01!$BV:$BV,MATCH($B185,Program_01!$A:$A,0)),"")</f>
        <v/>
      </c>
      <c r="AP185" s="51" t="str">
        <f t="shared" si="73"/>
        <v/>
      </c>
      <c r="AQ185" s="184" t="str">
        <f>IFERROR(INDEX(Program_01!$BN:$BN,MATCH($B185,Program_01!$A:$A,0)),"")</f>
        <v/>
      </c>
      <c r="AR185" s="184" t="str">
        <f>IFERROR(INDEX(Program_01!$BO:$BO,MATCH($B185,Program_01!$A:$A,0)),"")</f>
        <v/>
      </c>
      <c r="AS185" s="184" t="str">
        <f>IFERROR(INDEX(Program_01!$BP:$BP,MATCH($B185,Program_01!$A:$A,0)),"")</f>
        <v/>
      </c>
      <c r="AT185" s="185" t="str">
        <f>IFERROR(INDEX(Program_01!$BQ:$BQ,MATCH($B185,Program_01!$A:$A,0)),"")</f>
        <v/>
      </c>
      <c r="AU185" s="179" t="str">
        <f>IFERROR(INDEX(Program_01!$BR:$BR,MATCH($B185,Program_01!$A:$A,0)),"")</f>
        <v/>
      </c>
      <c r="AV185" s="186" t="str">
        <f t="shared" si="58"/>
        <v/>
      </c>
      <c r="AW185" s="186" t="str">
        <f t="shared" si="74"/>
        <v/>
      </c>
      <c r="AX185" s="186" t="str">
        <f t="shared" si="59"/>
        <v/>
      </c>
      <c r="AY185" s="181" t="str">
        <f t="shared" si="68"/>
        <v/>
      </c>
      <c r="AZ185" s="181" t="str">
        <f t="shared" si="60"/>
        <v/>
      </c>
      <c r="BA185" s="181" t="str">
        <f t="shared" si="4"/>
        <v/>
      </c>
      <c r="BC185" s="181" t="str">
        <f>IFERROR(INDEX(Program_01!BF:BF,MATCH($B185,Program_01!$A:$A,0)),"")</f>
        <v/>
      </c>
      <c r="BD185" s="188" t="str">
        <f>IFERROR(INDEX(Program_01!BG:BG,MATCH($B185,Program_01!$A:$A,0)),"")</f>
        <v/>
      </c>
      <c r="BE185" s="181" t="str">
        <f>IFERROR(INDEX(Program_01!BH:BH,MATCH($B185,Program_01!$A:$A,0)),"")</f>
        <v/>
      </c>
      <c r="BF185" s="189" t="str">
        <f>IFERROR(INDEX(Program_01!BI:BI,MATCH($B185,Program_01!$A:$A,0)),"")</f>
        <v/>
      </c>
      <c r="BG185" s="181" t="str">
        <f>IFERROR(INDEX(Program_01!BJ:BJ,MATCH($B185,Program_01!$A:$A,0)),"")</f>
        <v/>
      </c>
      <c r="BH185" s="189" t="str">
        <f>IFERROR(INDEX(Program_01!BK:BK,MATCH($B185,Program_01!$A:$A,0)),"")</f>
        <v/>
      </c>
      <c r="BI185" s="181" t="str">
        <f>IFERROR(INDEX(Program_01!BL:BL,MATCH($B185,Program_01!$A:$A,0)),"")</f>
        <v/>
      </c>
      <c r="BK185" s="190" t="str">
        <f>IFERROR(IF(INDEX(Program_01!$BX:$BX,MATCH($B185,Program_01!$A:$A,0))=DATE(1900,1,0),"",INDEX(Program_01!$BX:$BX,MATCH($B185,Program_01!$A:$A,0))),"")</f>
        <v/>
      </c>
      <c r="BL185" s="190" t="str">
        <f>IFERROR(IF(INDEX(Program_01!$BY:$BY,MATCH($B185,Program_01!$A:$A,0))=DATE(1900,1,0),"",INDEX(Program_01!$BY:$BY,MATCH($B185,Program_01!$A:$A,0))),"")</f>
        <v/>
      </c>
      <c r="BM185" s="188" t="str">
        <f t="shared" ca="1" si="69"/>
        <v/>
      </c>
      <c r="BN185" s="191" t="str">
        <f t="shared" ca="1" si="70"/>
        <v/>
      </c>
      <c r="BO185" s="188" t="str">
        <f t="shared" si="61"/>
        <v/>
      </c>
      <c r="BP185" s="188" t="str">
        <f t="shared" si="6"/>
        <v/>
      </c>
      <c r="BQ185" s="188" t="str">
        <f t="shared" ca="1" si="71"/>
        <v/>
      </c>
      <c r="BR185" s="181" t="str">
        <f t="shared" ca="1" si="62"/>
        <v/>
      </c>
      <c r="BT185" s="190" t="str">
        <f>IFERROR(IF(INDEX(Program_01!$BZ:$BZ,MATCH($B185,Program_01!$A:$A,0))=DATE(1900,1,0),"",INDEX(Program_01!$BZ:$BZ,MATCH($B185,Program_01!$A:$A,0))),"")</f>
        <v/>
      </c>
      <c r="BU185" s="182" t="str">
        <f t="shared" ca="1" si="75"/>
        <v/>
      </c>
      <c r="BV185" s="188" t="str">
        <f t="shared" si="63"/>
        <v/>
      </c>
      <c r="BW185" s="188" t="str">
        <f t="shared" si="8"/>
        <v/>
      </c>
      <c r="BX185" s="188" t="str">
        <f t="shared" ca="1" si="64"/>
        <v/>
      </c>
      <c r="BY185" s="181" t="str">
        <f t="shared" ca="1" si="65"/>
        <v/>
      </c>
      <c r="CA185" s="192" t="str">
        <f t="shared" si="76"/>
        <v/>
      </c>
      <c r="CB185" s="192" t="str">
        <f t="shared" si="77"/>
        <v/>
      </c>
      <c r="CC185" s="193" t="str">
        <f>IFERROR(INDEX(Program_01!$CE:$CE,MATCH($B185,Program_01!$A:$A,0)),"")</f>
        <v/>
      </c>
      <c r="CD185" s="193">
        <f t="shared" si="66"/>
        <v>0</v>
      </c>
      <c r="CG185" s="194" t="str">
        <f>IFERROR(INDEX(Program_01!$AT:$AT,MATCH($B185,Program_01!$A:$A,0)),"")</f>
        <v/>
      </c>
      <c r="CH185" s="194" t="str">
        <f>IFERROR(INDEX(Program_01!$AX:$AX,MATCH($B185,Program_01!$A:$A,0)),"")</f>
        <v/>
      </c>
    </row>
    <row r="186" spans="1:86" s="187" customFormat="1" ht="17">
      <c r="A186" s="174" t="s">
        <v>1</v>
      </c>
      <c r="B186" s="175">
        <f t="shared" si="72"/>
        <v>168</v>
      </c>
      <c r="C186" s="176" t="str">
        <f>IFERROR(INDEX(Program_01!$B:$B,MATCH($B186,Program_01!$A:$A,0)),"")</f>
        <v/>
      </c>
      <c r="D186" s="176" t="str">
        <f>IFERROR(INDEX(Program_01!$D:$D,MATCH($B186,Program_01!$A:$A,0)),"")</f>
        <v/>
      </c>
      <c r="E186" s="176" t="str">
        <f>IFERROR(INDEX(Program_01!$E:$E,MATCH($B186,Program_01!$A:$A,0)),"")</f>
        <v/>
      </c>
      <c r="F186" s="176" t="str">
        <f>IFERROR(INDEX(Program_01!$F:$F,MATCH($B186,Program_01!$A:$A,0)),"")</f>
        <v/>
      </c>
      <c r="G186" s="176" t="str">
        <f>IFERROR(INDEX(Program_01!$G:$G,MATCH($B186,Program_01!$A:$A,0)),"")</f>
        <v/>
      </c>
      <c r="H186" s="176" t="str">
        <f>IFERROR(INDEX(Program_01!$H:$H,MATCH($B186,Program_01!$A:$A,0)),"")</f>
        <v/>
      </c>
      <c r="I186" s="176" t="str">
        <f t="shared" si="67"/>
        <v/>
      </c>
      <c r="J186" s="176" t="str">
        <f>IFERROR(INDEX(Program_01!$I:$I,MATCH($B186,Program_01!$A:$A,0)),"")</f>
        <v/>
      </c>
      <c r="K186" s="176" t="str">
        <f>IFERROR(INDEX(Program_01!$J:$J,MATCH($B186,Program_01!$A:$A,0)),"")</f>
        <v/>
      </c>
      <c r="L186" s="176" t="str">
        <f>IFERROR(INDEX(Program_01!$K:$K,MATCH($B186,Program_01!$A:$A,0)),"")</f>
        <v/>
      </c>
      <c r="M186" s="176" t="str">
        <f>IFERROR(INDEX(Program_01!$L:$L,MATCH($B186,Program_01!$A:$A,0)),"")</f>
        <v/>
      </c>
      <c r="N186" s="176" t="str">
        <f>IFERROR(INDEX(Program_01!$L:$L,MATCH($B186,Program_01!$A:$A,0)),"")</f>
        <v/>
      </c>
      <c r="O186" s="176" t="str">
        <f>IFERROR(INDEX(Program_01!$N:$N,MATCH($B186,Program_01!$A:$A,0)),"")</f>
        <v/>
      </c>
      <c r="P186" s="178"/>
      <c r="Q186" s="179" t="str">
        <f>IFERROR(INDEX(Program_01!$C:$C,MATCH($B186,Program_01!$A:$A,0)),"")</f>
        <v/>
      </c>
      <c r="R186" s="176" t="str">
        <f>IFERROR(INDEX(Program_01!$V:$V,MATCH($B186,Program_01!$A:$A,0)),"")</f>
        <v/>
      </c>
      <c r="S186" s="180" t="str">
        <f>IFERROR(INDEX(Program_01!$W:$W,MATCH($B186,Program_01!$A:$A,0)),"")</f>
        <v/>
      </c>
      <c r="T186" s="178"/>
      <c r="U186" s="176" t="str">
        <f>IFERROR(INDEX(Program_01!$Z:$Z,MATCH($B186,Program_01!$A:$A,0)),"")</f>
        <v/>
      </c>
      <c r="V186" s="181" t="str">
        <f>IFERROR(INDEX(Program_01!$AA:$AA,MATCH($B186,Program_01!$A:$A,0)),"")</f>
        <v/>
      </c>
      <c r="W186" s="182" t="str">
        <f t="shared" ca="1" si="0"/>
        <v/>
      </c>
      <c r="X186" s="51"/>
      <c r="Y186" s="179" t="str">
        <f>IFERROR(INDEX(Program_01!$BD:$BD,MATCH($B186,Program_01!$A:$A,0)),"")</f>
        <v/>
      </c>
      <c r="Z186" s="51"/>
      <c r="AA186" s="183" t="str">
        <f>IFERROR(IF((INDEX(Program_01!$AD:$AD,MATCH($B186,Program_01!$A:$A,0))=""),INDEX(Program_01!$V:$V,MATCH($B186,Program_01!$A:$A,0)),INDEX(Program_01!$AD:$AD,MATCH($B186,Program_01!$A:$A,0))),"")</f>
        <v/>
      </c>
      <c r="AB186" s="147" t="str">
        <f>IFERROR(IF((INDEX(Program_01!$AE:$AE,MATCH($B186,Program_01!$A:$A,0))=""),INDEX(Program_01!$W:$W,MATCH($B186,Program_01!$A:$A,0)),INDEX(Program_01!$AE:$AE,MATCH($B186,Program_01!$A:$A,0))),"")</f>
        <v/>
      </c>
      <c r="AC186" s="183" t="str">
        <f>IFERROR(IF($I186="EOT",INDEX(Program_01!$AN:$AN,MATCH($B186,Program_01!$A:$A,0)),INDEX(Program_01!$AY:$AY,MATCH($B186,Program_01!$A:$A,0))),"")</f>
        <v/>
      </c>
      <c r="AD186" s="181" t="str">
        <f>IFERROR(IF($I186="EOT",INDEX(Program_01!$AO:$AO,MATCH($B186,Program_01!$A:$A,0)),INDEX(Program_01!$AZ:$AZ,MATCH($B186,Program_01!$A:$A,0))),"")</f>
        <v/>
      </c>
      <c r="AE186" s="51"/>
      <c r="AF186" s="183"/>
      <c r="AG186" s="181"/>
      <c r="AH186" s="183" t="str">
        <f>IF(OR($D186="",$AS186="VO Issued",$AS186="Open"),"",IF(OR($AC186="Rejected",$AC186="Superseded",$AC186="Dealt Separately"),$AC186,IF($I186="EOT",INDEX(Program_01!$AR:$AR,MATCH($B186,Program_01!$A:$A,0)),INDEX(Program_01!$BB:$BB,MATCH($B186,Program_01!$A:$A,0)))))</f>
        <v/>
      </c>
      <c r="AI186" s="181" t="str">
        <f>IF(OR($A186="",$B186="",$I186="",$AS186="VO Issued",$AS186="Open"),"",IF(OR($AD186="N/A"),$AD186,IF($I186="EOT",INDEX(Program_01!$AS:$AS,MATCH($B186,Program_01!$A:$A,0)),INDEX(Program_01!$BC:$BC,MATCH($B186,Program_01!$A:$A,0)))))</f>
        <v/>
      </c>
      <c r="AJ186" s="183" t="str">
        <f>IF(OR($D186="",$I186="",$AS186="Determination Issued",$AS186="Rejected",$AS186="Open"),"",IF(OR($AH186="Rejected",$AH186="Dealt Separately",$AH186="Superseded",$AH186="Withdrawn"),"N/A",IF($I186="EOT",INDEX(Program_01!AR:AR,MATCH($B186,Program_01!A:A,0)),INDEX(Program_01!BB:BB,MATCH($B186,Program_01!A:A,0)))))</f>
        <v/>
      </c>
      <c r="AK186" s="181" t="str">
        <f>IF(OR($A186="",$B186="",$I186="",$AS186="Determination Issued",$AS186="Rejected",$AS186="Open"),"",IF($AJ186="N/A","N/A",IF($I186="EOT",INDEX(Program_01!AS:AS,MATCH($B186,Program_01!A:A,0)),INDEX(Program_01!BC:BC,MATCH($B186,Program_01!A:A,0)))))</f>
        <v/>
      </c>
      <c r="AL186" s="51"/>
      <c r="AM186" s="184" t="str">
        <f>IFERROR(INDEX(Program_01!$BT:$BT,MATCH($B186,Program_01!$A:$A,0)),"")</f>
        <v/>
      </c>
      <c r="AN186" s="184" t="str">
        <f>IFERROR(INDEX(Program_01!$BU:$BU,MATCH($B186,Program_01!$A:$A,0)),"")</f>
        <v/>
      </c>
      <c r="AO186" s="184" t="str">
        <f>IFERROR(INDEX(Program_01!$BV:$BV,MATCH($B186,Program_01!$A:$A,0)),"")</f>
        <v/>
      </c>
      <c r="AP186" s="51" t="str">
        <f t="shared" si="73"/>
        <v/>
      </c>
      <c r="AQ186" s="184" t="str">
        <f>IFERROR(INDEX(Program_01!$BN:$BN,MATCH($B186,Program_01!$A:$A,0)),"")</f>
        <v/>
      </c>
      <c r="AR186" s="184" t="str">
        <f>IFERROR(INDEX(Program_01!$BO:$BO,MATCH($B186,Program_01!$A:$A,0)),"")</f>
        <v/>
      </c>
      <c r="AS186" s="184" t="str">
        <f>IFERROR(INDEX(Program_01!$BP:$BP,MATCH($B186,Program_01!$A:$A,0)),"")</f>
        <v/>
      </c>
      <c r="AT186" s="185" t="str">
        <f>IFERROR(INDEX(Program_01!$BQ:$BQ,MATCH($B186,Program_01!$A:$A,0)),"")</f>
        <v/>
      </c>
      <c r="AU186" s="179" t="str">
        <f>IFERROR(INDEX(Program_01!$BR:$BR,MATCH($B186,Program_01!$A:$A,0)),"")</f>
        <v/>
      </c>
      <c r="AV186" s="186" t="str">
        <f t="shared" si="58"/>
        <v/>
      </c>
      <c r="AW186" s="186" t="str">
        <f t="shared" si="74"/>
        <v/>
      </c>
      <c r="AX186" s="186" t="str">
        <f t="shared" si="59"/>
        <v/>
      </c>
      <c r="AY186" s="181" t="str">
        <f t="shared" si="68"/>
        <v/>
      </c>
      <c r="AZ186" s="181" t="str">
        <f t="shared" si="60"/>
        <v/>
      </c>
      <c r="BA186" s="181" t="str">
        <f t="shared" si="4"/>
        <v/>
      </c>
      <c r="BC186" s="181" t="str">
        <f>IFERROR(INDEX(Program_01!BF:BF,MATCH($B186,Program_01!$A:$A,0)),"")</f>
        <v/>
      </c>
      <c r="BD186" s="188" t="str">
        <f>IFERROR(INDEX(Program_01!BG:BG,MATCH($B186,Program_01!$A:$A,0)),"")</f>
        <v/>
      </c>
      <c r="BE186" s="181" t="str">
        <f>IFERROR(INDEX(Program_01!BH:BH,MATCH($B186,Program_01!$A:$A,0)),"")</f>
        <v/>
      </c>
      <c r="BF186" s="189" t="str">
        <f>IFERROR(INDEX(Program_01!BI:BI,MATCH($B186,Program_01!$A:$A,0)),"")</f>
        <v/>
      </c>
      <c r="BG186" s="181" t="str">
        <f>IFERROR(INDEX(Program_01!BJ:BJ,MATCH($B186,Program_01!$A:$A,0)),"")</f>
        <v/>
      </c>
      <c r="BH186" s="189" t="str">
        <f>IFERROR(INDEX(Program_01!BK:BK,MATCH($B186,Program_01!$A:$A,0)),"")</f>
        <v/>
      </c>
      <c r="BI186" s="181" t="str">
        <f>IFERROR(INDEX(Program_01!BL:BL,MATCH($B186,Program_01!$A:$A,0)),"")</f>
        <v/>
      </c>
      <c r="BK186" s="190" t="str">
        <f>IFERROR(IF(INDEX(Program_01!$BX:$BX,MATCH($B186,Program_01!$A:$A,0))=DATE(1900,1,0),"",INDEX(Program_01!$BX:$BX,MATCH($B186,Program_01!$A:$A,0))),"")</f>
        <v/>
      </c>
      <c r="BL186" s="190" t="str">
        <f>IFERROR(IF(INDEX(Program_01!$BY:$BY,MATCH($B186,Program_01!$A:$A,0))=DATE(1900,1,0),"",INDEX(Program_01!$BY:$BY,MATCH($B186,Program_01!$A:$A,0))),"")</f>
        <v/>
      </c>
      <c r="BM186" s="188" t="str">
        <f t="shared" ca="1" si="69"/>
        <v/>
      </c>
      <c r="BN186" s="191" t="str">
        <f t="shared" ca="1" si="70"/>
        <v/>
      </c>
      <c r="BO186" s="188" t="str">
        <f t="shared" si="61"/>
        <v/>
      </c>
      <c r="BP186" s="188" t="str">
        <f t="shared" si="6"/>
        <v/>
      </c>
      <c r="BQ186" s="188" t="str">
        <f t="shared" ca="1" si="71"/>
        <v/>
      </c>
      <c r="BR186" s="181" t="str">
        <f t="shared" ca="1" si="62"/>
        <v/>
      </c>
      <c r="BT186" s="190" t="str">
        <f>IFERROR(IF(INDEX(Program_01!$BZ:$BZ,MATCH($B186,Program_01!$A:$A,0))=DATE(1900,1,0),"",INDEX(Program_01!$BZ:$BZ,MATCH($B186,Program_01!$A:$A,0))),"")</f>
        <v/>
      </c>
      <c r="BU186" s="182" t="str">
        <f t="shared" ca="1" si="75"/>
        <v/>
      </c>
      <c r="BV186" s="188" t="str">
        <f t="shared" si="63"/>
        <v/>
      </c>
      <c r="BW186" s="188" t="str">
        <f t="shared" si="8"/>
        <v/>
      </c>
      <c r="BX186" s="188" t="str">
        <f t="shared" ca="1" si="64"/>
        <v/>
      </c>
      <c r="BY186" s="181" t="str">
        <f t="shared" ca="1" si="65"/>
        <v/>
      </c>
      <c r="CA186" s="192" t="str">
        <f t="shared" si="76"/>
        <v/>
      </c>
      <c r="CB186" s="192" t="str">
        <f t="shared" si="77"/>
        <v/>
      </c>
      <c r="CC186" s="193" t="str">
        <f>IFERROR(INDEX(Program_01!$CE:$CE,MATCH($B186,Program_01!$A:$A,0)),"")</f>
        <v/>
      </c>
      <c r="CD186" s="193">
        <f t="shared" si="66"/>
        <v>0</v>
      </c>
      <c r="CG186" s="194" t="str">
        <f>IFERROR(INDEX(Program_01!$AT:$AT,MATCH($B186,Program_01!$A:$A,0)),"")</f>
        <v/>
      </c>
      <c r="CH186" s="194" t="str">
        <f>IFERROR(INDEX(Program_01!$AX:$AX,MATCH($B186,Program_01!$A:$A,0)),"")</f>
        <v/>
      </c>
    </row>
    <row r="187" spans="1:86" s="187" customFormat="1" ht="17">
      <c r="A187" s="174" t="s">
        <v>1</v>
      </c>
      <c r="B187" s="175">
        <f t="shared" si="72"/>
        <v>169</v>
      </c>
      <c r="C187" s="176" t="str">
        <f>IFERROR(INDEX(Program_01!$B:$B,MATCH($B187,Program_01!$A:$A,0)),"")</f>
        <v/>
      </c>
      <c r="D187" s="176" t="str">
        <f>IFERROR(INDEX(Program_01!$D:$D,MATCH($B187,Program_01!$A:$A,0)),"")</f>
        <v/>
      </c>
      <c r="E187" s="176" t="str">
        <f>IFERROR(INDEX(Program_01!$E:$E,MATCH($B187,Program_01!$A:$A,0)),"")</f>
        <v/>
      </c>
      <c r="F187" s="176" t="str">
        <f>IFERROR(INDEX(Program_01!$F:$F,MATCH($B187,Program_01!$A:$A,0)),"")</f>
        <v/>
      </c>
      <c r="G187" s="176" t="str">
        <f>IFERROR(INDEX(Program_01!$G:$G,MATCH($B187,Program_01!$A:$A,0)),"")</f>
        <v/>
      </c>
      <c r="H187" s="176" t="str">
        <f>IFERROR(INDEX(Program_01!$H:$H,MATCH($B187,Program_01!$A:$A,0)),"")</f>
        <v/>
      </c>
      <c r="I187" s="176" t="str">
        <f t="shared" si="67"/>
        <v/>
      </c>
      <c r="J187" s="176" t="str">
        <f>IFERROR(INDEX(Program_01!$I:$I,MATCH($B187,Program_01!$A:$A,0)),"")</f>
        <v/>
      </c>
      <c r="K187" s="176" t="str">
        <f>IFERROR(INDEX(Program_01!$J:$J,MATCH($B187,Program_01!$A:$A,0)),"")</f>
        <v/>
      </c>
      <c r="L187" s="176" t="str">
        <f>IFERROR(INDEX(Program_01!$K:$K,MATCH($B187,Program_01!$A:$A,0)),"")</f>
        <v/>
      </c>
      <c r="M187" s="176" t="str">
        <f>IFERROR(INDEX(Program_01!$L:$L,MATCH($B187,Program_01!$A:$A,0)),"")</f>
        <v/>
      </c>
      <c r="N187" s="176" t="str">
        <f>IFERROR(INDEX(Program_01!$L:$L,MATCH($B187,Program_01!$A:$A,0)),"")</f>
        <v/>
      </c>
      <c r="O187" s="176" t="str">
        <f>IFERROR(INDEX(Program_01!$N:$N,MATCH($B187,Program_01!$A:$A,0)),"")</f>
        <v/>
      </c>
      <c r="P187" s="178"/>
      <c r="Q187" s="179" t="str">
        <f>IFERROR(INDEX(Program_01!$C:$C,MATCH($B187,Program_01!$A:$A,0)),"")</f>
        <v/>
      </c>
      <c r="R187" s="176" t="str">
        <f>IFERROR(INDEX(Program_01!$V:$V,MATCH($B187,Program_01!$A:$A,0)),"")</f>
        <v/>
      </c>
      <c r="S187" s="180" t="str">
        <f>IFERROR(INDEX(Program_01!$W:$W,MATCH($B187,Program_01!$A:$A,0)),"")</f>
        <v/>
      </c>
      <c r="T187" s="178"/>
      <c r="U187" s="176" t="str">
        <f>IFERROR(INDEX(Program_01!$Z:$Z,MATCH($B187,Program_01!$A:$A,0)),"")</f>
        <v/>
      </c>
      <c r="V187" s="181" t="str">
        <f>IFERROR(INDEX(Program_01!$AA:$AA,MATCH($B187,Program_01!$A:$A,0)),"")</f>
        <v/>
      </c>
      <c r="W187" s="182" t="str">
        <f t="shared" ca="1" si="0"/>
        <v/>
      </c>
      <c r="X187" s="51"/>
      <c r="Y187" s="179" t="str">
        <f>IFERROR(INDEX(Program_01!$BD:$BD,MATCH($B187,Program_01!$A:$A,0)),"")</f>
        <v/>
      </c>
      <c r="Z187" s="51"/>
      <c r="AA187" s="183" t="str">
        <f>IFERROR(IF((INDEX(Program_01!$AD:$AD,MATCH($B187,Program_01!$A:$A,0))=""),INDEX(Program_01!$V:$V,MATCH($B187,Program_01!$A:$A,0)),INDEX(Program_01!$AD:$AD,MATCH($B187,Program_01!$A:$A,0))),"")</f>
        <v/>
      </c>
      <c r="AB187" s="147" t="str">
        <f>IFERROR(IF((INDEX(Program_01!$AE:$AE,MATCH($B187,Program_01!$A:$A,0))=""),INDEX(Program_01!$W:$W,MATCH($B187,Program_01!$A:$A,0)),INDEX(Program_01!$AE:$AE,MATCH($B187,Program_01!$A:$A,0))),"")</f>
        <v/>
      </c>
      <c r="AC187" s="183" t="str">
        <f>IFERROR(IF($I187="EOT",INDEX(Program_01!$AN:$AN,MATCH($B187,Program_01!$A:$A,0)),INDEX(Program_01!$AY:$AY,MATCH($B187,Program_01!$A:$A,0))),"")</f>
        <v/>
      </c>
      <c r="AD187" s="181" t="str">
        <f>IFERROR(IF($I187="EOT",INDEX(Program_01!$AO:$AO,MATCH($B187,Program_01!$A:$A,0)),INDEX(Program_01!$AZ:$AZ,MATCH($B187,Program_01!$A:$A,0))),"")</f>
        <v/>
      </c>
      <c r="AE187" s="51"/>
      <c r="AF187" s="183"/>
      <c r="AG187" s="181"/>
      <c r="AH187" s="183" t="str">
        <f>IF(OR($D187="",$AS187="VO Issued",$AS187="Open"),"",IF(OR($AC187="Rejected",$AC187="Superseded",$AC187="Dealt Separately"),$AC187,IF($I187="EOT",INDEX(Program_01!$AR:$AR,MATCH($B187,Program_01!$A:$A,0)),INDEX(Program_01!$BB:$BB,MATCH($B187,Program_01!$A:$A,0)))))</f>
        <v/>
      </c>
      <c r="AI187" s="181" t="str">
        <f>IF(OR($A187="",$B187="",$I187="",$AS187="VO Issued",$AS187="Open"),"",IF(OR($AD187="N/A"),$AD187,IF($I187="EOT",INDEX(Program_01!$AS:$AS,MATCH($B187,Program_01!$A:$A,0)),INDEX(Program_01!$BC:$BC,MATCH($B187,Program_01!$A:$A,0)))))</f>
        <v/>
      </c>
      <c r="AJ187" s="183" t="str">
        <f>IF(OR($D187="",$I187="",$AS187="Determination Issued",$AS187="Rejected",$AS187="Open"),"",IF(OR($AH187="Rejected",$AH187="Dealt Separately",$AH187="Superseded",$AH187="Withdrawn"),"N/A",IF($I187="EOT",INDEX(Program_01!AR:AR,MATCH($B187,Program_01!A:A,0)),INDEX(Program_01!BB:BB,MATCH($B187,Program_01!A:A,0)))))</f>
        <v/>
      </c>
      <c r="AK187" s="181" t="str">
        <f>IF(OR($A187="",$B187="",$I187="",$AS187="Determination Issued",$AS187="Rejected",$AS187="Open"),"",IF($AJ187="N/A","N/A",IF($I187="EOT",INDEX(Program_01!AS:AS,MATCH($B187,Program_01!A:A,0)),INDEX(Program_01!BC:BC,MATCH($B187,Program_01!A:A,0)))))</f>
        <v/>
      </c>
      <c r="AL187" s="51"/>
      <c r="AM187" s="184" t="str">
        <f>IFERROR(INDEX(Program_01!$BT:$BT,MATCH($B187,Program_01!$A:$A,0)),"")</f>
        <v/>
      </c>
      <c r="AN187" s="184" t="str">
        <f>IFERROR(INDEX(Program_01!$BU:$BU,MATCH($B187,Program_01!$A:$A,0)),"")</f>
        <v/>
      </c>
      <c r="AO187" s="184" t="str">
        <f>IFERROR(INDEX(Program_01!$BV:$BV,MATCH($B187,Program_01!$A:$A,0)),"")</f>
        <v/>
      </c>
      <c r="AP187" s="51" t="str">
        <f t="shared" si="73"/>
        <v/>
      </c>
      <c r="AQ187" s="184" t="str">
        <f>IFERROR(INDEX(Program_01!$BN:$BN,MATCH($B187,Program_01!$A:$A,0)),"")</f>
        <v/>
      </c>
      <c r="AR187" s="184" t="str">
        <f>IFERROR(INDEX(Program_01!$BO:$BO,MATCH($B187,Program_01!$A:$A,0)),"")</f>
        <v/>
      </c>
      <c r="AS187" s="184" t="str">
        <f>IFERROR(INDEX(Program_01!$BP:$BP,MATCH($B187,Program_01!$A:$A,0)),"")</f>
        <v/>
      </c>
      <c r="AT187" s="185" t="str">
        <f>IFERROR(INDEX(Program_01!$BQ:$BQ,MATCH($B187,Program_01!$A:$A,0)),"")</f>
        <v/>
      </c>
      <c r="AU187" s="179" t="str">
        <f>IFERROR(INDEX(Program_01!$BR:$BR,MATCH($B187,Program_01!$A:$A,0)),"")</f>
        <v/>
      </c>
      <c r="AV187" s="186" t="str">
        <f t="shared" si="58"/>
        <v/>
      </c>
      <c r="AW187" s="186" t="str">
        <f t="shared" si="74"/>
        <v/>
      </c>
      <c r="AX187" s="186" t="str">
        <f t="shared" si="59"/>
        <v/>
      </c>
      <c r="AY187" s="181" t="str">
        <f t="shared" si="68"/>
        <v/>
      </c>
      <c r="AZ187" s="181" t="str">
        <f t="shared" si="60"/>
        <v/>
      </c>
      <c r="BA187" s="181" t="str">
        <f t="shared" si="4"/>
        <v/>
      </c>
      <c r="BC187" s="181" t="str">
        <f>IFERROR(INDEX(Program_01!BF:BF,MATCH($B187,Program_01!$A:$A,0)),"")</f>
        <v/>
      </c>
      <c r="BD187" s="188" t="str">
        <f>IFERROR(INDEX(Program_01!BG:BG,MATCH($B187,Program_01!$A:$A,0)),"")</f>
        <v/>
      </c>
      <c r="BE187" s="181" t="str">
        <f>IFERROR(INDEX(Program_01!BH:BH,MATCH($B187,Program_01!$A:$A,0)),"")</f>
        <v/>
      </c>
      <c r="BF187" s="189" t="str">
        <f>IFERROR(INDEX(Program_01!BI:BI,MATCH($B187,Program_01!$A:$A,0)),"")</f>
        <v/>
      </c>
      <c r="BG187" s="181" t="str">
        <f>IFERROR(INDEX(Program_01!BJ:BJ,MATCH($B187,Program_01!$A:$A,0)),"")</f>
        <v/>
      </c>
      <c r="BH187" s="189" t="str">
        <f>IFERROR(INDEX(Program_01!BK:BK,MATCH($B187,Program_01!$A:$A,0)),"")</f>
        <v/>
      </c>
      <c r="BI187" s="181" t="str">
        <f>IFERROR(INDEX(Program_01!BL:BL,MATCH($B187,Program_01!$A:$A,0)),"")</f>
        <v/>
      </c>
      <c r="BK187" s="190" t="str">
        <f>IFERROR(IF(INDEX(Program_01!$BX:$BX,MATCH($B187,Program_01!$A:$A,0))=DATE(1900,1,0),"",INDEX(Program_01!$BX:$BX,MATCH($B187,Program_01!$A:$A,0))),"")</f>
        <v/>
      </c>
      <c r="BL187" s="190" t="str">
        <f>IFERROR(IF(INDEX(Program_01!$BY:$BY,MATCH($B187,Program_01!$A:$A,0))=DATE(1900,1,0),"",INDEX(Program_01!$BY:$BY,MATCH($B187,Program_01!$A:$A,0))),"")</f>
        <v/>
      </c>
      <c r="BM187" s="188" t="str">
        <f t="shared" ca="1" si="69"/>
        <v/>
      </c>
      <c r="BN187" s="191" t="str">
        <f t="shared" ca="1" si="70"/>
        <v/>
      </c>
      <c r="BO187" s="188" t="str">
        <f t="shared" si="61"/>
        <v/>
      </c>
      <c r="BP187" s="188" t="str">
        <f t="shared" si="6"/>
        <v/>
      </c>
      <c r="BQ187" s="188" t="str">
        <f t="shared" ca="1" si="71"/>
        <v/>
      </c>
      <c r="BR187" s="181" t="str">
        <f t="shared" ca="1" si="62"/>
        <v/>
      </c>
      <c r="BT187" s="190" t="str">
        <f>IFERROR(IF(INDEX(Program_01!$BZ:$BZ,MATCH($B187,Program_01!$A:$A,0))=DATE(1900,1,0),"",INDEX(Program_01!$BZ:$BZ,MATCH($B187,Program_01!$A:$A,0))),"")</f>
        <v/>
      </c>
      <c r="BU187" s="182" t="str">
        <f t="shared" ca="1" si="75"/>
        <v/>
      </c>
      <c r="BV187" s="188" t="str">
        <f t="shared" si="63"/>
        <v/>
      </c>
      <c r="BW187" s="188" t="str">
        <f t="shared" si="8"/>
        <v/>
      </c>
      <c r="BX187" s="188" t="str">
        <f t="shared" ca="1" si="64"/>
        <v/>
      </c>
      <c r="BY187" s="181" t="str">
        <f t="shared" ca="1" si="65"/>
        <v/>
      </c>
      <c r="CA187" s="192" t="str">
        <f t="shared" si="76"/>
        <v/>
      </c>
      <c r="CB187" s="192" t="str">
        <f t="shared" si="77"/>
        <v/>
      </c>
      <c r="CC187" s="193" t="str">
        <f>IFERROR(INDEX(Program_01!$CE:$CE,MATCH($B187,Program_01!$A:$A,0)),"")</f>
        <v/>
      </c>
      <c r="CD187" s="193">
        <f t="shared" si="66"/>
        <v>0</v>
      </c>
      <c r="CG187" s="194" t="str">
        <f>IFERROR(INDEX(Program_01!$AT:$AT,MATCH($B187,Program_01!$A:$A,0)),"")</f>
        <v/>
      </c>
      <c r="CH187" s="194" t="str">
        <f>IFERROR(INDEX(Program_01!$AX:$AX,MATCH($B187,Program_01!$A:$A,0)),"")</f>
        <v/>
      </c>
    </row>
    <row r="188" spans="1:86" s="187" customFormat="1" ht="17">
      <c r="A188" s="174" t="s">
        <v>1</v>
      </c>
      <c r="B188" s="175">
        <f t="shared" si="72"/>
        <v>170</v>
      </c>
      <c r="C188" s="176" t="str">
        <f>IFERROR(INDEX(Program_01!$B:$B,MATCH($B188,Program_01!$A:$A,0)),"")</f>
        <v/>
      </c>
      <c r="D188" s="176" t="str">
        <f>IFERROR(INDEX(Program_01!$D:$D,MATCH($B188,Program_01!$A:$A,0)),"")</f>
        <v/>
      </c>
      <c r="E188" s="176" t="str">
        <f>IFERROR(INDEX(Program_01!$E:$E,MATCH($B188,Program_01!$A:$A,0)),"")</f>
        <v/>
      </c>
      <c r="F188" s="176" t="str">
        <f>IFERROR(INDEX(Program_01!$F:$F,MATCH($B188,Program_01!$A:$A,0)),"")</f>
        <v/>
      </c>
      <c r="G188" s="176" t="str">
        <f>IFERROR(INDEX(Program_01!$G:$G,MATCH($B188,Program_01!$A:$A,0)),"")</f>
        <v/>
      </c>
      <c r="H188" s="176" t="str">
        <f>IFERROR(INDEX(Program_01!$H:$H,MATCH($B188,Program_01!$A:$A,0)),"")</f>
        <v/>
      </c>
      <c r="I188" s="176" t="str">
        <f t="shared" si="67"/>
        <v/>
      </c>
      <c r="J188" s="176" t="str">
        <f>IFERROR(INDEX(Program_01!$I:$I,MATCH($B188,Program_01!$A:$A,0)),"")</f>
        <v/>
      </c>
      <c r="K188" s="176" t="str">
        <f>IFERROR(INDEX(Program_01!$J:$J,MATCH($B188,Program_01!$A:$A,0)),"")</f>
        <v/>
      </c>
      <c r="L188" s="176" t="str">
        <f>IFERROR(INDEX(Program_01!$K:$K,MATCH($B188,Program_01!$A:$A,0)),"")</f>
        <v/>
      </c>
      <c r="M188" s="176" t="str">
        <f>IFERROR(INDEX(Program_01!$L:$L,MATCH($B188,Program_01!$A:$A,0)),"")</f>
        <v/>
      </c>
      <c r="N188" s="176" t="str">
        <f>IFERROR(INDEX(Program_01!$L:$L,MATCH($B188,Program_01!$A:$A,0)),"")</f>
        <v/>
      </c>
      <c r="O188" s="176" t="str">
        <f>IFERROR(INDEX(Program_01!$N:$N,MATCH($B188,Program_01!$A:$A,0)),"")</f>
        <v/>
      </c>
      <c r="P188" s="178"/>
      <c r="Q188" s="179" t="str">
        <f>IFERROR(INDEX(Program_01!$C:$C,MATCH($B188,Program_01!$A:$A,0)),"")</f>
        <v/>
      </c>
      <c r="R188" s="176" t="str">
        <f>IFERROR(INDEX(Program_01!$V:$V,MATCH($B188,Program_01!$A:$A,0)),"")</f>
        <v/>
      </c>
      <c r="S188" s="180" t="str">
        <f>IFERROR(INDEX(Program_01!$W:$W,MATCH($B188,Program_01!$A:$A,0)),"")</f>
        <v/>
      </c>
      <c r="T188" s="178"/>
      <c r="U188" s="176" t="str">
        <f>IFERROR(INDEX(Program_01!$Z:$Z,MATCH($B188,Program_01!$A:$A,0)),"")</f>
        <v/>
      </c>
      <c r="V188" s="181" t="str">
        <f>IFERROR(INDEX(Program_01!$AA:$AA,MATCH($B188,Program_01!$A:$A,0)),"")</f>
        <v/>
      </c>
      <c r="W188" s="182" t="str">
        <f t="shared" ca="1" si="0"/>
        <v/>
      </c>
      <c r="X188" s="51"/>
      <c r="Y188" s="179" t="str">
        <f>IFERROR(INDEX(Program_01!$BD:$BD,MATCH($B188,Program_01!$A:$A,0)),"")</f>
        <v/>
      </c>
      <c r="Z188" s="51"/>
      <c r="AA188" s="183" t="str">
        <f>IFERROR(IF((INDEX(Program_01!$AD:$AD,MATCH($B188,Program_01!$A:$A,0))=""),INDEX(Program_01!$V:$V,MATCH($B188,Program_01!$A:$A,0)),INDEX(Program_01!$AD:$AD,MATCH($B188,Program_01!$A:$A,0))),"")</f>
        <v/>
      </c>
      <c r="AB188" s="147" t="str">
        <f>IFERROR(IF((INDEX(Program_01!$AE:$AE,MATCH($B188,Program_01!$A:$A,0))=""),INDEX(Program_01!$W:$W,MATCH($B188,Program_01!$A:$A,0)),INDEX(Program_01!$AE:$AE,MATCH($B188,Program_01!$A:$A,0))),"")</f>
        <v/>
      </c>
      <c r="AC188" s="183" t="str">
        <f>IFERROR(IF($I188="EOT",INDEX(Program_01!$AN:$AN,MATCH($B188,Program_01!$A:$A,0)),INDEX(Program_01!$AY:$AY,MATCH($B188,Program_01!$A:$A,0))),"")</f>
        <v/>
      </c>
      <c r="AD188" s="181" t="str">
        <f>IFERROR(IF($I188="EOT",INDEX(Program_01!$AO:$AO,MATCH($B188,Program_01!$A:$A,0)),INDEX(Program_01!$AZ:$AZ,MATCH($B188,Program_01!$A:$A,0))),"")</f>
        <v/>
      </c>
      <c r="AE188" s="51"/>
      <c r="AF188" s="183"/>
      <c r="AG188" s="181"/>
      <c r="AH188" s="183" t="str">
        <f>IF(OR($D188="",$AS188="VO Issued",$AS188="Open"),"",IF(OR($AC188="Rejected",$AC188="Superseded",$AC188="Dealt Separately"),$AC188,IF($I188="EOT",INDEX(Program_01!$AR:$AR,MATCH($B188,Program_01!$A:$A,0)),INDEX(Program_01!$BB:$BB,MATCH($B188,Program_01!$A:$A,0)))))</f>
        <v/>
      </c>
      <c r="AI188" s="181" t="str">
        <f>IF(OR($A188="",$B188="",$I188="",$AS188="VO Issued",$AS188="Open"),"",IF(OR($AD188="N/A"),$AD188,IF($I188="EOT",INDEX(Program_01!$AS:$AS,MATCH($B188,Program_01!$A:$A,0)),INDEX(Program_01!$BC:$BC,MATCH($B188,Program_01!$A:$A,0)))))</f>
        <v/>
      </c>
      <c r="AJ188" s="183" t="str">
        <f>IF(OR($D188="",$I188="",$AS188="Determination Issued",$AS188="Rejected",$AS188="Open"),"",IF(OR($AH188="Rejected",$AH188="Dealt Separately",$AH188="Superseded",$AH188="Withdrawn"),"N/A",IF($I188="EOT",INDEX(Program_01!AR:AR,MATCH($B188,Program_01!A:A,0)),INDEX(Program_01!BB:BB,MATCH($B188,Program_01!A:A,0)))))</f>
        <v/>
      </c>
      <c r="AK188" s="181" t="str">
        <f>IF(OR($A188="",$B188="",$I188="",$AS188="Determination Issued",$AS188="Rejected",$AS188="Open"),"",IF($AJ188="N/A","N/A",IF($I188="EOT",INDEX(Program_01!AS:AS,MATCH($B188,Program_01!A:A,0)),INDEX(Program_01!BC:BC,MATCH($B188,Program_01!A:A,0)))))</f>
        <v/>
      </c>
      <c r="AL188" s="51"/>
      <c r="AM188" s="184" t="str">
        <f>IFERROR(INDEX(Program_01!$BT:$BT,MATCH($B188,Program_01!$A:$A,0)),"")</f>
        <v/>
      </c>
      <c r="AN188" s="184" t="str">
        <f>IFERROR(INDEX(Program_01!$BU:$BU,MATCH($B188,Program_01!$A:$A,0)),"")</f>
        <v/>
      </c>
      <c r="AO188" s="184" t="str">
        <f>IFERROR(INDEX(Program_01!$BV:$BV,MATCH($B188,Program_01!$A:$A,0)),"")</f>
        <v/>
      </c>
      <c r="AP188" s="51" t="str">
        <f t="shared" si="73"/>
        <v/>
      </c>
      <c r="AQ188" s="184" t="str">
        <f>IFERROR(INDEX(Program_01!$BN:$BN,MATCH($B188,Program_01!$A:$A,0)),"")</f>
        <v/>
      </c>
      <c r="AR188" s="184" t="str">
        <f>IFERROR(INDEX(Program_01!$BO:$BO,MATCH($B188,Program_01!$A:$A,0)),"")</f>
        <v/>
      </c>
      <c r="AS188" s="184" t="str">
        <f>IFERROR(INDEX(Program_01!$BP:$BP,MATCH($B188,Program_01!$A:$A,0)),"")</f>
        <v/>
      </c>
      <c r="AT188" s="185" t="str">
        <f>IFERROR(INDEX(Program_01!$BQ:$BQ,MATCH($B188,Program_01!$A:$A,0)),"")</f>
        <v/>
      </c>
      <c r="AU188" s="179" t="str">
        <f>IFERROR(INDEX(Program_01!$BR:$BR,MATCH($B188,Program_01!$A:$A,0)),"")</f>
        <v/>
      </c>
      <c r="AV188" s="186" t="str">
        <f t="shared" si="58"/>
        <v/>
      </c>
      <c r="AW188" s="186" t="str">
        <f t="shared" si="74"/>
        <v/>
      </c>
      <c r="AX188" s="186" t="str">
        <f t="shared" si="59"/>
        <v/>
      </c>
      <c r="AY188" s="181" t="str">
        <f t="shared" si="68"/>
        <v/>
      </c>
      <c r="AZ188" s="181" t="str">
        <f t="shared" si="60"/>
        <v/>
      </c>
      <c r="BA188" s="181" t="str">
        <f t="shared" si="4"/>
        <v/>
      </c>
      <c r="BC188" s="181" t="str">
        <f>IFERROR(INDEX(Program_01!BF:BF,MATCH($B188,Program_01!$A:$A,0)),"")</f>
        <v/>
      </c>
      <c r="BD188" s="188" t="str">
        <f>IFERROR(INDEX(Program_01!BG:BG,MATCH($B188,Program_01!$A:$A,0)),"")</f>
        <v/>
      </c>
      <c r="BE188" s="181" t="str">
        <f>IFERROR(INDEX(Program_01!BH:BH,MATCH($B188,Program_01!$A:$A,0)),"")</f>
        <v/>
      </c>
      <c r="BF188" s="189" t="str">
        <f>IFERROR(INDEX(Program_01!BI:BI,MATCH($B188,Program_01!$A:$A,0)),"")</f>
        <v/>
      </c>
      <c r="BG188" s="181" t="str">
        <f>IFERROR(INDEX(Program_01!BJ:BJ,MATCH($B188,Program_01!$A:$A,0)),"")</f>
        <v/>
      </c>
      <c r="BH188" s="189" t="str">
        <f>IFERROR(INDEX(Program_01!BK:BK,MATCH($B188,Program_01!$A:$A,0)),"")</f>
        <v/>
      </c>
      <c r="BI188" s="181" t="str">
        <f>IFERROR(INDEX(Program_01!BL:BL,MATCH($B188,Program_01!$A:$A,0)),"")</f>
        <v/>
      </c>
      <c r="BK188" s="190" t="str">
        <f>IFERROR(IF(INDEX(Program_01!$BX:$BX,MATCH($B188,Program_01!$A:$A,0))=DATE(1900,1,0),"",INDEX(Program_01!$BX:$BX,MATCH($B188,Program_01!$A:$A,0))),"")</f>
        <v/>
      </c>
      <c r="BL188" s="190" t="str">
        <f>IFERROR(IF(INDEX(Program_01!$BY:$BY,MATCH($B188,Program_01!$A:$A,0))=DATE(1900,1,0),"",INDEX(Program_01!$BY:$BY,MATCH($B188,Program_01!$A:$A,0))),"")</f>
        <v/>
      </c>
      <c r="BM188" s="188" t="str">
        <f t="shared" ca="1" si="69"/>
        <v/>
      </c>
      <c r="BN188" s="191" t="str">
        <f t="shared" ca="1" si="70"/>
        <v/>
      </c>
      <c r="BO188" s="188" t="str">
        <f t="shared" si="61"/>
        <v/>
      </c>
      <c r="BP188" s="188" t="str">
        <f t="shared" si="6"/>
        <v/>
      </c>
      <c r="BQ188" s="188" t="str">
        <f t="shared" ca="1" si="71"/>
        <v/>
      </c>
      <c r="BR188" s="181" t="str">
        <f t="shared" ca="1" si="62"/>
        <v/>
      </c>
      <c r="BT188" s="190" t="str">
        <f>IFERROR(IF(INDEX(Program_01!$BZ:$BZ,MATCH($B188,Program_01!$A:$A,0))=DATE(1900,1,0),"",INDEX(Program_01!$BZ:$BZ,MATCH($B188,Program_01!$A:$A,0))),"")</f>
        <v/>
      </c>
      <c r="BU188" s="182" t="str">
        <f t="shared" ca="1" si="75"/>
        <v/>
      </c>
      <c r="BV188" s="188" t="str">
        <f t="shared" si="63"/>
        <v/>
      </c>
      <c r="BW188" s="188" t="str">
        <f t="shared" si="8"/>
        <v/>
      </c>
      <c r="BX188" s="188" t="str">
        <f t="shared" ca="1" si="64"/>
        <v/>
      </c>
      <c r="BY188" s="181" t="str">
        <f t="shared" ca="1" si="65"/>
        <v/>
      </c>
      <c r="CA188" s="192" t="str">
        <f t="shared" si="76"/>
        <v/>
      </c>
      <c r="CB188" s="192" t="str">
        <f t="shared" si="77"/>
        <v/>
      </c>
      <c r="CC188" s="193" t="str">
        <f>IFERROR(INDEX(Program_01!$CE:$CE,MATCH($B188,Program_01!$A:$A,0)),"")</f>
        <v/>
      </c>
      <c r="CD188" s="193">
        <f t="shared" si="66"/>
        <v>0</v>
      </c>
      <c r="CG188" s="194" t="str">
        <f>IFERROR(INDEX(Program_01!$AT:$AT,MATCH($B188,Program_01!$A:$A,0)),"")</f>
        <v/>
      </c>
      <c r="CH188" s="194" t="str">
        <f>IFERROR(INDEX(Program_01!$AX:$AX,MATCH($B188,Program_01!$A:$A,0)),"")</f>
        <v/>
      </c>
    </row>
    <row r="189" spans="1:86" s="187" customFormat="1" ht="17">
      <c r="A189" s="174" t="s">
        <v>1</v>
      </c>
      <c r="B189" s="175">
        <f t="shared" si="72"/>
        <v>171</v>
      </c>
      <c r="C189" s="176" t="str">
        <f>IFERROR(INDEX(Program_01!$B:$B,MATCH($B189,Program_01!$A:$A,0)),"")</f>
        <v/>
      </c>
      <c r="D189" s="176" t="str">
        <f>IFERROR(INDEX(Program_01!$D:$D,MATCH($B189,Program_01!$A:$A,0)),"")</f>
        <v/>
      </c>
      <c r="E189" s="176" t="str">
        <f>IFERROR(INDEX(Program_01!$E:$E,MATCH($B189,Program_01!$A:$A,0)),"")</f>
        <v/>
      </c>
      <c r="F189" s="176" t="str">
        <f>IFERROR(INDEX(Program_01!$F:$F,MATCH($B189,Program_01!$A:$A,0)),"")</f>
        <v/>
      </c>
      <c r="G189" s="176" t="str">
        <f>IFERROR(INDEX(Program_01!$G:$G,MATCH($B189,Program_01!$A:$A,0)),"")</f>
        <v/>
      </c>
      <c r="H189" s="176" t="str">
        <f>IFERROR(INDEX(Program_01!$H:$H,MATCH($B189,Program_01!$A:$A,0)),"")</f>
        <v/>
      </c>
      <c r="I189" s="176" t="str">
        <f t="shared" si="67"/>
        <v/>
      </c>
      <c r="J189" s="176" t="str">
        <f>IFERROR(INDEX(Program_01!$I:$I,MATCH($B189,Program_01!$A:$A,0)),"")</f>
        <v/>
      </c>
      <c r="K189" s="176" t="str">
        <f>IFERROR(INDEX(Program_01!$J:$J,MATCH($B189,Program_01!$A:$A,0)),"")</f>
        <v/>
      </c>
      <c r="L189" s="176" t="str">
        <f>IFERROR(INDEX(Program_01!$K:$K,MATCH($B189,Program_01!$A:$A,0)),"")</f>
        <v/>
      </c>
      <c r="M189" s="176" t="str">
        <f>IFERROR(INDEX(Program_01!$L:$L,MATCH($B189,Program_01!$A:$A,0)),"")</f>
        <v/>
      </c>
      <c r="N189" s="176" t="str">
        <f>IFERROR(INDEX(Program_01!$L:$L,MATCH($B189,Program_01!$A:$A,0)),"")</f>
        <v/>
      </c>
      <c r="O189" s="176" t="str">
        <f>IFERROR(INDEX(Program_01!$N:$N,MATCH($B189,Program_01!$A:$A,0)),"")</f>
        <v/>
      </c>
      <c r="P189" s="178"/>
      <c r="Q189" s="179" t="str">
        <f>IFERROR(INDEX(Program_01!$C:$C,MATCH($B189,Program_01!$A:$A,0)),"")</f>
        <v/>
      </c>
      <c r="R189" s="176" t="str">
        <f>IFERROR(INDEX(Program_01!$V:$V,MATCH($B189,Program_01!$A:$A,0)),"")</f>
        <v/>
      </c>
      <c r="S189" s="180" t="str">
        <f>IFERROR(INDEX(Program_01!$W:$W,MATCH($B189,Program_01!$A:$A,0)),"")</f>
        <v/>
      </c>
      <c r="T189" s="178"/>
      <c r="U189" s="176" t="str">
        <f>IFERROR(INDEX(Program_01!$Z:$Z,MATCH($B189,Program_01!$A:$A,0)),"")</f>
        <v/>
      </c>
      <c r="V189" s="181" t="str">
        <f>IFERROR(INDEX(Program_01!$AA:$AA,MATCH($B189,Program_01!$A:$A,0)),"")</f>
        <v/>
      </c>
      <c r="W189" s="182" t="str">
        <f t="shared" ca="1" si="0"/>
        <v/>
      </c>
      <c r="X189" s="51"/>
      <c r="Y189" s="179" t="str">
        <f>IFERROR(INDEX(Program_01!$BD:$BD,MATCH($B189,Program_01!$A:$A,0)),"")</f>
        <v/>
      </c>
      <c r="Z189" s="51"/>
      <c r="AA189" s="183" t="str">
        <f>IFERROR(IF((INDEX(Program_01!$AD:$AD,MATCH($B189,Program_01!$A:$A,0))=""),INDEX(Program_01!$V:$V,MATCH($B189,Program_01!$A:$A,0)),INDEX(Program_01!$AD:$AD,MATCH($B189,Program_01!$A:$A,0))),"")</f>
        <v/>
      </c>
      <c r="AB189" s="147" t="str">
        <f>IFERROR(IF((INDEX(Program_01!$AE:$AE,MATCH($B189,Program_01!$A:$A,0))=""),INDEX(Program_01!$W:$W,MATCH($B189,Program_01!$A:$A,0)),INDEX(Program_01!$AE:$AE,MATCH($B189,Program_01!$A:$A,0))),"")</f>
        <v/>
      </c>
      <c r="AC189" s="183" t="str">
        <f>IFERROR(IF($I189="EOT",INDEX(Program_01!$AN:$AN,MATCH($B189,Program_01!$A:$A,0)),INDEX(Program_01!$AY:$AY,MATCH($B189,Program_01!$A:$A,0))),"")</f>
        <v/>
      </c>
      <c r="AD189" s="181" t="str">
        <f>IFERROR(IF($I189="EOT",INDEX(Program_01!$AO:$AO,MATCH($B189,Program_01!$A:$A,0)),INDEX(Program_01!$AZ:$AZ,MATCH($B189,Program_01!$A:$A,0))),"")</f>
        <v/>
      </c>
      <c r="AE189" s="51"/>
      <c r="AF189" s="183"/>
      <c r="AG189" s="181"/>
      <c r="AH189" s="183" t="str">
        <f>IF(OR($D189="",$AS189="VO Issued",$AS189="Open"),"",IF(OR($AC189="Rejected",$AC189="Superseded",$AC189="Dealt Separately"),$AC189,IF($I189="EOT",INDEX(Program_01!$AR:$AR,MATCH($B189,Program_01!$A:$A,0)),INDEX(Program_01!$BB:$BB,MATCH($B189,Program_01!$A:$A,0)))))</f>
        <v/>
      </c>
      <c r="AI189" s="181" t="str">
        <f>IF(OR($A189="",$B189="",$I189="",$AS189="VO Issued",$AS189="Open"),"",IF(OR($AD189="N/A"),$AD189,IF($I189="EOT",INDEX(Program_01!$AS:$AS,MATCH($B189,Program_01!$A:$A,0)),INDEX(Program_01!$BC:$BC,MATCH($B189,Program_01!$A:$A,0)))))</f>
        <v/>
      </c>
      <c r="AJ189" s="183" t="str">
        <f>IF(OR($D189="",$I189="",$AS189="Determination Issued",$AS189="Rejected",$AS189="Open"),"",IF(OR($AH189="Rejected",$AH189="Dealt Separately",$AH189="Superseded",$AH189="Withdrawn"),"N/A",IF($I189="EOT",INDEX(Program_01!AR:AR,MATCH($B189,Program_01!A:A,0)),INDEX(Program_01!BB:BB,MATCH($B189,Program_01!A:A,0)))))</f>
        <v/>
      </c>
      <c r="AK189" s="181" t="str">
        <f>IF(OR($A189="",$B189="",$I189="",$AS189="Determination Issued",$AS189="Rejected",$AS189="Open"),"",IF($AJ189="N/A","N/A",IF($I189="EOT",INDEX(Program_01!AS:AS,MATCH($B189,Program_01!A:A,0)),INDEX(Program_01!BC:BC,MATCH($B189,Program_01!A:A,0)))))</f>
        <v/>
      </c>
      <c r="AL189" s="51"/>
      <c r="AM189" s="184" t="str">
        <f>IFERROR(INDEX(Program_01!$BT:$BT,MATCH($B189,Program_01!$A:$A,0)),"")</f>
        <v/>
      </c>
      <c r="AN189" s="184" t="str">
        <f>IFERROR(INDEX(Program_01!$BU:$BU,MATCH($B189,Program_01!$A:$A,0)),"")</f>
        <v/>
      </c>
      <c r="AO189" s="184" t="str">
        <f>IFERROR(INDEX(Program_01!$BV:$BV,MATCH($B189,Program_01!$A:$A,0)),"")</f>
        <v/>
      </c>
      <c r="AP189" s="51" t="str">
        <f t="shared" si="73"/>
        <v/>
      </c>
      <c r="AQ189" s="184" t="str">
        <f>IFERROR(INDEX(Program_01!$BN:$BN,MATCH($B189,Program_01!$A:$A,0)),"")</f>
        <v/>
      </c>
      <c r="AR189" s="184" t="str">
        <f>IFERROR(INDEX(Program_01!$BO:$BO,MATCH($B189,Program_01!$A:$A,0)),"")</f>
        <v/>
      </c>
      <c r="AS189" s="184" t="str">
        <f>IFERROR(INDEX(Program_01!$BP:$BP,MATCH($B189,Program_01!$A:$A,0)),"")</f>
        <v/>
      </c>
      <c r="AT189" s="185" t="str">
        <f>IFERROR(INDEX(Program_01!$BQ:$BQ,MATCH($B189,Program_01!$A:$A,0)),"")</f>
        <v/>
      </c>
      <c r="AU189" s="179" t="str">
        <f>IFERROR(INDEX(Program_01!$BR:$BR,MATCH($B189,Program_01!$A:$A,0)),"")</f>
        <v/>
      </c>
      <c r="AV189" s="186" t="str">
        <f t="shared" si="58"/>
        <v/>
      </c>
      <c r="AW189" s="186" t="str">
        <f t="shared" si="74"/>
        <v/>
      </c>
      <c r="AX189" s="186" t="str">
        <f t="shared" si="59"/>
        <v/>
      </c>
      <c r="AY189" s="181" t="str">
        <f t="shared" si="68"/>
        <v/>
      </c>
      <c r="AZ189" s="181" t="str">
        <f t="shared" si="60"/>
        <v/>
      </c>
      <c r="BA189" s="181" t="str">
        <f t="shared" si="4"/>
        <v/>
      </c>
      <c r="BC189" s="181" t="str">
        <f>IFERROR(INDEX(Program_01!BF:BF,MATCH($B189,Program_01!$A:$A,0)),"")</f>
        <v/>
      </c>
      <c r="BD189" s="188" t="str">
        <f>IFERROR(INDEX(Program_01!BG:BG,MATCH($B189,Program_01!$A:$A,0)),"")</f>
        <v/>
      </c>
      <c r="BE189" s="181" t="str">
        <f>IFERROR(INDEX(Program_01!BH:BH,MATCH($B189,Program_01!$A:$A,0)),"")</f>
        <v/>
      </c>
      <c r="BF189" s="189" t="str">
        <f>IFERROR(INDEX(Program_01!BI:BI,MATCH($B189,Program_01!$A:$A,0)),"")</f>
        <v/>
      </c>
      <c r="BG189" s="181" t="str">
        <f>IFERROR(INDEX(Program_01!BJ:BJ,MATCH($B189,Program_01!$A:$A,0)),"")</f>
        <v/>
      </c>
      <c r="BH189" s="189" t="str">
        <f>IFERROR(INDEX(Program_01!BK:BK,MATCH($B189,Program_01!$A:$A,0)),"")</f>
        <v/>
      </c>
      <c r="BI189" s="181" t="str">
        <f>IFERROR(INDEX(Program_01!BL:BL,MATCH($B189,Program_01!$A:$A,0)),"")</f>
        <v/>
      </c>
      <c r="BK189" s="190" t="str">
        <f>IFERROR(IF(INDEX(Program_01!$BX:$BX,MATCH($B189,Program_01!$A:$A,0))=DATE(1900,1,0),"",INDEX(Program_01!$BX:$BX,MATCH($B189,Program_01!$A:$A,0))),"")</f>
        <v/>
      </c>
      <c r="BL189" s="190" t="str">
        <f>IFERROR(IF(INDEX(Program_01!$BY:$BY,MATCH($B189,Program_01!$A:$A,0))=DATE(1900,1,0),"",INDEX(Program_01!$BY:$BY,MATCH($B189,Program_01!$A:$A,0))),"")</f>
        <v/>
      </c>
      <c r="BM189" s="188" t="str">
        <f t="shared" ca="1" si="69"/>
        <v/>
      </c>
      <c r="BN189" s="191" t="str">
        <f t="shared" ca="1" si="70"/>
        <v/>
      </c>
      <c r="BO189" s="188" t="str">
        <f t="shared" si="61"/>
        <v/>
      </c>
      <c r="BP189" s="188" t="str">
        <f t="shared" si="6"/>
        <v/>
      </c>
      <c r="BQ189" s="188" t="str">
        <f t="shared" ca="1" si="71"/>
        <v/>
      </c>
      <c r="BR189" s="181" t="str">
        <f t="shared" ca="1" si="62"/>
        <v/>
      </c>
      <c r="BT189" s="190" t="str">
        <f>IFERROR(IF(INDEX(Program_01!$BZ:$BZ,MATCH($B189,Program_01!$A:$A,0))=DATE(1900,1,0),"",INDEX(Program_01!$BZ:$BZ,MATCH($B189,Program_01!$A:$A,0))),"")</f>
        <v/>
      </c>
      <c r="BU189" s="182" t="str">
        <f t="shared" ca="1" si="75"/>
        <v/>
      </c>
      <c r="BV189" s="188" t="str">
        <f t="shared" si="63"/>
        <v/>
      </c>
      <c r="BW189" s="188" t="str">
        <f t="shared" si="8"/>
        <v/>
      </c>
      <c r="BX189" s="188" t="str">
        <f t="shared" ca="1" si="64"/>
        <v/>
      </c>
      <c r="BY189" s="181" t="str">
        <f t="shared" ca="1" si="65"/>
        <v/>
      </c>
      <c r="CA189" s="192" t="str">
        <f t="shared" si="76"/>
        <v/>
      </c>
      <c r="CB189" s="192" t="str">
        <f t="shared" si="77"/>
        <v/>
      </c>
      <c r="CC189" s="193" t="str">
        <f>IFERROR(INDEX(Program_01!$CE:$CE,MATCH($B189,Program_01!$A:$A,0)),"")</f>
        <v/>
      </c>
      <c r="CD189" s="193">
        <f t="shared" si="66"/>
        <v>0</v>
      </c>
      <c r="CG189" s="194" t="str">
        <f>IFERROR(INDEX(Program_01!$AT:$AT,MATCH($B189,Program_01!$A:$A,0)),"")</f>
        <v/>
      </c>
      <c r="CH189" s="194" t="str">
        <f>IFERROR(INDEX(Program_01!$AX:$AX,MATCH($B189,Program_01!$A:$A,0)),"")</f>
        <v/>
      </c>
    </row>
    <row r="190" spans="1:86" s="187" customFormat="1" ht="17">
      <c r="A190" s="174" t="s">
        <v>1</v>
      </c>
      <c r="B190" s="175">
        <f t="shared" si="72"/>
        <v>172</v>
      </c>
      <c r="C190" s="176" t="str">
        <f>IFERROR(INDEX(Program_01!$B:$B,MATCH($B190,Program_01!$A:$A,0)),"")</f>
        <v/>
      </c>
      <c r="D190" s="176" t="str">
        <f>IFERROR(INDEX(Program_01!$D:$D,MATCH($B190,Program_01!$A:$A,0)),"")</f>
        <v/>
      </c>
      <c r="E190" s="176" t="str">
        <f>IFERROR(INDEX(Program_01!$E:$E,MATCH($B190,Program_01!$A:$A,0)),"")</f>
        <v/>
      </c>
      <c r="F190" s="176" t="str">
        <f>IFERROR(INDEX(Program_01!$F:$F,MATCH($B190,Program_01!$A:$A,0)),"")</f>
        <v/>
      </c>
      <c r="G190" s="176" t="str">
        <f>IFERROR(INDEX(Program_01!$G:$G,MATCH($B190,Program_01!$A:$A,0)),"")</f>
        <v/>
      </c>
      <c r="H190" s="176" t="str">
        <f>IFERROR(INDEX(Program_01!$H:$H,MATCH($B190,Program_01!$A:$A,0)),"")</f>
        <v/>
      </c>
      <c r="I190" s="176" t="str">
        <f t="shared" si="67"/>
        <v/>
      </c>
      <c r="J190" s="176" t="str">
        <f>IFERROR(INDEX(Program_01!$I:$I,MATCH($B190,Program_01!$A:$A,0)),"")</f>
        <v/>
      </c>
      <c r="K190" s="176" t="str">
        <f>IFERROR(INDEX(Program_01!$J:$J,MATCH($B190,Program_01!$A:$A,0)),"")</f>
        <v/>
      </c>
      <c r="L190" s="176" t="str">
        <f>IFERROR(INDEX(Program_01!$K:$K,MATCH($B190,Program_01!$A:$A,0)),"")</f>
        <v/>
      </c>
      <c r="M190" s="176" t="str">
        <f>IFERROR(INDEX(Program_01!$L:$L,MATCH($B190,Program_01!$A:$A,0)),"")</f>
        <v/>
      </c>
      <c r="N190" s="176" t="str">
        <f>IFERROR(INDEX(Program_01!$L:$L,MATCH($B190,Program_01!$A:$A,0)),"")</f>
        <v/>
      </c>
      <c r="O190" s="176" t="str">
        <f>IFERROR(INDEX(Program_01!$N:$N,MATCH($B190,Program_01!$A:$A,0)),"")</f>
        <v/>
      </c>
      <c r="P190" s="178"/>
      <c r="Q190" s="179" t="str">
        <f>IFERROR(INDEX(Program_01!$C:$C,MATCH($B190,Program_01!$A:$A,0)),"")</f>
        <v/>
      </c>
      <c r="R190" s="176" t="str">
        <f>IFERROR(INDEX(Program_01!$V:$V,MATCH($B190,Program_01!$A:$A,0)),"")</f>
        <v/>
      </c>
      <c r="S190" s="180" t="str">
        <f>IFERROR(INDEX(Program_01!$W:$W,MATCH($B190,Program_01!$A:$A,0)),"")</f>
        <v/>
      </c>
      <c r="T190" s="178"/>
      <c r="U190" s="176" t="str">
        <f>IFERROR(INDEX(Program_01!$Z:$Z,MATCH($B190,Program_01!$A:$A,0)),"")</f>
        <v/>
      </c>
      <c r="V190" s="181" t="str">
        <f>IFERROR(INDEX(Program_01!$AA:$AA,MATCH($B190,Program_01!$A:$A,0)),"")</f>
        <v/>
      </c>
      <c r="W190" s="182" t="str">
        <f t="shared" ca="1" si="0"/>
        <v/>
      </c>
      <c r="X190" s="51"/>
      <c r="Y190" s="179" t="str">
        <f>IFERROR(INDEX(Program_01!$BD:$BD,MATCH($B190,Program_01!$A:$A,0)),"")</f>
        <v/>
      </c>
      <c r="Z190" s="51"/>
      <c r="AA190" s="183" t="str">
        <f>IFERROR(IF((INDEX(Program_01!$AD:$AD,MATCH($B190,Program_01!$A:$A,0))=""),INDEX(Program_01!$V:$V,MATCH($B190,Program_01!$A:$A,0)),INDEX(Program_01!$AD:$AD,MATCH($B190,Program_01!$A:$A,0))),"")</f>
        <v/>
      </c>
      <c r="AB190" s="147" t="str">
        <f>IFERROR(IF((INDEX(Program_01!$AE:$AE,MATCH($B190,Program_01!$A:$A,0))=""),INDEX(Program_01!$W:$W,MATCH($B190,Program_01!$A:$A,0)),INDEX(Program_01!$AE:$AE,MATCH($B190,Program_01!$A:$A,0))),"")</f>
        <v/>
      </c>
      <c r="AC190" s="183" t="str">
        <f>IFERROR(IF($I190="EOT",INDEX(Program_01!$AN:$AN,MATCH($B190,Program_01!$A:$A,0)),INDEX(Program_01!$AY:$AY,MATCH($B190,Program_01!$A:$A,0))),"")</f>
        <v/>
      </c>
      <c r="AD190" s="181" t="str">
        <f>IFERROR(IF($I190="EOT",INDEX(Program_01!$AO:$AO,MATCH($B190,Program_01!$A:$A,0)),INDEX(Program_01!$AZ:$AZ,MATCH($B190,Program_01!$A:$A,0))),"")</f>
        <v/>
      </c>
      <c r="AE190" s="51"/>
      <c r="AF190" s="183"/>
      <c r="AG190" s="181"/>
      <c r="AH190" s="183" t="str">
        <f>IF(OR($D190="",$AS190="VO Issued",$AS190="Open"),"",IF(OR($AC190="Rejected",$AC190="Superseded",$AC190="Dealt Separately"),$AC190,IF($I190="EOT",INDEX(Program_01!$AR:$AR,MATCH($B190,Program_01!$A:$A,0)),INDEX(Program_01!$BB:$BB,MATCH($B190,Program_01!$A:$A,0)))))</f>
        <v/>
      </c>
      <c r="AI190" s="181" t="str">
        <f>IF(OR($A190="",$B190="",$I190="",$AS190="VO Issued",$AS190="Open"),"",IF(OR($AD190="N/A"),$AD190,IF($I190="EOT",INDEX(Program_01!$AS:$AS,MATCH($B190,Program_01!$A:$A,0)),INDEX(Program_01!$BC:$BC,MATCH($B190,Program_01!$A:$A,0)))))</f>
        <v/>
      </c>
      <c r="AJ190" s="183" t="str">
        <f>IF(OR($D190="",$I190="",$AS190="Determination Issued",$AS190="Rejected",$AS190="Open"),"",IF(OR($AH190="Rejected",$AH190="Dealt Separately",$AH190="Superseded",$AH190="Withdrawn"),"N/A",IF($I190="EOT",INDEX(Program_01!AR:AR,MATCH($B190,Program_01!A:A,0)),INDEX(Program_01!BB:BB,MATCH($B190,Program_01!A:A,0)))))</f>
        <v/>
      </c>
      <c r="AK190" s="181" t="str">
        <f>IF(OR($A190="",$B190="",$I190="",$AS190="Determination Issued",$AS190="Rejected",$AS190="Open"),"",IF($AJ190="N/A","N/A",IF($I190="EOT",INDEX(Program_01!AS:AS,MATCH($B190,Program_01!A:A,0)),INDEX(Program_01!BC:BC,MATCH($B190,Program_01!A:A,0)))))</f>
        <v/>
      </c>
      <c r="AL190" s="51"/>
      <c r="AM190" s="184" t="str">
        <f>IFERROR(INDEX(Program_01!$BT:$BT,MATCH($B190,Program_01!$A:$A,0)),"")</f>
        <v/>
      </c>
      <c r="AN190" s="184" t="str">
        <f>IFERROR(INDEX(Program_01!$BU:$BU,MATCH($B190,Program_01!$A:$A,0)),"")</f>
        <v/>
      </c>
      <c r="AO190" s="184" t="str">
        <f>IFERROR(INDEX(Program_01!$BV:$BV,MATCH($B190,Program_01!$A:$A,0)),"")</f>
        <v/>
      </c>
      <c r="AP190" s="51" t="str">
        <f t="shared" si="73"/>
        <v/>
      </c>
      <c r="AQ190" s="184" t="str">
        <f>IFERROR(INDEX(Program_01!$BN:$BN,MATCH($B190,Program_01!$A:$A,0)),"")</f>
        <v/>
      </c>
      <c r="AR190" s="184" t="str">
        <f>IFERROR(INDEX(Program_01!$BO:$BO,MATCH($B190,Program_01!$A:$A,0)),"")</f>
        <v/>
      </c>
      <c r="AS190" s="184" t="str">
        <f>IFERROR(INDEX(Program_01!$BP:$BP,MATCH($B190,Program_01!$A:$A,0)),"")</f>
        <v/>
      </c>
      <c r="AT190" s="185" t="str">
        <f>IFERROR(INDEX(Program_01!$BQ:$BQ,MATCH($B190,Program_01!$A:$A,0)),"")</f>
        <v/>
      </c>
      <c r="AU190" s="179" t="str">
        <f>IFERROR(INDEX(Program_01!$BR:$BR,MATCH($B190,Program_01!$A:$A,0)),"")</f>
        <v/>
      </c>
      <c r="AV190" s="186" t="str">
        <f t="shared" si="58"/>
        <v/>
      </c>
      <c r="AW190" s="186" t="str">
        <f t="shared" si="74"/>
        <v/>
      </c>
      <c r="AX190" s="186" t="str">
        <f t="shared" si="59"/>
        <v/>
      </c>
      <c r="AY190" s="181" t="str">
        <f t="shared" si="68"/>
        <v/>
      </c>
      <c r="AZ190" s="181" t="str">
        <f t="shared" si="60"/>
        <v/>
      </c>
      <c r="BA190" s="181" t="str">
        <f t="shared" si="4"/>
        <v/>
      </c>
      <c r="BC190" s="181" t="str">
        <f>IFERROR(INDEX(Program_01!BF:BF,MATCH($B190,Program_01!$A:$A,0)),"")</f>
        <v/>
      </c>
      <c r="BD190" s="188" t="str">
        <f>IFERROR(INDEX(Program_01!BG:BG,MATCH($B190,Program_01!$A:$A,0)),"")</f>
        <v/>
      </c>
      <c r="BE190" s="181" t="str">
        <f>IFERROR(INDEX(Program_01!BH:BH,MATCH($B190,Program_01!$A:$A,0)),"")</f>
        <v/>
      </c>
      <c r="BF190" s="189" t="str">
        <f>IFERROR(INDEX(Program_01!BI:BI,MATCH($B190,Program_01!$A:$A,0)),"")</f>
        <v/>
      </c>
      <c r="BG190" s="181" t="str">
        <f>IFERROR(INDEX(Program_01!BJ:BJ,MATCH($B190,Program_01!$A:$A,0)),"")</f>
        <v/>
      </c>
      <c r="BH190" s="189" t="str">
        <f>IFERROR(INDEX(Program_01!BK:BK,MATCH($B190,Program_01!$A:$A,0)),"")</f>
        <v/>
      </c>
      <c r="BI190" s="181" t="str">
        <f>IFERROR(INDEX(Program_01!BL:BL,MATCH($B190,Program_01!$A:$A,0)),"")</f>
        <v/>
      </c>
      <c r="BK190" s="190" t="str">
        <f>IFERROR(IF(INDEX(Program_01!$BX:$BX,MATCH($B190,Program_01!$A:$A,0))=DATE(1900,1,0),"",INDEX(Program_01!$BX:$BX,MATCH($B190,Program_01!$A:$A,0))),"")</f>
        <v/>
      </c>
      <c r="BL190" s="190" t="str">
        <f>IFERROR(IF(INDEX(Program_01!$BY:$BY,MATCH($B190,Program_01!$A:$A,0))=DATE(1900,1,0),"",INDEX(Program_01!$BY:$BY,MATCH($B190,Program_01!$A:$A,0))),"")</f>
        <v/>
      </c>
      <c r="BM190" s="188" t="str">
        <f t="shared" ca="1" si="69"/>
        <v/>
      </c>
      <c r="BN190" s="191" t="str">
        <f t="shared" ca="1" si="70"/>
        <v/>
      </c>
      <c r="BO190" s="188" t="str">
        <f t="shared" si="61"/>
        <v/>
      </c>
      <c r="BP190" s="188" t="str">
        <f t="shared" si="6"/>
        <v/>
      </c>
      <c r="BQ190" s="188" t="str">
        <f t="shared" ca="1" si="71"/>
        <v/>
      </c>
      <c r="BR190" s="181" t="str">
        <f t="shared" ca="1" si="62"/>
        <v/>
      </c>
      <c r="BT190" s="190" t="str">
        <f>IFERROR(IF(INDEX(Program_01!$BZ:$BZ,MATCH($B190,Program_01!$A:$A,0))=DATE(1900,1,0),"",INDEX(Program_01!$BZ:$BZ,MATCH($B190,Program_01!$A:$A,0))),"")</f>
        <v/>
      </c>
      <c r="BU190" s="182" t="str">
        <f t="shared" ca="1" si="75"/>
        <v/>
      </c>
      <c r="BV190" s="188" t="str">
        <f t="shared" si="63"/>
        <v/>
      </c>
      <c r="BW190" s="188" t="str">
        <f t="shared" si="8"/>
        <v/>
      </c>
      <c r="BX190" s="188" t="str">
        <f t="shared" ca="1" si="64"/>
        <v/>
      </c>
      <c r="BY190" s="181" t="str">
        <f t="shared" ca="1" si="65"/>
        <v/>
      </c>
      <c r="CA190" s="192" t="str">
        <f t="shared" si="76"/>
        <v/>
      </c>
      <c r="CB190" s="192" t="str">
        <f t="shared" si="77"/>
        <v/>
      </c>
      <c r="CC190" s="193" t="str">
        <f>IFERROR(INDEX(Program_01!$CE:$CE,MATCH($B190,Program_01!$A:$A,0)),"")</f>
        <v/>
      </c>
      <c r="CD190" s="193">
        <f t="shared" si="66"/>
        <v>0</v>
      </c>
      <c r="CG190" s="194" t="str">
        <f>IFERROR(INDEX(Program_01!$AT:$AT,MATCH($B190,Program_01!$A:$A,0)),"")</f>
        <v/>
      </c>
      <c r="CH190" s="194" t="str">
        <f>IFERROR(INDEX(Program_01!$AX:$AX,MATCH($B190,Program_01!$A:$A,0)),"")</f>
        <v/>
      </c>
    </row>
    <row r="191" spans="1:86" s="187" customFormat="1" ht="17">
      <c r="A191" s="174" t="s">
        <v>1</v>
      </c>
      <c r="B191" s="175">
        <f t="shared" si="72"/>
        <v>173</v>
      </c>
      <c r="C191" s="176" t="str">
        <f>IFERROR(INDEX(Program_01!$B:$B,MATCH($B191,Program_01!$A:$A,0)),"")</f>
        <v/>
      </c>
      <c r="D191" s="176" t="str">
        <f>IFERROR(INDEX(Program_01!$D:$D,MATCH($B191,Program_01!$A:$A,0)),"")</f>
        <v/>
      </c>
      <c r="E191" s="176" t="str">
        <f>IFERROR(INDEX(Program_01!$E:$E,MATCH($B191,Program_01!$A:$A,0)),"")</f>
        <v/>
      </c>
      <c r="F191" s="176" t="str">
        <f>IFERROR(INDEX(Program_01!$F:$F,MATCH($B191,Program_01!$A:$A,0)),"")</f>
        <v/>
      </c>
      <c r="G191" s="176" t="str">
        <f>IFERROR(INDEX(Program_01!$G:$G,MATCH($B191,Program_01!$A:$A,0)),"")</f>
        <v/>
      </c>
      <c r="H191" s="176" t="str">
        <f>IFERROR(INDEX(Program_01!$H:$H,MATCH($B191,Program_01!$A:$A,0)),"")</f>
        <v/>
      </c>
      <c r="I191" s="176" t="str">
        <f t="shared" si="67"/>
        <v/>
      </c>
      <c r="J191" s="176" t="str">
        <f>IFERROR(INDEX(Program_01!$I:$I,MATCH($B191,Program_01!$A:$A,0)),"")</f>
        <v/>
      </c>
      <c r="K191" s="176" t="str">
        <f>IFERROR(INDEX(Program_01!$J:$J,MATCH($B191,Program_01!$A:$A,0)),"")</f>
        <v/>
      </c>
      <c r="L191" s="176" t="str">
        <f>IFERROR(INDEX(Program_01!$K:$K,MATCH($B191,Program_01!$A:$A,0)),"")</f>
        <v/>
      </c>
      <c r="M191" s="176" t="str">
        <f>IFERROR(INDEX(Program_01!$L:$L,MATCH($B191,Program_01!$A:$A,0)),"")</f>
        <v/>
      </c>
      <c r="N191" s="176" t="str">
        <f>IFERROR(INDEX(Program_01!$L:$L,MATCH($B191,Program_01!$A:$A,0)),"")</f>
        <v/>
      </c>
      <c r="O191" s="176" t="str">
        <f>IFERROR(INDEX(Program_01!$N:$N,MATCH($B191,Program_01!$A:$A,0)),"")</f>
        <v/>
      </c>
      <c r="P191" s="178"/>
      <c r="Q191" s="179" t="str">
        <f>IFERROR(INDEX(Program_01!$C:$C,MATCH($B191,Program_01!$A:$A,0)),"")</f>
        <v/>
      </c>
      <c r="R191" s="176" t="str">
        <f>IFERROR(INDEX(Program_01!$V:$V,MATCH($B191,Program_01!$A:$A,0)),"")</f>
        <v/>
      </c>
      <c r="S191" s="180" t="str">
        <f>IFERROR(INDEX(Program_01!$W:$W,MATCH($B191,Program_01!$A:$A,0)),"")</f>
        <v/>
      </c>
      <c r="T191" s="178"/>
      <c r="U191" s="176" t="str">
        <f>IFERROR(INDEX(Program_01!$Z:$Z,MATCH($B191,Program_01!$A:$A,0)),"")</f>
        <v/>
      </c>
      <c r="V191" s="181" t="str">
        <f>IFERROR(INDEX(Program_01!$AA:$AA,MATCH($B191,Program_01!$A:$A,0)),"")</f>
        <v/>
      </c>
      <c r="W191" s="182" t="str">
        <f t="shared" ca="1" si="0"/>
        <v/>
      </c>
      <c r="X191" s="51"/>
      <c r="Y191" s="179" t="str">
        <f>IFERROR(INDEX(Program_01!$BD:$BD,MATCH($B191,Program_01!$A:$A,0)),"")</f>
        <v/>
      </c>
      <c r="Z191" s="51"/>
      <c r="AA191" s="183" t="str">
        <f>IFERROR(IF((INDEX(Program_01!$AD:$AD,MATCH($B191,Program_01!$A:$A,0))=""),INDEX(Program_01!$V:$V,MATCH($B191,Program_01!$A:$A,0)),INDEX(Program_01!$AD:$AD,MATCH($B191,Program_01!$A:$A,0))),"")</f>
        <v/>
      </c>
      <c r="AB191" s="147" t="str">
        <f>IFERROR(IF((INDEX(Program_01!$AE:$AE,MATCH($B191,Program_01!$A:$A,0))=""),INDEX(Program_01!$W:$W,MATCH($B191,Program_01!$A:$A,0)),INDEX(Program_01!$AE:$AE,MATCH($B191,Program_01!$A:$A,0))),"")</f>
        <v/>
      </c>
      <c r="AC191" s="183" t="str">
        <f>IFERROR(IF($I191="EOT",INDEX(Program_01!$AN:$AN,MATCH($B191,Program_01!$A:$A,0)),INDEX(Program_01!$AY:$AY,MATCH($B191,Program_01!$A:$A,0))),"")</f>
        <v/>
      </c>
      <c r="AD191" s="181" t="str">
        <f>IFERROR(IF($I191="EOT",INDEX(Program_01!$AO:$AO,MATCH($B191,Program_01!$A:$A,0)),INDEX(Program_01!$AZ:$AZ,MATCH($B191,Program_01!$A:$A,0))),"")</f>
        <v/>
      </c>
      <c r="AE191" s="51"/>
      <c r="AF191" s="183"/>
      <c r="AG191" s="181"/>
      <c r="AH191" s="183" t="str">
        <f>IF(OR($D191="",$AS191="VO Issued",$AS191="Open"),"",IF(OR($AC191="Rejected",$AC191="Superseded",$AC191="Dealt Separately"),$AC191,IF($I191="EOT",INDEX(Program_01!$AR:$AR,MATCH($B191,Program_01!$A:$A,0)),INDEX(Program_01!$BB:$BB,MATCH($B191,Program_01!$A:$A,0)))))</f>
        <v/>
      </c>
      <c r="AI191" s="181" t="str">
        <f>IF(OR($A191="",$B191="",$I191="",$AS191="VO Issued",$AS191="Open"),"",IF(OR($AD191="N/A"),$AD191,IF($I191="EOT",INDEX(Program_01!$AS:$AS,MATCH($B191,Program_01!$A:$A,0)),INDEX(Program_01!$BC:$BC,MATCH($B191,Program_01!$A:$A,0)))))</f>
        <v/>
      </c>
      <c r="AJ191" s="183" t="str">
        <f>IF(OR($D191="",$I191="",$AS191="Determination Issued",$AS191="Rejected",$AS191="Open"),"",IF(OR($AH191="Rejected",$AH191="Dealt Separately",$AH191="Superseded",$AH191="Withdrawn"),"N/A",IF($I191="EOT",INDEX(Program_01!AR:AR,MATCH($B191,Program_01!A:A,0)),INDEX(Program_01!BB:BB,MATCH($B191,Program_01!A:A,0)))))</f>
        <v/>
      </c>
      <c r="AK191" s="181" t="str">
        <f>IF(OR($A191="",$B191="",$I191="",$AS191="Determination Issued",$AS191="Rejected",$AS191="Open"),"",IF($AJ191="N/A","N/A",IF($I191="EOT",INDEX(Program_01!AS:AS,MATCH($B191,Program_01!A:A,0)),INDEX(Program_01!BC:BC,MATCH($B191,Program_01!A:A,0)))))</f>
        <v/>
      </c>
      <c r="AL191" s="51"/>
      <c r="AM191" s="184" t="str">
        <f>IFERROR(INDEX(Program_01!$BT:$BT,MATCH($B191,Program_01!$A:$A,0)),"")</f>
        <v/>
      </c>
      <c r="AN191" s="184" t="str">
        <f>IFERROR(INDEX(Program_01!$BU:$BU,MATCH($B191,Program_01!$A:$A,0)),"")</f>
        <v/>
      </c>
      <c r="AO191" s="184" t="str">
        <f>IFERROR(INDEX(Program_01!$BV:$BV,MATCH($B191,Program_01!$A:$A,0)),"")</f>
        <v/>
      </c>
      <c r="AP191" s="51" t="str">
        <f t="shared" si="73"/>
        <v/>
      </c>
      <c r="AQ191" s="184" t="str">
        <f>IFERROR(INDEX(Program_01!$BN:$BN,MATCH($B191,Program_01!$A:$A,0)),"")</f>
        <v/>
      </c>
      <c r="AR191" s="184" t="str">
        <f>IFERROR(INDEX(Program_01!$BO:$BO,MATCH($B191,Program_01!$A:$A,0)),"")</f>
        <v/>
      </c>
      <c r="AS191" s="184" t="str">
        <f>IFERROR(INDEX(Program_01!$BP:$BP,MATCH($B191,Program_01!$A:$A,0)),"")</f>
        <v/>
      </c>
      <c r="AT191" s="185" t="str">
        <f>IFERROR(INDEX(Program_01!$BQ:$BQ,MATCH($B191,Program_01!$A:$A,0)),"")</f>
        <v/>
      </c>
      <c r="AU191" s="179" t="str">
        <f>IFERROR(INDEX(Program_01!$BR:$BR,MATCH($B191,Program_01!$A:$A,0)),"")</f>
        <v/>
      </c>
      <c r="AV191" s="186" t="str">
        <f t="shared" si="58"/>
        <v/>
      </c>
      <c r="AW191" s="186" t="str">
        <f t="shared" si="74"/>
        <v/>
      </c>
      <c r="AX191" s="186" t="str">
        <f t="shared" si="59"/>
        <v/>
      </c>
      <c r="AY191" s="181" t="str">
        <f t="shared" si="68"/>
        <v/>
      </c>
      <c r="AZ191" s="181" t="str">
        <f t="shared" si="60"/>
        <v/>
      </c>
      <c r="BA191" s="181" t="str">
        <f t="shared" si="4"/>
        <v/>
      </c>
      <c r="BC191" s="181" t="str">
        <f>IFERROR(INDEX(Program_01!BF:BF,MATCH($B191,Program_01!$A:$A,0)),"")</f>
        <v/>
      </c>
      <c r="BD191" s="188" t="str">
        <f>IFERROR(INDEX(Program_01!BG:BG,MATCH($B191,Program_01!$A:$A,0)),"")</f>
        <v/>
      </c>
      <c r="BE191" s="181" t="str">
        <f>IFERROR(INDEX(Program_01!BH:BH,MATCH($B191,Program_01!$A:$A,0)),"")</f>
        <v/>
      </c>
      <c r="BF191" s="189" t="str">
        <f>IFERROR(INDEX(Program_01!BI:BI,MATCH($B191,Program_01!$A:$A,0)),"")</f>
        <v/>
      </c>
      <c r="BG191" s="181" t="str">
        <f>IFERROR(INDEX(Program_01!BJ:BJ,MATCH($B191,Program_01!$A:$A,0)),"")</f>
        <v/>
      </c>
      <c r="BH191" s="189" t="str">
        <f>IFERROR(INDEX(Program_01!BK:BK,MATCH($B191,Program_01!$A:$A,0)),"")</f>
        <v/>
      </c>
      <c r="BI191" s="181" t="str">
        <f>IFERROR(INDEX(Program_01!BL:BL,MATCH($B191,Program_01!$A:$A,0)),"")</f>
        <v/>
      </c>
      <c r="BK191" s="190" t="str">
        <f>IFERROR(IF(INDEX(Program_01!$BX:$BX,MATCH($B191,Program_01!$A:$A,0))=DATE(1900,1,0),"",INDEX(Program_01!$BX:$BX,MATCH($B191,Program_01!$A:$A,0))),"")</f>
        <v/>
      </c>
      <c r="BL191" s="190" t="str">
        <f>IFERROR(IF(INDEX(Program_01!$BY:$BY,MATCH($B191,Program_01!$A:$A,0))=DATE(1900,1,0),"",INDEX(Program_01!$BY:$BY,MATCH($B191,Program_01!$A:$A,0))),"")</f>
        <v/>
      </c>
      <c r="BM191" s="188" t="str">
        <f t="shared" ca="1" si="69"/>
        <v/>
      </c>
      <c r="BN191" s="191" t="str">
        <f t="shared" ca="1" si="70"/>
        <v/>
      </c>
      <c r="BO191" s="188" t="str">
        <f t="shared" si="61"/>
        <v/>
      </c>
      <c r="BP191" s="188" t="str">
        <f t="shared" si="6"/>
        <v/>
      </c>
      <c r="BQ191" s="188" t="str">
        <f t="shared" ca="1" si="71"/>
        <v/>
      </c>
      <c r="BR191" s="181" t="str">
        <f t="shared" ca="1" si="62"/>
        <v/>
      </c>
      <c r="BT191" s="190" t="str">
        <f>IFERROR(IF(INDEX(Program_01!$BZ:$BZ,MATCH($B191,Program_01!$A:$A,0))=DATE(1900,1,0),"",INDEX(Program_01!$BZ:$BZ,MATCH($B191,Program_01!$A:$A,0))),"")</f>
        <v/>
      </c>
      <c r="BU191" s="182" t="str">
        <f t="shared" ca="1" si="75"/>
        <v/>
      </c>
      <c r="BV191" s="188" t="str">
        <f t="shared" si="63"/>
        <v/>
      </c>
      <c r="BW191" s="188" t="str">
        <f t="shared" si="8"/>
        <v/>
      </c>
      <c r="BX191" s="188" t="str">
        <f t="shared" ca="1" si="64"/>
        <v/>
      </c>
      <c r="BY191" s="181" t="str">
        <f t="shared" ca="1" si="65"/>
        <v/>
      </c>
      <c r="CA191" s="192" t="str">
        <f t="shared" si="76"/>
        <v/>
      </c>
      <c r="CB191" s="192" t="str">
        <f t="shared" si="77"/>
        <v/>
      </c>
      <c r="CC191" s="193" t="str">
        <f>IFERROR(INDEX(Program_01!$CE:$CE,MATCH($B191,Program_01!$A:$A,0)),"")</f>
        <v/>
      </c>
      <c r="CD191" s="193">
        <f t="shared" si="66"/>
        <v>0</v>
      </c>
      <c r="CG191" s="194" t="str">
        <f>IFERROR(INDEX(Program_01!$AT:$AT,MATCH($B191,Program_01!$A:$A,0)),"")</f>
        <v/>
      </c>
      <c r="CH191" s="194" t="str">
        <f>IFERROR(INDEX(Program_01!$AX:$AX,MATCH($B191,Program_01!$A:$A,0)),"")</f>
        <v/>
      </c>
    </row>
    <row r="192" spans="1:86" s="187" customFormat="1" ht="17">
      <c r="A192" s="174" t="s">
        <v>1</v>
      </c>
      <c r="B192" s="175">
        <f t="shared" si="72"/>
        <v>174</v>
      </c>
      <c r="C192" s="176" t="str">
        <f>IFERROR(INDEX(Program_01!$B:$B,MATCH($B192,Program_01!$A:$A,0)),"")</f>
        <v/>
      </c>
      <c r="D192" s="176" t="str">
        <f>IFERROR(INDEX(Program_01!$D:$D,MATCH($B192,Program_01!$A:$A,0)),"")</f>
        <v/>
      </c>
      <c r="E192" s="176" t="str">
        <f>IFERROR(INDEX(Program_01!$E:$E,MATCH($B192,Program_01!$A:$A,0)),"")</f>
        <v/>
      </c>
      <c r="F192" s="176" t="str">
        <f>IFERROR(INDEX(Program_01!$F:$F,MATCH($B192,Program_01!$A:$A,0)),"")</f>
        <v/>
      </c>
      <c r="G192" s="176" t="str">
        <f>IFERROR(INDEX(Program_01!$G:$G,MATCH($B192,Program_01!$A:$A,0)),"")</f>
        <v/>
      </c>
      <c r="H192" s="176" t="str">
        <f>IFERROR(INDEX(Program_01!$H:$H,MATCH($B192,Program_01!$A:$A,0)),"")</f>
        <v/>
      </c>
      <c r="I192" s="176" t="str">
        <f t="shared" si="67"/>
        <v/>
      </c>
      <c r="J192" s="176" t="str">
        <f>IFERROR(INDEX(Program_01!$I:$I,MATCH($B192,Program_01!$A:$A,0)),"")</f>
        <v/>
      </c>
      <c r="K192" s="176" t="str">
        <f>IFERROR(INDEX(Program_01!$J:$J,MATCH($B192,Program_01!$A:$A,0)),"")</f>
        <v/>
      </c>
      <c r="L192" s="176" t="str">
        <f>IFERROR(INDEX(Program_01!$K:$K,MATCH($B192,Program_01!$A:$A,0)),"")</f>
        <v/>
      </c>
      <c r="M192" s="176" t="str">
        <f>IFERROR(INDEX(Program_01!$L:$L,MATCH($B192,Program_01!$A:$A,0)),"")</f>
        <v/>
      </c>
      <c r="N192" s="176" t="str">
        <f>IFERROR(INDEX(Program_01!$L:$L,MATCH($B192,Program_01!$A:$A,0)),"")</f>
        <v/>
      </c>
      <c r="O192" s="176" t="str">
        <f>IFERROR(INDEX(Program_01!$N:$N,MATCH($B192,Program_01!$A:$A,0)),"")</f>
        <v/>
      </c>
      <c r="P192" s="178"/>
      <c r="Q192" s="179" t="str">
        <f>IFERROR(INDEX(Program_01!$C:$C,MATCH($B192,Program_01!$A:$A,0)),"")</f>
        <v/>
      </c>
      <c r="R192" s="176" t="str">
        <f>IFERROR(INDEX(Program_01!$V:$V,MATCH($B192,Program_01!$A:$A,0)),"")</f>
        <v/>
      </c>
      <c r="S192" s="180" t="str">
        <f>IFERROR(INDEX(Program_01!$W:$W,MATCH($B192,Program_01!$A:$A,0)),"")</f>
        <v/>
      </c>
      <c r="T192" s="178"/>
      <c r="U192" s="176" t="str">
        <f>IFERROR(INDEX(Program_01!$Z:$Z,MATCH($B192,Program_01!$A:$A,0)),"")</f>
        <v/>
      </c>
      <c r="V192" s="181" t="str">
        <f>IFERROR(INDEX(Program_01!$AA:$AA,MATCH($B192,Program_01!$A:$A,0)),"")</f>
        <v/>
      </c>
      <c r="W192" s="182" t="str">
        <f t="shared" ca="1" si="0"/>
        <v/>
      </c>
      <c r="X192" s="51"/>
      <c r="Y192" s="179" t="str">
        <f>IFERROR(INDEX(Program_01!$BD:$BD,MATCH($B192,Program_01!$A:$A,0)),"")</f>
        <v/>
      </c>
      <c r="Z192" s="51"/>
      <c r="AA192" s="183" t="str">
        <f>IFERROR(IF((INDEX(Program_01!$AD:$AD,MATCH($B192,Program_01!$A:$A,0))=""),INDEX(Program_01!$V:$V,MATCH($B192,Program_01!$A:$A,0)),INDEX(Program_01!$AD:$AD,MATCH($B192,Program_01!$A:$A,0))),"")</f>
        <v/>
      </c>
      <c r="AB192" s="147" t="str">
        <f>IFERROR(IF((INDEX(Program_01!$AE:$AE,MATCH($B192,Program_01!$A:$A,0))=""),INDEX(Program_01!$W:$W,MATCH($B192,Program_01!$A:$A,0)),INDEX(Program_01!$AE:$AE,MATCH($B192,Program_01!$A:$A,0))),"")</f>
        <v/>
      </c>
      <c r="AC192" s="183" t="str">
        <f>IFERROR(IF($I192="EOT",INDEX(Program_01!$AN:$AN,MATCH($B192,Program_01!$A:$A,0)),INDEX(Program_01!$AY:$AY,MATCH($B192,Program_01!$A:$A,0))),"")</f>
        <v/>
      </c>
      <c r="AD192" s="181" t="str">
        <f>IFERROR(IF($I192="EOT",INDEX(Program_01!$AO:$AO,MATCH($B192,Program_01!$A:$A,0)),INDEX(Program_01!$AZ:$AZ,MATCH($B192,Program_01!$A:$A,0))),"")</f>
        <v/>
      </c>
      <c r="AE192" s="51"/>
      <c r="AF192" s="183"/>
      <c r="AG192" s="181"/>
      <c r="AH192" s="183" t="str">
        <f>IF(OR($D192="",$AS192="VO Issued",$AS192="Open"),"",IF(OR($AC192="Rejected",$AC192="Superseded",$AC192="Dealt Separately"),$AC192,IF($I192="EOT",INDEX(Program_01!$AR:$AR,MATCH($B192,Program_01!$A:$A,0)),INDEX(Program_01!$BB:$BB,MATCH($B192,Program_01!$A:$A,0)))))</f>
        <v/>
      </c>
      <c r="AI192" s="181" t="str">
        <f>IF(OR($A192="",$B192="",$I192="",$AS192="VO Issued",$AS192="Open"),"",IF(OR($AD192="N/A"),$AD192,IF($I192="EOT",INDEX(Program_01!$AS:$AS,MATCH($B192,Program_01!$A:$A,0)),INDEX(Program_01!$BC:$BC,MATCH($B192,Program_01!$A:$A,0)))))</f>
        <v/>
      </c>
      <c r="AJ192" s="183" t="str">
        <f>IF(OR($D192="",$I192="",$AS192="Determination Issued",$AS192="Rejected",$AS192="Open"),"",IF(OR($AH192="Rejected",$AH192="Dealt Separately",$AH192="Superseded",$AH192="Withdrawn"),"N/A",IF($I192="EOT",INDEX(Program_01!AR:AR,MATCH($B192,Program_01!A:A,0)),INDEX(Program_01!BB:BB,MATCH($B192,Program_01!A:A,0)))))</f>
        <v/>
      </c>
      <c r="AK192" s="181" t="str">
        <f>IF(OR($A192="",$B192="",$I192="",$AS192="Determination Issued",$AS192="Rejected",$AS192="Open"),"",IF($AJ192="N/A","N/A",IF($I192="EOT",INDEX(Program_01!AS:AS,MATCH($B192,Program_01!A:A,0)),INDEX(Program_01!BC:BC,MATCH($B192,Program_01!A:A,0)))))</f>
        <v/>
      </c>
      <c r="AL192" s="51"/>
      <c r="AM192" s="184" t="str">
        <f>IFERROR(INDEX(Program_01!$BT:$BT,MATCH($B192,Program_01!$A:$A,0)),"")</f>
        <v/>
      </c>
      <c r="AN192" s="184" t="str">
        <f>IFERROR(INDEX(Program_01!$BU:$BU,MATCH($B192,Program_01!$A:$A,0)),"")</f>
        <v/>
      </c>
      <c r="AO192" s="184" t="str">
        <f>IFERROR(INDEX(Program_01!$BV:$BV,MATCH($B192,Program_01!$A:$A,0)),"")</f>
        <v/>
      </c>
      <c r="AP192" s="51" t="str">
        <f t="shared" si="73"/>
        <v/>
      </c>
      <c r="AQ192" s="184" t="str">
        <f>IFERROR(INDEX(Program_01!$BN:$BN,MATCH($B192,Program_01!$A:$A,0)),"")</f>
        <v/>
      </c>
      <c r="AR192" s="184" t="str">
        <f>IFERROR(INDEX(Program_01!$BO:$BO,MATCH($B192,Program_01!$A:$A,0)),"")</f>
        <v/>
      </c>
      <c r="AS192" s="184" t="str">
        <f>IFERROR(INDEX(Program_01!$BP:$BP,MATCH($B192,Program_01!$A:$A,0)),"")</f>
        <v/>
      </c>
      <c r="AT192" s="185" t="str">
        <f>IFERROR(INDEX(Program_01!$BQ:$BQ,MATCH($B192,Program_01!$A:$A,0)),"")</f>
        <v/>
      </c>
      <c r="AU192" s="179" t="str">
        <f>IFERROR(INDEX(Program_01!$BR:$BR,MATCH($B192,Program_01!$A:$A,0)),"")</f>
        <v/>
      </c>
      <c r="AV192" s="186" t="str">
        <f t="shared" si="58"/>
        <v/>
      </c>
      <c r="AW192" s="186" t="str">
        <f t="shared" si="74"/>
        <v/>
      </c>
      <c r="AX192" s="186" t="str">
        <f t="shared" si="59"/>
        <v/>
      </c>
      <c r="AY192" s="181" t="str">
        <f t="shared" si="68"/>
        <v/>
      </c>
      <c r="AZ192" s="181" t="str">
        <f t="shared" si="60"/>
        <v/>
      </c>
      <c r="BA192" s="181" t="str">
        <f t="shared" si="4"/>
        <v/>
      </c>
      <c r="BC192" s="181" t="str">
        <f>IFERROR(INDEX(Program_01!BF:BF,MATCH($B192,Program_01!$A:$A,0)),"")</f>
        <v/>
      </c>
      <c r="BD192" s="188" t="str">
        <f>IFERROR(INDEX(Program_01!BG:BG,MATCH($B192,Program_01!$A:$A,0)),"")</f>
        <v/>
      </c>
      <c r="BE192" s="181" t="str">
        <f>IFERROR(INDEX(Program_01!BH:BH,MATCH($B192,Program_01!$A:$A,0)),"")</f>
        <v/>
      </c>
      <c r="BF192" s="189" t="str">
        <f>IFERROR(INDEX(Program_01!BI:BI,MATCH($B192,Program_01!$A:$A,0)),"")</f>
        <v/>
      </c>
      <c r="BG192" s="181" t="str">
        <f>IFERROR(INDEX(Program_01!BJ:BJ,MATCH($B192,Program_01!$A:$A,0)),"")</f>
        <v/>
      </c>
      <c r="BH192" s="189" t="str">
        <f>IFERROR(INDEX(Program_01!BK:BK,MATCH($B192,Program_01!$A:$A,0)),"")</f>
        <v/>
      </c>
      <c r="BI192" s="181" t="str">
        <f>IFERROR(INDEX(Program_01!BL:BL,MATCH($B192,Program_01!$A:$A,0)),"")</f>
        <v/>
      </c>
      <c r="BK192" s="190" t="str">
        <f>IFERROR(IF(INDEX(Program_01!$BX:$BX,MATCH($B192,Program_01!$A:$A,0))=DATE(1900,1,0),"",INDEX(Program_01!$BX:$BX,MATCH($B192,Program_01!$A:$A,0))),"")</f>
        <v/>
      </c>
      <c r="BL192" s="190" t="str">
        <f>IFERROR(IF(INDEX(Program_01!$BY:$BY,MATCH($B192,Program_01!$A:$A,0))=DATE(1900,1,0),"",INDEX(Program_01!$BY:$BY,MATCH($B192,Program_01!$A:$A,0))),"")</f>
        <v/>
      </c>
      <c r="BM192" s="188" t="str">
        <f t="shared" ca="1" si="69"/>
        <v/>
      </c>
      <c r="BN192" s="191" t="str">
        <f t="shared" ca="1" si="70"/>
        <v/>
      </c>
      <c r="BO192" s="188" t="str">
        <f t="shared" si="61"/>
        <v/>
      </c>
      <c r="BP192" s="188" t="str">
        <f t="shared" si="6"/>
        <v/>
      </c>
      <c r="BQ192" s="188" t="str">
        <f t="shared" ca="1" si="71"/>
        <v/>
      </c>
      <c r="BR192" s="181" t="str">
        <f t="shared" ca="1" si="62"/>
        <v/>
      </c>
      <c r="BT192" s="190" t="str">
        <f>IFERROR(IF(INDEX(Program_01!$BZ:$BZ,MATCH($B192,Program_01!$A:$A,0))=DATE(1900,1,0),"",INDEX(Program_01!$BZ:$BZ,MATCH($B192,Program_01!$A:$A,0))),"")</f>
        <v/>
      </c>
      <c r="BU192" s="182" t="str">
        <f t="shared" ca="1" si="75"/>
        <v/>
      </c>
      <c r="BV192" s="188" t="str">
        <f t="shared" si="63"/>
        <v/>
      </c>
      <c r="BW192" s="188" t="str">
        <f t="shared" si="8"/>
        <v/>
      </c>
      <c r="BX192" s="188" t="str">
        <f t="shared" ca="1" si="64"/>
        <v/>
      </c>
      <c r="BY192" s="181" t="str">
        <f t="shared" ca="1" si="65"/>
        <v/>
      </c>
      <c r="CA192" s="192" t="str">
        <f t="shared" si="76"/>
        <v/>
      </c>
      <c r="CB192" s="192" t="str">
        <f t="shared" si="77"/>
        <v/>
      </c>
      <c r="CC192" s="193" t="str">
        <f>IFERROR(INDEX(Program_01!$CE:$CE,MATCH($B192,Program_01!$A:$A,0)),"")</f>
        <v/>
      </c>
      <c r="CD192" s="193">
        <f t="shared" si="66"/>
        <v>0</v>
      </c>
      <c r="CG192" s="194" t="str">
        <f>IFERROR(INDEX(Program_01!$AT:$AT,MATCH($B192,Program_01!$A:$A,0)),"")</f>
        <v/>
      </c>
      <c r="CH192" s="194" t="str">
        <f>IFERROR(INDEX(Program_01!$AX:$AX,MATCH($B192,Program_01!$A:$A,0)),"")</f>
        <v/>
      </c>
    </row>
    <row r="193" spans="1:86" s="187" customFormat="1" ht="17">
      <c r="A193" s="174" t="s">
        <v>1</v>
      </c>
      <c r="B193" s="175">
        <f t="shared" si="72"/>
        <v>175</v>
      </c>
      <c r="C193" s="176" t="str">
        <f>IFERROR(INDEX(Program_01!$B:$B,MATCH($B193,Program_01!$A:$A,0)),"")</f>
        <v/>
      </c>
      <c r="D193" s="176" t="str">
        <f>IFERROR(INDEX(Program_01!$D:$D,MATCH($B193,Program_01!$A:$A,0)),"")</f>
        <v/>
      </c>
      <c r="E193" s="176" t="str">
        <f>IFERROR(INDEX(Program_01!$E:$E,MATCH($B193,Program_01!$A:$A,0)),"")</f>
        <v/>
      </c>
      <c r="F193" s="176" t="str">
        <f>IFERROR(INDEX(Program_01!$F:$F,MATCH($B193,Program_01!$A:$A,0)),"")</f>
        <v/>
      </c>
      <c r="G193" s="176" t="str">
        <f>IFERROR(INDEX(Program_01!$G:$G,MATCH($B193,Program_01!$A:$A,0)),"")</f>
        <v/>
      </c>
      <c r="H193" s="176" t="str">
        <f>IFERROR(INDEX(Program_01!$H:$H,MATCH($B193,Program_01!$A:$A,0)),"")</f>
        <v/>
      </c>
      <c r="I193" s="176" t="str">
        <f t="shared" si="67"/>
        <v/>
      </c>
      <c r="J193" s="176" t="str">
        <f>IFERROR(INDEX(Program_01!$I:$I,MATCH($B193,Program_01!$A:$A,0)),"")</f>
        <v/>
      </c>
      <c r="K193" s="176" t="str">
        <f>IFERROR(INDEX(Program_01!$J:$J,MATCH($B193,Program_01!$A:$A,0)),"")</f>
        <v/>
      </c>
      <c r="L193" s="176" t="str">
        <f>IFERROR(INDEX(Program_01!$K:$K,MATCH($B193,Program_01!$A:$A,0)),"")</f>
        <v/>
      </c>
      <c r="M193" s="176" t="str">
        <f>IFERROR(INDEX(Program_01!$L:$L,MATCH($B193,Program_01!$A:$A,0)),"")</f>
        <v/>
      </c>
      <c r="N193" s="176" t="str">
        <f>IFERROR(INDEX(Program_01!$L:$L,MATCH($B193,Program_01!$A:$A,0)),"")</f>
        <v/>
      </c>
      <c r="O193" s="176" t="str">
        <f>IFERROR(INDEX(Program_01!$N:$N,MATCH($B193,Program_01!$A:$A,0)),"")</f>
        <v/>
      </c>
      <c r="P193" s="178"/>
      <c r="Q193" s="179" t="str">
        <f>IFERROR(INDEX(Program_01!$C:$C,MATCH($B193,Program_01!$A:$A,0)),"")</f>
        <v/>
      </c>
      <c r="R193" s="176" t="str">
        <f>IFERROR(INDEX(Program_01!$V:$V,MATCH($B193,Program_01!$A:$A,0)),"")</f>
        <v/>
      </c>
      <c r="S193" s="180" t="str">
        <f>IFERROR(INDEX(Program_01!$W:$W,MATCH($B193,Program_01!$A:$A,0)),"")</f>
        <v/>
      </c>
      <c r="T193" s="178"/>
      <c r="U193" s="176" t="str">
        <f>IFERROR(INDEX(Program_01!$Z:$Z,MATCH($B193,Program_01!$A:$A,0)),"")</f>
        <v/>
      </c>
      <c r="V193" s="181" t="str">
        <f>IFERROR(INDEX(Program_01!$AA:$AA,MATCH($B193,Program_01!$A:$A,0)),"")</f>
        <v/>
      </c>
      <c r="W193" s="182" t="str">
        <f t="shared" ca="1" si="0"/>
        <v/>
      </c>
      <c r="X193" s="51"/>
      <c r="Y193" s="179" t="str">
        <f>IFERROR(INDEX(Program_01!$BD:$BD,MATCH($B193,Program_01!$A:$A,0)),"")</f>
        <v/>
      </c>
      <c r="Z193" s="51"/>
      <c r="AA193" s="183" t="str">
        <f>IFERROR(IF((INDEX(Program_01!$AD:$AD,MATCH($B193,Program_01!$A:$A,0))=""),INDEX(Program_01!$V:$V,MATCH($B193,Program_01!$A:$A,0)),INDEX(Program_01!$AD:$AD,MATCH($B193,Program_01!$A:$A,0))),"")</f>
        <v/>
      </c>
      <c r="AB193" s="147" t="str">
        <f>IFERROR(IF((INDEX(Program_01!$AE:$AE,MATCH($B193,Program_01!$A:$A,0))=""),INDEX(Program_01!$W:$W,MATCH($B193,Program_01!$A:$A,0)),INDEX(Program_01!$AE:$AE,MATCH($B193,Program_01!$A:$A,0))),"")</f>
        <v/>
      </c>
      <c r="AC193" s="183" t="str">
        <f>IFERROR(IF($I193="EOT",INDEX(Program_01!$AN:$AN,MATCH($B193,Program_01!$A:$A,0)),INDEX(Program_01!$AY:$AY,MATCH($B193,Program_01!$A:$A,0))),"")</f>
        <v/>
      </c>
      <c r="AD193" s="181" t="str">
        <f>IFERROR(IF($I193="EOT",INDEX(Program_01!$AO:$AO,MATCH($B193,Program_01!$A:$A,0)),INDEX(Program_01!$AZ:$AZ,MATCH($B193,Program_01!$A:$A,0))),"")</f>
        <v/>
      </c>
      <c r="AE193" s="51"/>
      <c r="AF193" s="183"/>
      <c r="AG193" s="181"/>
      <c r="AH193" s="183" t="str">
        <f>IF(OR($D193="",$AS193="VO Issued",$AS193="Open"),"",IF(OR($AC193="Rejected",$AC193="Superseded",$AC193="Dealt Separately"),$AC193,IF($I193="EOT",INDEX(Program_01!$AR:$AR,MATCH($B193,Program_01!$A:$A,0)),INDEX(Program_01!$BB:$BB,MATCH($B193,Program_01!$A:$A,0)))))</f>
        <v/>
      </c>
      <c r="AI193" s="181" t="str">
        <f>IF(OR($A193="",$B193="",$I193="",$AS193="VO Issued",$AS193="Open"),"",IF(OR($AD193="N/A"),$AD193,IF($I193="EOT",INDEX(Program_01!$AS:$AS,MATCH($B193,Program_01!$A:$A,0)),INDEX(Program_01!$BC:$BC,MATCH($B193,Program_01!$A:$A,0)))))</f>
        <v/>
      </c>
      <c r="AJ193" s="183" t="str">
        <f>IF(OR($D193="",$I193="",$AS193="Determination Issued",$AS193="Rejected",$AS193="Open"),"",IF(OR($AH193="Rejected",$AH193="Dealt Separately",$AH193="Superseded",$AH193="Withdrawn"),"N/A",IF($I193="EOT",INDEX(Program_01!AR:AR,MATCH($B193,Program_01!A:A,0)),INDEX(Program_01!BB:BB,MATCH($B193,Program_01!A:A,0)))))</f>
        <v/>
      </c>
      <c r="AK193" s="181" t="str">
        <f>IF(OR($A193="",$B193="",$I193="",$AS193="Determination Issued",$AS193="Rejected",$AS193="Open"),"",IF($AJ193="N/A","N/A",IF($I193="EOT",INDEX(Program_01!AS:AS,MATCH($B193,Program_01!A:A,0)),INDEX(Program_01!BC:BC,MATCH($B193,Program_01!A:A,0)))))</f>
        <v/>
      </c>
      <c r="AL193" s="51"/>
      <c r="AM193" s="184" t="str">
        <f>IFERROR(INDEX(Program_01!$BT:$BT,MATCH($B193,Program_01!$A:$A,0)),"")</f>
        <v/>
      </c>
      <c r="AN193" s="184" t="str">
        <f>IFERROR(INDEX(Program_01!$BU:$BU,MATCH($B193,Program_01!$A:$A,0)),"")</f>
        <v/>
      </c>
      <c r="AO193" s="184" t="str">
        <f>IFERROR(INDEX(Program_01!$BV:$BV,MATCH($B193,Program_01!$A:$A,0)),"")</f>
        <v/>
      </c>
      <c r="AP193" s="51" t="str">
        <f t="shared" si="73"/>
        <v/>
      </c>
      <c r="AQ193" s="184" t="str">
        <f>IFERROR(INDEX(Program_01!$BN:$BN,MATCH($B193,Program_01!$A:$A,0)),"")</f>
        <v/>
      </c>
      <c r="AR193" s="184" t="str">
        <f>IFERROR(INDEX(Program_01!$BO:$BO,MATCH($B193,Program_01!$A:$A,0)),"")</f>
        <v/>
      </c>
      <c r="AS193" s="184" t="str">
        <f>IFERROR(INDEX(Program_01!$BP:$BP,MATCH($B193,Program_01!$A:$A,0)),"")</f>
        <v/>
      </c>
      <c r="AT193" s="185" t="str">
        <f>IFERROR(INDEX(Program_01!$BQ:$BQ,MATCH($B193,Program_01!$A:$A,0)),"")</f>
        <v/>
      </c>
      <c r="AU193" s="179" t="str">
        <f>IFERROR(INDEX(Program_01!$BR:$BR,MATCH($B193,Program_01!$A:$A,0)),"")</f>
        <v/>
      </c>
      <c r="AV193" s="186" t="str">
        <f t="shared" si="58"/>
        <v/>
      </c>
      <c r="AW193" s="186" t="str">
        <f t="shared" si="74"/>
        <v/>
      </c>
      <c r="AX193" s="186" t="str">
        <f t="shared" si="59"/>
        <v/>
      </c>
      <c r="AY193" s="181" t="str">
        <f t="shared" si="68"/>
        <v/>
      </c>
      <c r="AZ193" s="181" t="str">
        <f t="shared" si="60"/>
        <v/>
      </c>
      <c r="BA193" s="181" t="str">
        <f t="shared" si="4"/>
        <v/>
      </c>
      <c r="BC193" s="181" t="str">
        <f>IFERROR(INDEX(Program_01!BF:BF,MATCH($B193,Program_01!$A:$A,0)),"")</f>
        <v/>
      </c>
      <c r="BD193" s="188" t="str">
        <f>IFERROR(INDEX(Program_01!BG:BG,MATCH($B193,Program_01!$A:$A,0)),"")</f>
        <v/>
      </c>
      <c r="BE193" s="181" t="str">
        <f>IFERROR(INDEX(Program_01!BH:BH,MATCH($B193,Program_01!$A:$A,0)),"")</f>
        <v/>
      </c>
      <c r="BF193" s="189" t="str">
        <f>IFERROR(INDEX(Program_01!BI:BI,MATCH($B193,Program_01!$A:$A,0)),"")</f>
        <v/>
      </c>
      <c r="BG193" s="181" t="str">
        <f>IFERROR(INDEX(Program_01!BJ:BJ,MATCH($B193,Program_01!$A:$A,0)),"")</f>
        <v/>
      </c>
      <c r="BH193" s="189" t="str">
        <f>IFERROR(INDEX(Program_01!BK:BK,MATCH($B193,Program_01!$A:$A,0)),"")</f>
        <v/>
      </c>
      <c r="BI193" s="181" t="str">
        <f>IFERROR(INDEX(Program_01!BL:BL,MATCH($B193,Program_01!$A:$A,0)),"")</f>
        <v/>
      </c>
      <c r="BK193" s="190" t="str">
        <f>IFERROR(IF(INDEX(Program_01!$BX:$BX,MATCH($B193,Program_01!$A:$A,0))=DATE(1900,1,0),"",INDEX(Program_01!$BX:$BX,MATCH($B193,Program_01!$A:$A,0))),"")</f>
        <v/>
      </c>
      <c r="BL193" s="190" t="str">
        <f>IFERROR(IF(INDEX(Program_01!$BY:$BY,MATCH($B193,Program_01!$A:$A,0))=DATE(1900,1,0),"",INDEX(Program_01!$BY:$BY,MATCH($B193,Program_01!$A:$A,0))),"")</f>
        <v/>
      </c>
      <c r="BM193" s="188" t="str">
        <f t="shared" ca="1" si="69"/>
        <v/>
      </c>
      <c r="BN193" s="191" t="str">
        <f t="shared" ca="1" si="70"/>
        <v/>
      </c>
      <c r="BO193" s="188" t="str">
        <f t="shared" si="61"/>
        <v/>
      </c>
      <c r="BP193" s="188" t="str">
        <f t="shared" si="6"/>
        <v/>
      </c>
      <c r="BQ193" s="188" t="str">
        <f t="shared" ca="1" si="71"/>
        <v/>
      </c>
      <c r="BR193" s="181" t="str">
        <f t="shared" ca="1" si="62"/>
        <v/>
      </c>
      <c r="BT193" s="190" t="str">
        <f>IFERROR(IF(INDEX(Program_01!$BZ:$BZ,MATCH($B193,Program_01!$A:$A,0))=DATE(1900,1,0),"",INDEX(Program_01!$BZ:$BZ,MATCH($B193,Program_01!$A:$A,0))),"")</f>
        <v/>
      </c>
      <c r="BU193" s="182" t="str">
        <f t="shared" ca="1" si="75"/>
        <v/>
      </c>
      <c r="BV193" s="188" t="str">
        <f t="shared" si="63"/>
        <v/>
      </c>
      <c r="BW193" s="188" t="str">
        <f t="shared" si="8"/>
        <v/>
      </c>
      <c r="BX193" s="188" t="str">
        <f t="shared" ca="1" si="64"/>
        <v/>
      </c>
      <c r="BY193" s="181" t="str">
        <f t="shared" ca="1" si="65"/>
        <v/>
      </c>
      <c r="CA193" s="192" t="str">
        <f t="shared" si="76"/>
        <v/>
      </c>
      <c r="CB193" s="192" t="str">
        <f t="shared" si="77"/>
        <v/>
      </c>
      <c r="CC193" s="193" t="str">
        <f>IFERROR(INDEX(Program_01!$CE:$CE,MATCH($B193,Program_01!$A:$A,0)),"")</f>
        <v/>
      </c>
      <c r="CD193" s="193">
        <f t="shared" si="66"/>
        <v>0</v>
      </c>
      <c r="CG193" s="194" t="str">
        <f>IFERROR(INDEX(Program_01!$AT:$AT,MATCH($B193,Program_01!$A:$A,0)),"")</f>
        <v/>
      </c>
      <c r="CH193" s="194" t="str">
        <f>IFERROR(INDEX(Program_01!$AX:$AX,MATCH($B193,Program_01!$A:$A,0)),"")</f>
        <v/>
      </c>
    </row>
    <row r="194" spans="1:86" s="187" customFormat="1" ht="17">
      <c r="A194" s="174" t="s">
        <v>1</v>
      </c>
      <c r="B194" s="175">
        <f t="shared" si="72"/>
        <v>176</v>
      </c>
      <c r="C194" s="176" t="str">
        <f>IFERROR(INDEX(Program_01!$B:$B,MATCH($B194,Program_01!$A:$A,0)),"")</f>
        <v/>
      </c>
      <c r="D194" s="176" t="str">
        <f>IFERROR(INDEX(Program_01!$D:$D,MATCH($B194,Program_01!$A:$A,0)),"")</f>
        <v/>
      </c>
      <c r="E194" s="176" t="str">
        <f>IFERROR(INDEX(Program_01!$E:$E,MATCH($B194,Program_01!$A:$A,0)),"")</f>
        <v/>
      </c>
      <c r="F194" s="176" t="str">
        <f>IFERROR(INDEX(Program_01!$F:$F,MATCH($B194,Program_01!$A:$A,0)),"")</f>
        <v/>
      </c>
      <c r="G194" s="176" t="str">
        <f>IFERROR(INDEX(Program_01!$G:$G,MATCH($B194,Program_01!$A:$A,0)),"")</f>
        <v/>
      </c>
      <c r="H194" s="176" t="str">
        <f>IFERROR(INDEX(Program_01!$H:$H,MATCH($B194,Program_01!$A:$A,0)),"")</f>
        <v/>
      </c>
      <c r="I194" s="176" t="str">
        <f t="shared" si="67"/>
        <v/>
      </c>
      <c r="J194" s="176" t="str">
        <f>IFERROR(INDEX(Program_01!$I:$I,MATCH($B194,Program_01!$A:$A,0)),"")</f>
        <v/>
      </c>
      <c r="K194" s="176" t="str">
        <f>IFERROR(INDEX(Program_01!$J:$J,MATCH($B194,Program_01!$A:$A,0)),"")</f>
        <v/>
      </c>
      <c r="L194" s="176" t="str">
        <f>IFERROR(INDEX(Program_01!$K:$K,MATCH($B194,Program_01!$A:$A,0)),"")</f>
        <v/>
      </c>
      <c r="M194" s="176" t="str">
        <f>IFERROR(INDEX(Program_01!$L:$L,MATCH($B194,Program_01!$A:$A,0)),"")</f>
        <v/>
      </c>
      <c r="N194" s="176" t="str">
        <f>IFERROR(INDEX(Program_01!$L:$L,MATCH($B194,Program_01!$A:$A,0)),"")</f>
        <v/>
      </c>
      <c r="O194" s="176" t="str">
        <f>IFERROR(INDEX(Program_01!$N:$N,MATCH($B194,Program_01!$A:$A,0)),"")</f>
        <v/>
      </c>
      <c r="P194" s="178"/>
      <c r="Q194" s="179" t="str">
        <f>IFERROR(INDEX(Program_01!$C:$C,MATCH($B194,Program_01!$A:$A,0)),"")</f>
        <v/>
      </c>
      <c r="R194" s="176" t="str">
        <f>IFERROR(INDEX(Program_01!$V:$V,MATCH($B194,Program_01!$A:$A,0)),"")</f>
        <v/>
      </c>
      <c r="S194" s="180" t="str">
        <f>IFERROR(INDEX(Program_01!$W:$W,MATCH($B194,Program_01!$A:$A,0)),"")</f>
        <v/>
      </c>
      <c r="T194" s="178"/>
      <c r="U194" s="176" t="str">
        <f>IFERROR(INDEX(Program_01!$Z:$Z,MATCH($B194,Program_01!$A:$A,0)),"")</f>
        <v/>
      </c>
      <c r="V194" s="181" t="str">
        <f>IFERROR(INDEX(Program_01!$AA:$AA,MATCH($B194,Program_01!$A:$A,0)),"")</f>
        <v/>
      </c>
      <c r="W194" s="182" t="str">
        <f t="shared" ca="1" si="0"/>
        <v/>
      </c>
      <c r="X194" s="51"/>
      <c r="Y194" s="179" t="str">
        <f>IFERROR(INDEX(Program_01!$BD:$BD,MATCH($B194,Program_01!$A:$A,0)),"")</f>
        <v/>
      </c>
      <c r="Z194" s="51"/>
      <c r="AA194" s="183" t="str">
        <f>IFERROR(IF((INDEX(Program_01!$AD:$AD,MATCH($B194,Program_01!$A:$A,0))=""),INDEX(Program_01!$V:$V,MATCH($B194,Program_01!$A:$A,0)),INDEX(Program_01!$AD:$AD,MATCH($B194,Program_01!$A:$A,0))),"")</f>
        <v/>
      </c>
      <c r="AB194" s="147" t="str">
        <f>IFERROR(IF((INDEX(Program_01!$AE:$AE,MATCH($B194,Program_01!$A:$A,0))=""),INDEX(Program_01!$W:$W,MATCH($B194,Program_01!$A:$A,0)),INDEX(Program_01!$AE:$AE,MATCH($B194,Program_01!$A:$A,0))),"")</f>
        <v/>
      </c>
      <c r="AC194" s="183" t="str">
        <f>IFERROR(IF($I194="EOT",INDEX(Program_01!$AN:$AN,MATCH($B194,Program_01!$A:$A,0)),INDEX(Program_01!$AY:$AY,MATCH($B194,Program_01!$A:$A,0))),"")</f>
        <v/>
      </c>
      <c r="AD194" s="181" t="str">
        <f>IFERROR(IF($I194="EOT",INDEX(Program_01!$AO:$AO,MATCH($B194,Program_01!$A:$A,0)),INDEX(Program_01!$AZ:$AZ,MATCH($B194,Program_01!$A:$A,0))),"")</f>
        <v/>
      </c>
      <c r="AE194" s="51"/>
      <c r="AF194" s="183"/>
      <c r="AG194" s="181"/>
      <c r="AH194" s="183" t="str">
        <f>IF(OR($D194="",$AS194="VO Issued",$AS194="Open"),"",IF(OR($AC194="Rejected",$AC194="Superseded",$AC194="Dealt Separately"),$AC194,IF($I194="EOT",INDEX(Program_01!$AR:$AR,MATCH($B194,Program_01!$A:$A,0)),INDEX(Program_01!$BB:$BB,MATCH($B194,Program_01!$A:$A,0)))))</f>
        <v/>
      </c>
      <c r="AI194" s="181" t="str">
        <f>IF(OR($A194="",$B194="",$I194="",$AS194="VO Issued",$AS194="Open"),"",IF(OR($AD194="N/A"),$AD194,IF($I194="EOT",INDEX(Program_01!$AS:$AS,MATCH($B194,Program_01!$A:$A,0)),INDEX(Program_01!$BC:$BC,MATCH($B194,Program_01!$A:$A,0)))))</f>
        <v/>
      </c>
      <c r="AJ194" s="183" t="str">
        <f>IF(OR($D194="",$I194="",$AS194="Determination Issued",$AS194="Rejected",$AS194="Open"),"",IF(OR($AH194="Rejected",$AH194="Dealt Separately",$AH194="Superseded",$AH194="Withdrawn"),"N/A",IF($I194="EOT",INDEX(Program_01!AR:AR,MATCH($B194,Program_01!A:A,0)),INDEX(Program_01!BB:BB,MATCH($B194,Program_01!A:A,0)))))</f>
        <v/>
      </c>
      <c r="AK194" s="181" t="str">
        <f>IF(OR($A194="",$B194="",$I194="",$AS194="Determination Issued",$AS194="Rejected",$AS194="Open"),"",IF($AJ194="N/A","N/A",IF($I194="EOT",INDEX(Program_01!AS:AS,MATCH($B194,Program_01!A:A,0)),INDEX(Program_01!BC:BC,MATCH($B194,Program_01!A:A,0)))))</f>
        <v/>
      </c>
      <c r="AL194" s="51"/>
      <c r="AM194" s="184" t="str">
        <f>IFERROR(INDEX(Program_01!$BT:$BT,MATCH($B194,Program_01!$A:$A,0)),"")</f>
        <v/>
      </c>
      <c r="AN194" s="184" t="str">
        <f>IFERROR(INDEX(Program_01!$BU:$BU,MATCH($B194,Program_01!$A:$A,0)),"")</f>
        <v/>
      </c>
      <c r="AO194" s="184" t="str">
        <f>IFERROR(INDEX(Program_01!$BV:$BV,MATCH($B194,Program_01!$A:$A,0)),"")</f>
        <v/>
      </c>
      <c r="AP194" s="51" t="str">
        <f t="shared" si="73"/>
        <v/>
      </c>
      <c r="AQ194" s="184" t="str">
        <f>IFERROR(INDEX(Program_01!$BN:$BN,MATCH($B194,Program_01!$A:$A,0)),"")</f>
        <v/>
      </c>
      <c r="AR194" s="184" t="str">
        <f>IFERROR(INDEX(Program_01!$BO:$BO,MATCH($B194,Program_01!$A:$A,0)),"")</f>
        <v/>
      </c>
      <c r="AS194" s="184" t="str">
        <f>IFERROR(INDEX(Program_01!$BP:$BP,MATCH($B194,Program_01!$A:$A,0)),"")</f>
        <v/>
      </c>
      <c r="AT194" s="185" t="str">
        <f>IFERROR(INDEX(Program_01!$BQ:$BQ,MATCH($B194,Program_01!$A:$A,0)),"")</f>
        <v/>
      </c>
      <c r="AU194" s="179" t="str">
        <f>IFERROR(INDEX(Program_01!$BR:$BR,MATCH($B194,Program_01!$A:$A,0)),"")</f>
        <v/>
      </c>
      <c r="AV194" s="186" t="str">
        <f t="shared" si="58"/>
        <v/>
      </c>
      <c r="AW194" s="186" t="str">
        <f t="shared" si="74"/>
        <v/>
      </c>
      <c r="AX194" s="186" t="str">
        <f t="shared" si="59"/>
        <v/>
      </c>
      <c r="AY194" s="181" t="str">
        <f t="shared" si="68"/>
        <v/>
      </c>
      <c r="AZ194" s="181" t="str">
        <f t="shared" si="60"/>
        <v/>
      </c>
      <c r="BA194" s="181" t="str">
        <f t="shared" si="4"/>
        <v/>
      </c>
      <c r="BC194" s="181" t="str">
        <f>IFERROR(INDEX(Program_01!BF:BF,MATCH($B194,Program_01!$A:$A,0)),"")</f>
        <v/>
      </c>
      <c r="BD194" s="188" t="str">
        <f>IFERROR(INDEX(Program_01!BG:BG,MATCH($B194,Program_01!$A:$A,0)),"")</f>
        <v/>
      </c>
      <c r="BE194" s="181" t="str">
        <f>IFERROR(INDEX(Program_01!BH:BH,MATCH($B194,Program_01!$A:$A,0)),"")</f>
        <v/>
      </c>
      <c r="BF194" s="189" t="str">
        <f>IFERROR(INDEX(Program_01!BI:BI,MATCH($B194,Program_01!$A:$A,0)),"")</f>
        <v/>
      </c>
      <c r="BG194" s="181" t="str">
        <f>IFERROR(INDEX(Program_01!BJ:BJ,MATCH($B194,Program_01!$A:$A,0)),"")</f>
        <v/>
      </c>
      <c r="BH194" s="189" t="str">
        <f>IFERROR(INDEX(Program_01!BK:BK,MATCH($B194,Program_01!$A:$A,0)),"")</f>
        <v/>
      </c>
      <c r="BI194" s="181" t="str">
        <f>IFERROR(INDEX(Program_01!BL:BL,MATCH($B194,Program_01!$A:$A,0)),"")</f>
        <v/>
      </c>
      <c r="BK194" s="190" t="str">
        <f>IFERROR(IF(INDEX(Program_01!$BX:$BX,MATCH($B194,Program_01!$A:$A,0))=DATE(1900,1,0),"",INDEX(Program_01!$BX:$BX,MATCH($B194,Program_01!$A:$A,0))),"")</f>
        <v/>
      </c>
      <c r="BL194" s="190" t="str">
        <f>IFERROR(IF(INDEX(Program_01!$BY:$BY,MATCH($B194,Program_01!$A:$A,0))=DATE(1900,1,0),"",INDEX(Program_01!$BY:$BY,MATCH($B194,Program_01!$A:$A,0))),"")</f>
        <v/>
      </c>
      <c r="BM194" s="188" t="str">
        <f t="shared" ca="1" si="69"/>
        <v/>
      </c>
      <c r="BN194" s="191" t="str">
        <f t="shared" ca="1" si="70"/>
        <v/>
      </c>
      <c r="BO194" s="188" t="str">
        <f t="shared" si="61"/>
        <v/>
      </c>
      <c r="BP194" s="188" t="str">
        <f t="shared" si="6"/>
        <v/>
      </c>
      <c r="BQ194" s="188" t="str">
        <f t="shared" ca="1" si="71"/>
        <v/>
      </c>
      <c r="BR194" s="181" t="str">
        <f t="shared" ca="1" si="62"/>
        <v/>
      </c>
      <c r="BT194" s="190" t="str">
        <f>IFERROR(IF(INDEX(Program_01!$BZ:$BZ,MATCH($B194,Program_01!$A:$A,0))=DATE(1900,1,0),"",INDEX(Program_01!$BZ:$BZ,MATCH($B194,Program_01!$A:$A,0))),"")</f>
        <v/>
      </c>
      <c r="BU194" s="182" t="str">
        <f t="shared" ca="1" si="75"/>
        <v/>
      </c>
      <c r="BV194" s="188" t="str">
        <f t="shared" si="63"/>
        <v/>
      </c>
      <c r="BW194" s="188" t="str">
        <f t="shared" si="8"/>
        <v/>
      </c>
      <c r="BX194" s="188" t="str">
        <f t="shared" ca="1" si="64"/>
        <v/>
      </c>
      <c r="BY194" s="181" t="str">
        <f t="shared" ca="1" si="65"/>
        <v/>
      </c>
      <c r="CA194" s="192" t="str">
        <f t="shared" si="76"/>
        <v/>
      </c>
      <c r="CB194" s="192" t="str">
        <f t="shared" si="77"/>
        <v/>
      </c>
      <c r="CC194" s="193" t="str">
        <f>IFERROR(INDEX(Program_01!$CE:$CE,MATCH($B194,Program_01!$A:$A,0)),"")</f>
        <v/>
      </c>
      <c r="CD194" s="193">
        <f t="shared" si="66"/>
        <v>0</v>
      </c>
      <c r="CG194" s="194" t="str">
        <f>IFERROR(INDEX(Program_01!$AT:$AT,MATCH($B194,Program_01!$A:$A,0)),"")</f>
        <v/>
      </c>
      <c r="CH194" s="194" t="str">
        <f>IFERROR(INDEX(Program_01!$AX:$AX,MATCH($B194,Program_01!$A:$A,0)),"")</f>
        <v/>
      </c>
    </row>
  </sheetData>
  <protectedRanges>
    <protectedRange sqref="B3:C3 A12:C1048576" name="Range1"/>
    <protectedRange sqref="A2:A3 B2:C2" name="Range1_1"/>
    <protectedRange sqref="E5:E7 A8:F11 B5:B7" name="Range1_2"/>
    <protectedRange sqref="AS12" name="Range3_3_2_1_1_1"/>
    <protectedRange sqref="AS13" name="Range3_3_2_1_2_1"/>
    <protectedRange sqref="AS5" name="Range3_3_2_1_2_1_1"/>
    <protectedRange sqref="AS11" name="Range3_3_2_1_2_1_2"/>
    <protectedRange sqref="AQ16" name="Range2_1_1_1_2"/>
    <protectedRange sqref="C5:C7" name="Range1_2_1"/>
  </protectedRanges>
  <autoFilter ref="A17:CI194" xr:uid="{AB718512-19A0-47C8-960F-D985DF069183}"/>
  <mergeCells count="3">
    <mergeCell ref="AM15:AM16"/>
    <mergeCell ref="AN15:AN16"/>
    <mergeCell ref="AO15:AO16"/>
  </mergeCells>
  <conditionalFormatting sqref="W19:W194">
    <cfRule type="cellIs" dxfId="116" priority="152" operator="between">
      <formula>8</formula>
      <formula>14</formula>
    </cfRule>
    <cfRule type="cellIs" dxfId="115" priority="151" operator="between">
      <formula>1</formula>
      <formula>7</formula>
    </cfRule>
    <cfRule type="expression" dxfId="114" priority="150">
      <formula>IF($V19&lt;&gt;0,TRUE)</formula>
    </cfRule>
    <cfRule type="cellIs" dxfId="113" priority="153" operator="between">
      <formula>15</formula>
      <formula>21</formula>
    </cfRule>
    <cfRule type="expression" dxfId="112" priority="154">
      <formula>IF(AND($V19=0,$W19&gt;21),TRUE)</formula>
    </cfRule>
  </conditionalFormatting>
  <conditionalFormatting sqref="AS4">
    <cfRule type="cellIs" dxfId="111" priority="175" operator="equal">
      <formula>"Closed"</formula>
    </cfRule>
  </conditionalFormatting>
  <conditionalFormatting sqref="AS4:AS13">
    <cfRule type="cellIs" dxfId="110" priority="49" operator="equal">
      <formula>"Claims Team"</formula>
    </cfRule>
    <cfRule type="cellIs" dxfId="109" priority="51" operator="equal">
      <formula>"Planning Team"</formula>
    </cfRule>
    <cfRule type="cellIs" dxfId="108" priority="52" operator="equal">
      <formula>"Commercial Team"</formula>
    </cfRule>
    <cfRule type="cellIs" dxfId="107" priority="53" operator="equal">
      <formula>"Contractor"</formula>
    </cfRule>
    <cfRule type="cellIs" dxfId="106" priority="54" operator="equal">
      <formula>"For Presentation to Management"</formula>
    </cfRule>
  </conditionalFormatting>
  <conditionalFormatting sqref="AS5">
    <cfRule type="cellIs" dxfId="105" priority="140" operator="equal">
      <formula>"Closed"</formula>
    </cfRule>
    <cfRule type="cellIs" dxfId="104" priority="141" operator="equal">
      <formula>"Assessment in WF"</formula>
    </cfRule>
    <cfRule type="cellIs" dxfId="103" priority="142" operator="equal">
      <formula>"DVO/VO in WF"</formula>
    </cfRule>
    <cfRule type="cellIs" dxfId="102" priority="143" operator="equal">
      <formula>"Awaiting conclusion of EoT"</formula>
    </cfRule>
    <cfRule type="cellIs" dxfId="101" priority="144" operator="equal">
      <formula>"Engineer"</formula>
    </cfRule>
  </conditionalFormatting>
  <conditionalFormatting sqref="AS6">
    <cfRule type="cellIs" dxfId="100" priority="174" operator="equal">
      <formula>"For Presentation to Management"</formula>
    </cfRule>
  </conditionalFormatting>
  <conditionalFormatting sqref="AS6:AS10">
    <cfRule type="cellIs" dxfId="99" priority="47" operator="equal">
      <formula>"Closed"</formula>
    </cfRule>
  </conditionalFormatting>
  <conditionalFormatting sqref="AS8:AS9">
    <cfRule type="cellIs" dxfId="98" priority="48" operator="equal">
      <formula>"For Presentation to Management"</formula>
    </cfRule>
  </conditionalFormatting>
  <conditionalFormatting sqref="AS9">
    <cfRule type="cellIs" dxfId="97" priority="50" operator="equal">
      <formula>"Legal Team"</formula>
    </cfRule>
  </conditionalFormatting>
  <conditionalFormatting sqref="AS11">
    <cfRule type="cellIs" dxfId="96" priority="139" operator="equal">
      <formula>"Engineer"</formula>
    </cfRule>
    <cfRule type="cellIs" dxfId="95" priority="138" operator="equal">
      <formula>"Cost claim awaiting conclusion of EoT"</formula>
    </cfRule>
    <cfRule type="cellIs" dxfId="94" priority="135" operator="equal">
      <formula>"Closed"</formula>
    </cfRule>
  </conditionalFormatting>
  <conditionalFormatting sqref="AS11:AS13">
    <cfRule type="cellIs" dxfId="93" priority="137" operator="equal">
      <formula>"DVO/VO in WF"</formula>
    </cfRule>
    <cfRule type="cellIs" dxfId="92" priority="136" operator="equal">
      <formula>"Assessment in WF"</formula>
    </cfRule>
  </conditionalFormatting>
  <conditionalFormatting sqref="AS12:AS13">
    <cfRule type="cellIs" dxfId="91" priority="148" operator="equal">
      <formula>"Closed"</formula>
    </cfRule>
    <cfRule type="cellIs" dxfId="90" priority="149" operator="equal">
      <formula>"Awaiting conclusion of EoT"</formula>
    </cfRule>
  </conditionalFormatting>
  <conditionalFormatting sqref="AT19:AT194">
    <cfRule type="cellIs" dxfId="89" priority="165" operator="equal">
      <formula>"Cost claim awaiting conclusion of EOT"</formula>
    </cfRule>
    <cfRule type="cellIs" dxfId="88" priority="147" operator="equal">
      <formula>"Closed"</formula>
    </cfRule>
    <cfRule type="cellIs" dxfId="87" priority="146" operator="equal">
      <formula>""</formula>
    </cfRule>
    <cfRule type="cellIs" dxfId="86" priority="145" operator="equal">
      <formula>0</formula>
    </cfRule>
    <cfRule type="cellIs" dxfId="85" priority="173" operator="equal">
      <formula>"Contractor"</formula>
    </cfRule>
    <cfRule type="cellIs" dxfId="84" priority="172" operator="equal">
      <formula>"Engineer"</formula>
    </cfRule>
    <cfRule type="cellIs" dxfId="83" priority="171" operator="equal">
      <formula>"Commercial Team"</formula>
    </cfRule>
    <cfRule type="cellIs" dxfId="82" priority="170" operator="equal">
      <formula>"Planning Team"</formula>
    </cfRule>
    <cfRule type="cellIs" dxfId="81" priority="169" operator="equal">
      <formula>"Claims Team"</formula>
    </cfRule>
    <cfRule type="cellIs" dxfId="80" priority="168" operator="equal">
      <formula>"For Presentation to Management"</formula>
    </cfRule>
    <cfRule type="cellIs" dxfId="79" priority="167" operator="equal">
      <formula>"Assessment in WF"</formula>
    </cfRule>
    <cfRule type="cellIs" dxfId="78" priority="166" operator="equal">
      <formula>"DVO/VO in WF"</formula>
    </cfRule>
  </conditionalFormatting>
  <conditionalFormatting sqref="AV18:AX194">
    <cfRule type="containsText" dxfId="77" priority="1" operator="containsText" text="OPEN">
      <formula>NOT(ISERROR(SEARCH("OPEN",AV18)))</formula>
    </cfRule>
  </conditionalFormatting>
  <conditionalFormatting sqref="BN18">
    <cfRule type="containsText" dxfId="76" priority="176" operator="containsText" text="OPEN">
      <formula>NOT(ISERROR(SEARCH("OPEN",BN18)))</formula>
    </cfRule>
  </conditionalFormatting>
  <conditionalFormatting sqref="BN19:BN194">
    <cfRule type="cellIs" dxfId="75" priority="164" operator="between">
      <formula>141</formula>
      <formula>1000</formula>
    </cfRule>
    <cfRule type="cellIs" dxfId="74" priority="163" operator="between">
      <formula>91</formula>
      <formula>140</formula>
    </cfRule>
    <cfRule type="cellIs" dxfId="73" priority="162" operator="between">
      <formula>46</formula>
      <formula>90</formula>
    </cfRule>
    <cfRule type="cellIs" dxfId="72" priority="161" operator="lessThanOrEqual">
      <formula>45</formula>
    </cfRule>
    <cfRule type="expression" dxfId="71" priority="160">
      <formula>IF($AZ19&lt;&gt;"",TRUE)</formula>
    </cfRule>
  </conditionalFormatting>
  <conditionalFormatting sqref="BU19:BU194">
    <cfRule type="cellIs" dxfId="70" priority="159" operator="between">
      <formula>91</formula>
      <formula>1000</formula>
    </cfRule>
    <cfRule type="cellIs" dxfId="69" priority="158" operator="between">
      <formula>61</formula>
      <formula>90</formula>
    </cfRule>
    <cfRule type="cellIs" dxfId="68" priority="157" operator="between">
      <formula>31</formula>
      <formula>60</formula>
    </cfRule>
    <cfRule type="cellIs" dxfId="67" priority="156" operator="lessThanOrEqual">
      <formula>30</formula>
    </cfRule>
    <cfRule type="expression" dxfId="66" priority="155">
      <formula>IF($BA19&lt;&gt;"",TRUE)</formula>
    </cfRule>
  </conditionalFormatting>
  <dataValidations count="1">
    <dataValidation type="list" allowBlank="1" showInputMessage="1" showErrorMessage="1" sqref="AS5" xr:uid="{7DF67F51-B0E0-4103-B254-18AB952442B0}">
      <formula1>"Contractor,Engineer,Commercial Team,Planning Team,Claims Team,For Presentation to Management,Awaiting conclusion of EoT,Assessment in WF,DVO/VO in WF,Closed"</formula1>
    </dataValidation>
  </dataValidations>
  <printOptions horizontalCentered="1"/>
  <pageMargins left="0.25" right="0.25" top="0.75" bottom="0.75" header="0.3" footer="0.3"/>
  <pageSetup paperSize="8" fitToHeight="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B8862-F95B-44FA-A11E-D68F49905046}">
  <sheetPr filterMode="1">
    <tabColor rgb="FF817971"/>
    <pageSetUpPr autoPageBreaks="0"/>
  </sheetPr>
  <dimension ref="A1:CI183"/>
  <sheetViews>
    <sheetView tabSelected="1" zoomScale="88" zoomScaleNormal="88" zoomScaleSheetLayoutView="70" workbookViewId="0">
      <pane xSplit="21" ySplit="13" topLeftCell="AY14" activePane="bottomRight" state="frozen"/>
      <selection pane="topRight" activeCell="BR152" sqref="BR152"/>
      <selection pane="bottomLeft" activeCell="BR152" sqref="BR152"/>
      <selection pane="bottomRight" activeCell="BR133" sqref="BR133"/>
    </sheetView>
  </sheetViews>
  <sheetFormatPr baseColWidth="10" defaultColWidth="9.19921875" defaultRowHeight="14" outlineLevelRow="1" outlineLevelCol="1"/>
  <cols>
    <col min="1" max="1" width="12.19921875" style="203" customWidth="1"/>
    <col min="2" max="2" width="12.19921875" style="204" customWidth="1"/>
    <col min="3" max="3" width="45.796875" style="205" customWidth="1"/>
    <col min="4" max="4" width="17.19921875" style="203" customWidth="1"/>
    <col min="5" max="5" width="17.19921875" style="205" customWidth="1" outlineLevel="1"/>
    <col min="6" max="6" width="25.796875" style="205" customWidth="1" outlineLevel="1"/>
    <col min="7" max="7" width="29.19921875" style="205" customWidth="1" outlineLevel="1"/>
    <col min="8" max="8" width="24.796875" style="205" customWidth="1"/>
    <col min="9" max="14" width="5.19921875" style="205" customWidth="1"/>
    <col min="15" max="15" width="15.796875" style="206" hidden="1" customWidth="1" outlineLevel="1"/>
    <col min="16" max="16" width="29.796875" style="205" hidden="1" customWidth="1" outlineLevel="1"/>
    <col min="17" max="17" width="15.796875" style="206" hidden="1" customWidth="1" outlineLevel="1"/>
    <col min="18" max="18" width="15.796875" style="205" hidden="1" customWidth="1" outlineLevel="1"/>
    <col min="19" max="19" width="15.796875" style="203" hidden="1" customWidth="1" outlineLevel="1"/>
    <col min="20" max="20" width="31.796875" style="205" hidden="1" customWidth="1" outlineLevel="1"/>
    <col min="21" max="21" width="17.796875" style="206" hidden="1" customWidth="1" outlineLevel="1"/>
    <col min="22" max="22" width="38.796875" style="205" customWidth="1" collapsed="1"/>
    <col min="23" max="23" width="15.796875" style="206" customWidth="1"/>
    <col min="24" max="25" width="15.796875" style="203" hidden="1" customWidth="1" outlineLevel="1"/>
    <col min="26" max="26" width="38.796875" style="205" customWidth="1" collapsed="1"/>
    <col min="27" max="27" width="17.796875" style="206" customWidth="1"/>
    <col min="28" max="28" width="39.19921875" style="206" customWidth="1"/>
    <col min="29" max="29" width="17.796875" style="206" customWidth="1"/>
    <col min="30" max="30" width="37.796875" style="205" customWidth="1"/>
    <col min="31" max="31" width="17.796875" style="206" customWidth="1"/>
    <col min="32" max="32" width="14.19921875" style="205" customWidth="1"/>
    <col min="33" max="33" width="15.796875" style="205" customWidth="1"/>
    <col min="34" max="34" width="17.19921875" style="205" customWidth="1"/>
    <col min="35" max="35" width="15.796875" style="206" customWidth="1"/>
    <col min="36" max="36" width="26.796875" style="205" customWidth="1"/>
    <col min="37" max="37" width="15.796875" style="205" customWidth="1"/>
    <col min="38" max="38" width="14.796875" style="205" customWidth="1"/>
    <col min="39" max="39" width="15.796875" style="206" customWidth="1"/>
    <col min="40" max="40" width="36.19921875" style="205" customWidth="1"/>
    <col min="41" max="41" width="15.796875" style="205" customWidth="1"/>
    <col min="42" max="42" width="15.796875" style="207" customWidth="1"/>
    <col min="43" max="43" width="18.796875" style="205" customWidth="1"/>
    <col min="44" max="44" width="25.796875" style="205" customWidth="1"/>
    <col min="45" max="45" width="21.19921875" style="205" customWidth="1"/>
    <col min="46" max="47" width="23.19921875" style="205" customWidth="1"/>
    <col min="48" max="48" width="48.19921875" style="205" customWidth="1"/>
    <col min="49" max="49" width="22.796875" style="203" customWidth="1"/>
    <col min="50" max="50" width="23.19921875" style="205" customWidth="1"/>
    <col min="51" max="51" width="48.19921875" style="205" customWidth="1"/>
    <col min="52" max="52" width="22.796875" style="203" customWidth="1"/>
    <col min="53" max="53" width="20.796875" style="203" customWidth="1"/>
    <col min="54" max="54" width="24.796875" style="203" customWidth="1"/>
    <col min="55" max="55" width="20.19921875" style="205" customWidth="1"/>
    <col min="56" max="56" width="63.796875" style="203" customWidth="1"/>
    <col min="57" max="57" width="1" style="203" customWidth="1"/>
    <col min="58" max="58" width="25.796875" style="435" customWidth="1"/>
    <col min="59" max="59" width="9.796875" style="203" customWidth="1"/>
    <col min="60" max="60" width="15.796875" style="203" customWidth="1"/>
    <col min="61" max="61" width="9.796875" style="203" customWidth="1"/>
    <col min="62" max="62" width="15.796875" style="203" customWidth="1"/>
    <col min="63" max="63" width="9.796875" style="203" customWidth="1"/>
    <col min="64" max="64" width="15.796875" style="203" customWidth="1"/>
    <col min="65" max="65" width="1" style="203" customWidth="1"/>
    <col min="66" max="66" width="15.796875" style="208" customWidth="1"/>
    <col min="67" max="67" width="20.19921875" style="208" customWidth="1"/>
    <col min="68" max="68" width="17.796875" style="203" customWidth="1"/>
    <col min="69" max="69" width="15.19921875" style="205" customWidth="1"/>
    <col min="70" max="70" width="165.59765625" style="205" customWidth="1"/>
    <col min="71" max="71" width="0.796875" style="205" customWidth="1"/>
    <col min="72" max="72" width="14.19921875" style="205" customWidth="1"/>
    <col min="73" max="73" width="16.796875" style="205" customWidth="1"/>
    <col min="74" max="74" width="14.19921875" style="205" customWidth="1"/>
    <col min="75" max="75" width="0.796875" style="205" customWidth="1"/>
    <col min="76" max="76" width="13.19921875" style="205" customWidth="1"/>
    <col min="77" max="77" width="16.3984375" style="205" customWidth="1"/>
    <col min="78" max="78" width="13.19921875" style="205" customWidth="1"/>
    <col min="79" max="79" width="0.796875" style="205" customWidth="1"/>
    <col min="80" max="82" width="16.796875" style="203" customWidth="1"/>
    <col min="83" max="83" width="14.796875" style="206" customWidth="1"/>
    <col min="84" max="84" width="9.19921875" style="205"/>
    <col min="85" max="85" width="10.19921875" style="205" bestFit="1" customWidth="1"/>
    <col min="86" max="16384" width="9.19921875" style="205"/>
  </cols>
  <sheetData>
    <row r="1" spans="1:87" ht="16" hidden="1" outlineLevel="1">
      <c r="BD1" s="205"/>
      <c r="BE1" s="205"/>
      <c r="BF1" s="205"/>
      <c r="BG1" s="205"/>
      <c r="BH1" s="205"/>
      <c r="BI1" s="205"/>
      <c r="BJ1" s="205"/>
      <c r="BK1" s="205"/>
      <c r="BL1" s="205"/>
      <c r="BM1" s="205"/>
      <c r="BP1" s="205"/>
      <c r="CE1" s="209"/>
    </row>
    <row r="2" spans="1:87" s="212" customFormat="1" ht="42.75" hidden="1" customHeight="1" outlineLevel="1">
      <c r="A2" s="210" t="s">
        <v>100</v>
      </c>
      <c r="B2" s="211"/>
      <c r="AW2" s="213"/>
      <c r="AZ2" s="213"/>
      <c r="BA2" s="213"/>
      <c r="BB2" s="213"/>
      <c r="BN2" s="214"/>
      <c r="BO2" s="214"/>
      <c r="CB2" s="213"/>
      <c r="CC2" s="213"/>
      <c r="CD2" s="213"/>
      <c r="CE2" s="215"/>
    </row>
    <row r="3" spans="1:87" s="218" customFormat="1" ht="34.5" hidden="1" customHeight="1" outlineLevel="1">
      <c r="A3" s="216" t="s">
        <v>222</v>
      </c>
      <c r="B3" s="217"/>
      <c r="AW3" s="219"/>
      <c r="AZ3" s="219"/>
      <c r="BA3" s="219"/>
      <c r="BB3" s="219"/>
      <c r="BN3" s="220"/>
      <c r="BO3" s="220"/>
      <c r="CB3" s="219"/>
      <c r="CC3" s="219"/>
      <c r="CD3" s="219"/>
      <c r="CE3" s="221"/>
    </row>
    <row r="4" spans="1:87" s="225" customFormat="1" ht="16" hidden="1" outlineLevel="1">
      <c r="A4" s="222" t="s">
        <v>223</v>
      </c>
      <c r="B4" s="223"/>
      <c r="C4" s="69"/>
      <c r="D4" s="224"/>
      <c r="O4" s="226"/>
      <c r="P4" s="69"/>
      <c r="Q4" s="226"/>
      <c r="R4" s="69"/>
      <c r="S4" s="227"/>
      <c r="T4" s="69"/>
      <c r="U4" s="226"/>
      <c r="V4" s="69"/>
      <c r="W4" s="226"/>
      <c r="X4" s="227"/>
      <c r="Y4" s="227"/>
      <c r="Z4" s="69"/>
      <c r="AA4" s="226"/>
      <c r="AB4" s="226"/>
      <c r="AC4" s="226"/>
      <c r="AD4" s="69"/>
      <c r="AE4" s="226"/>
      <c r="AF4" s="69"/>
      <c r="AG4" s="69"/>
      <c r="AH4" s="69"/>
      <c r="AI4" s="226"/>
      <c r="AJ4" s="69"/>
      <c r="AK4" s="69"/>
      <c r="AL4" s="69"/>
      <c r="AM4" s="226"/>
      <c r="AN4" s="69"/>
      <c r="AO4" s="69"/>
      <c r="AP4" s="228"/>
      <c r="AQ4" s="69"/>
      <c r="AR4" s="69"/>
      <c r="AW4" s="224"/>
      <c r="AZ4" s="224"/>
      <c r="BA4" s="224"/>
      <c r="BB4" s="224"/>
      <c r="BN4" s="229"/>
      <c r="BO4" s="229"/>
      <c r="CB4" s="224"/>
      <c r="CC4" s="224"/>
      <c r="CD4" s="224"/>
      <c r="CE4" s="230"/>
    </row>
    <row r="5" spans="1:87" s="236" customFormat="1" ht="18" hidden="1" outlineLevel="1">
      <c r="A5" s="231" t="s">
        <v>224</v>
      </c>
      <c r="B5" s="232"/>
      <c r="C5" s="233"/>
      <c r="D5" s="234" t="s">
        <v>225</v>
      </c>
      <c r="E5" s="235"/>
      <c r="F5" s="235"/>
      <c r="G5" s="235"/>
      <c r="H5" s="235"/>
      <c r="I5" s="235"/>
      <c r="J5" s="235"/>
      <c r="K5" s="235"/>
      <c r="L5" s="235"/>
      <c r="M5" s="235"/>
      <c r="N5" s="235"/>
      <c r="O5" s="235"/>
      <c r="P5" s="235"/>
      <c r="Q5" s="235"/>
      <c r="R5" s="235"/>
      <c r="S5" s="235"/>
      <c r="T5" s="235"/>
      <c r="U5" s="235"/>
      <c r="V5" s="235"/>
      <c r="W5" s="235"/>
      <c r="X5" s="235"/>
      <c r="Y5" s="235"/>
      <c r="Z5" s="235"/>
      <c r="AA5" s="235"/>
      <c r="AB5" s="235"/>
      <c r="AC5" s="235"/>
      <c r="AD5" s="235"/>
      <c r="AE5" s="235"/>
      <c r="AI5" s="237"/>
      <c r="AJ5" s="69"/>
      <c r="AM5" s="237"/>
      <c r="AN5" s="69"/>
      <c r="AP5" s="238"/>
      <c r="AS5" s="89"/>
      <c r="AT5" s="89"/>
      <c r="AU5" s="89"/>
      <c r="AV5" s="89"/>
      <c r="AW5" s="89"/>
      <c r="AX5" s="89"/>
      <c r="AY5" s="89"/>
      <c r="AZ5" s="89"/>
      <c r="BA5" s="89"/>
      <c r="BB5" s="89"/>
      <c r="BC5" s="89"/>
      <c r="BD5" s="89"/>
      <c r="BE5" s="89"/>
      <c r="BF5" s="89"/>
      <c r="BG5" s="89"/>
      <c r="BH5" s="89"/>
      <c r="BI5" s="89"/>
      <c r="BJ5" s="89"/>
      <c r="BK5" s="89"/>
      <c r="BL5" s="89"/>
      <c r="BM5" s="89"/>
      <c r="BN5" s="239"/>
      <c r="BO5" s="239"/>
      <c r="BP5" s="89"/>
      <c r="BQ5" s="89"/>
      <c r="BR5" s="89"/>
      <c r="BS5" s="89"/>
      <c r="BT5" s="89"/>
      <c r="BU5" s="89"/>
      <c r="BV5" s="89"/>
      <c r="BW5" s="89"/>
      <c r="BX5" s="89"/>
      <c r="BY5" s="89"/>
      <c r="BZ5" s="89"/>
      <c r="CA5" s="89"/>
      <c r="CB5" s="89"/>
      <c r="CC5" s="89"/>
      <c r="CD5" s="89"/>
      <c r="CE5" s="240"/>
    </row>
    <row r="6" spans="1:87" s="246" customFormat="1" ht="18" hidden="1" outlineLevel="1">
      <c r="A6" s="241" t="s">
        <v>226</v>
      </c>
      <c r="B6" s="242"/>
      <c r="C6" s="243"/>
      <c r="D6" s="244" t="str">
        <f>IFERROR(VLOOKUP(D5,'[1]Lookup data'!C102:D119,2,0),"")</f>
        <v>Marina Village</v>
      </c>
      <c r="E6" s="235"/>
      <c r="F6" s="245" t="str">
        <f>IF(CE6&gt;0,"Insert Entry Date for Newly Added Claims","")</f>
        <v/>
      </c>
      <c r="G6" s="235"/>
      <c r="H6" s="235"/>
      <c r="I6" s="235"/>
      <c r="J6" s="235"/>
      <c r="K6" s="235"/>
      <c r="L6" s="235"/>
      <c r="M6" s="235"/>
      <c r="N6" s="235"/>
      <c r="O6" s="235"/>
      <c r="P6" s="235"/>
      <c r="Q6" s="235"/>
      <c r="R6" s="235"/>
      <c r="S6" s="235"/>
      <c r="T6" s="235"/>
      <c r="U6" s="235"/>
      <c r="V6" s="235"/>
      <c r="W6" s="235"/>
      <c r="X6" s="235"/>
      <c r="Y6" s="235"/>
      <c r="Z6" s="235"/>
      <c r="AA6" s="235"/>
      <c r="AB6" s="235"/>
      <c r="AC6" s="235"/>
      <c r="AD6" s="235"/>
      <c r="AE6" s="235"/>
      <c r="AI6" s="247"/>
      <c r="AJ6" s="69"/>
      <c r="AM6" s="247"/>
      <c r="AN6" s="69"/>
      <c r="AP6" s="248"/>
      <c r="AS6" s="249"/>
      <c r="AT6" s="249"/>
      <c r="AU6" s="249"/>
      <c r="AV6" s="249"/>
      <c r="AW6" s="249"/>
      <c r="AX6" s="249"/>
      <c r="AY6" s="249"/>
      <c r="AZ6" s="249"/>
      <c r="BA6" s="249"/>
      <c r="BB6" s="249"/>
      <c r="BC6" s="249"/>
      <c r="BD6" s="249"/>
      <c r="BE6" s="249"/>
      <c r="BF6" s="249"/>
      <c r="BG6" s="249"/>
      <c r="BH6" s="249"/>
      <c r="BI6" s="249"/>
      <c r="BJ6" s="249"/>
      <c r="BK6" s="249"/>
      <c r="BL6" s="249"/>
      <c r="BM6" s="249"/>
      <c r="BN6" s="250"/>
      <c r="BO6" s="250"/>
      <c r="BP6" s="249"/>
      <c r="BQ6" s="249"/>
      <c r="BR6" s="249"/>
      <c r="BS6" s="249"/>
      <c r="BT6" s="249"/>
      <c r="BU6" s="249"/>
      <c r="BV6" s="249"/>
      <c r="BW6" s="249"/>
      <c r="BX6" s="249"/>
      <c r="BY6" s="249"/>
      <c r="BZ6" s="249"/>
      <c r="CA6" s="249"/>
      <c r="CB6" s="249"/>
      <c r="CC6" s="249"/>
      <c r="CD6" s="249"/>
      <c r="CE6" s="251">
        <f>COUNTIFS(CF:CF,"Insert Entry Date")</f>
        <v>0</v>
      </c>
    </row>
    <row r="7" spans="1:87" s="260" customFormat="1" ht="18" hidden="1" outlineLevel="1">
      <c r="A7" s="231"/>
      <c r="B7" s="232"/>
      <c r="C7" s="252"/>
      <c r="D7" s="253"/>
      <c r="E7" s="89"/>
      <c r="F7" s="89"/>
      <c r="G7" s="89"/>
      <c r="H7" s="89"/>
      <c r="I7" s="89"/>
      <c r="J7" s="89"/>
      <c r="K7" s="89"/>
      <c r="L7" s="89"/>
      <c r="M7" s="89"/>
      <c r="N7" s="89"/>
      <c r="O7" s="254"/>
      <c r="P7" s="255"/>
      <c r="Q7" s="254"/>
      <c r="R7" s="256"/>
      <c r="S7" s="257"/>
      <c r="T7" s="256"/>
      <c r="U7" s="254"/>
      <c r="V7" s="256"/>
      <c r="W7" s="254"/>
      <c r="X7" s="257"/>
      <c r="Y7" s="257"/>
      <c r="Z7" s="256"/>
      <c r="AA7" s="254"/>
      <c r="AB7" s="254"/>
      <c r="AC7" s="254"/>
      <c r="AD7" s="256"/>
      <c r="AE7" s="254"/>
      <c r="AF7" s="256"/>
      <c r="AG7" s="256"/>
      <c r="AH7" s="256"/>
      <c r="AI7" s="254"/>
      <c r="AJ7" s="69"/>
      <c r="AK7" s="256"/>
      <c r="AL7" s="256"/>
      <c r="AM7" s="254"/>
      <c r="AN7" s="69"/>
      <c r="AO7" s="256"/>
      <c r="AP7" s="258"/>
      <c r="AQ7" s="256"/>
      <c r="AR7" s="256"/>
      <c r="AS7" s="257"/>
      <c r="AT7" s="257"/>
      <c r="AU7" s="257"/>
      <c r="AV7" s="257"/>
      <c r="AW7" s="257"/>
      <c r="AX7" s="257"/>
      <c r="AY7" s="257"/>
      <c r="AZ7" s="257"/>
      <c r="BA7" s="257"/>
      <c r="BB7" s="257"/>
      <c r="BC7" s="257"/>
      <c r="BD7" s="257"/>
      <c r="BE7" s="257"/>
      <c r="BF7" s="257"/>
      <c r="BG7" s="257"/>
      <c r="BH7" s="257"/>
      <c r="BI7" s="257"/>
      <c r="BJ7" s="257"/>
      <c r="BK7" s="257"/>
      <c r="BL7" s="257"/>
      <c r="BM7" s="257"/>
      <c r="BN7" s="259"/>
      <c r="BO7" s="259"/>
      <c r="BP7" s="257"/>
      <c r="BQ7" s="257"/>
      <c r="BR7" s="257"/>
      <c r="BS7" s="257"/>
      <c r="BT7" s="257"/>
      <c r="BU7" s="257"/>
      <c r="BV7" s="257"/>
      <c r="BW7" s="257"/>
      <c r="BX7" s="257"/>
      <c r="BY7" s="257"/>
      <c r="BZ7" s="257"/>
      <c r="CA7" s="257"/>
      <c r="CB7" s="257"/>
      <c r="CC7" s="257"/>
      <c r="CD7" s="257"/>
    </row>
    <row r="8" spans="1:87" s="260" customFormat="1" ht="18" hidden="1" outlineLevel="1">
      <c r="A8" s="231" t="s">
        <v>227</v>
      </c>
      <c r="B8" s="232"/>
      <c r="C8" s="252"/>
      <c r="D8" s="261">
        <v>45904</v>
      </c>
      <c r="E8" s="89"/>
      <c r="F8" s="89"/>
      <c r="G8" s="89"/>
      <c r="H8" s="89"/>
      <c r="I8" s="89"/>
      <c r="J8" s="89"/>
      <c r="K8" s="89"/>
      <c r="L8" s="89"/>
      <c r="M8" s="89"/>
      <c r="N8" s="89"/>
      <c r="O8" s="254"/>
      <c r="P8" s="255"/>
      <c r="Q8" s="254"/>
      <c r="R8" s="256"/>
      <c r="S8" s="257"/>
      <c r="T8" s="256"/>
      <c r="U8" s="254"/>
      <c r="V8" s="256"/>
      <c r="W8" s="254"/>
      <c r="X8" s="257"/>
      <c r="Y8" s="257"/>
      <c r="Z8" s="256"/>
      <c r="AA8" s="254"/>
      <c r="AB8" s="254"/>
      <c r="AC8" s="254"/>
      <c r="AD8" s="256"/>
      <c r="AE8" s="254"/>
      <c r="AF8" s="256"/>
      <c r="AG8" s="256"/>
      <c r="AH8" s="256"/>
      <c r="AI8" s="254"/>
      <c r="AJ8" s="69"/>
      <c r="AK8" s="256"/>
      <c r="AL8" s="256"/>
      <c r="AM8" s="254"/>
      <c r="AN8" s="69"/>
      <c r="AO8" s="256"/>
      <c r="AP8" s="258"/>
      <c r="AQ8" s="246"/>
      <c r="AR8" s="246"/>
      <c r="AS8" s="257"/>
      <c r="AT8" s="257"/>
      <c r="AU8" s="257"/>
      <c r="AV8" s="257"/>
      <c r="AW8" s="257"/>
      <c r="AX8" s="257"/>
      <c r="AY8" s="257"/>
      <c r="AZ8" s="257"/>
      <c r="BA8" s="257"/>
      <c r="BB8" s="257"/>
      <c r="BC8" s="257"/>
      <c r="BD8" s="257"/>
      <c r="BE8" s="257"/>
      <c r="BF8" s="257"/>
      <c r="BG8" s="257"/>
      <c r="BH8" s="257"/>
      <c r="BI8" s="257"/>
      <c r="BJ8" s="257"/>
      <c r="BK8" s="257"/>
      <c r="BL8" s="257"/>
      <c r="BM8" s="257"/>
      <c r="BN8" s="259"/>
      <c r="BO8" s="259"/>
      <c r="BP8" s="257"/>
      <c r="BQ8" s="257"/>
      <c r="BR8" s="257"/>
      <c r="BS8" s="257"/>
      <c r="BT8" s="257"/>
      <c r="BU8" s="257"/>
      <c r="BV8" s="257"/>
      <c r="BW8" s="257"/>
      <c r="BX8" s="257"/>
      <c r="BY8" s="257"/>
      <c r="BZ8" s="257"/>
      <c r="CA8" s="257"/>
      <c r="CB8" s="257"/>
      <c r="CC8" s="257"/>
      <c r="CD8" s="257"/>
      <c r="CE8" s="240"/>
    </row>
    <row r="9" spans="1:87" s="260" customFormat="1" ht="18" hidden="1" outlineLevel="1">
      <c r="A9" s="231" t="s">
        <v>228</v>
      </c>
      <c r="B9" s="232"/>
      <c r="C9" s="252"/>
      <c r="D9" s="261" t="s">
        <v>229</v>
      </c>
      <c r="E9" s="89"/>
      <c r="F9" s="89"/>
      <c r="G9" s="89"/>
      <c r="H9" s="89"/>
      <c r="I9" s="89"/>
      <c r="J9" s="89"/>
      <c r="K9" s="89"/>
      <c r="L9" s="89"/>
      <c r="M9" s="89"/>
      <c r="N9" s="89"/>
      <c r="O9" s="262"/>
      <c r="P9" s="263"/>
      <c r="Q9" s="264"/>
      <c r="R9" s="263"/>
      <c r="S9" s="263"/>
      <c r="T9" s="263"/>
      <c r="U9" s="264"/>
      <c r="V9" s="256"/>
      <c r="W9" s="254"/>
      <c r="X9" s="265"/>
      <c r="Y9" s="263"/>
      <c r="Z9" s="256"/>
      <c r="AA9" s="254"/>
      <c r="AB9" s="254"/>
      <c r="AC9" s="254"/>
      <c r="AD9" s="256"/>
      <c r="AE9" s="254"/>
      <c r="AF9" s="256"/>
      <c r="AG9" s="256"/>
      <c r="AH9" s="256"/>
      <c r="AI9" s="254"/>
      <c r="AJ9" s="69"/>
      <c r="AK9" s="256"/>
      <c r="AL9" s="256"/>
      <c r="AM9" s="254"/>
      <c r="AN9" s="69"/>
      <c r="AO9" s="256"/>
      <c r="AP9" s="258"/>
      <c r="AQ9" s="256"/>
      <c r="AR9" s="256"/>
      <c r="AS9" s="257"/>
      <c r="AT9" s="257"/>
      <c r="AU9" s="257"/>
      <c r="AV9" s="257"/>
      <c r="AW9" s="257"/>
      <c r="AX9" s="257"/>
      <c r="AY9" s="257"/>
      <c r="AZ9" s="257"/>
      <c r="BA9" s="257"/>
      <c r="BB9" s="257"/>
      <c r="BC9" s="257"/>
      <c r="BD9" s="257"/>
      <c r="BE9" s="257"/>
      <c r="BF9" s="257"/>
      <c r="BG9" s="257"/>
      <c r="BH9" s="257"/>
      <c r="BI9" s="257"/>
      <c r="BJ9" s="257"/>
      <c r="BK9" s="257"/>
      <c r="BL9" s="257"/>
      <c r="BM9" s="257"/>
      <c r="BN9" s="259"/>
      <c r="BO9" s="259"/>
      <c r="BP9" s="257"/>
      <c r="BQ9" s="257"/>
      <c r="BR9" s="257"/>
      <c r="BS9" s="257"/>
      <c r="BT9" s="257"/>
      <c r="BU9" s="257"/>
      <c r="BV9" s="257"/>
      <c r="BW9" s="257"/>
      <c r="BX9" s="257"/>
      <c r="BY9" s="257"/>
      <c r="BZ9" s="257"/>
      <c r="CA9" s="257"/>
      <c r="CB9" s="257"/>
      <c r="CC9" s="257"/>
      <c r="CD9" s="257"/>
      <c r="CE9" s="240"/>
    </row>
    <row r="10" spans="1:87" s="260" customFormat="1" ht="16" hidden="1" outlineLevel="1">
      <c r="A10" s="89"/>
      <c r="B10" s="249"/>
      <c r="C10" s="89"/>
      <c r="D10" s="89"/>
      <c r="E10" s="89"/>
      <c r="F10" s="89"/>
      <c r="G10" s="89"/>
      <c r="H10" s="89"/>
      <c r="I10" s="89"/>
      <c r="J10" s="89"/>
      <c r="K10" s="89"/>
      <c r="L10" s="89"/>
      <c r="M10" s="89"/>
      <c r="N10" s="89"/>
      <c r="O10" s="254"/>
      <c r="P10" s="255"/>
      <c r="Q10" s="254"/>
      <c r="R10" s="256"/>
      <c r="S10" s="257"/>
      <c r="T10" s="256"/>
      <c r="U10" s="254"/>
      <c r="V10" s="256"/>
      <c r="W10" s="254"/>
      <c r="X10" s="257"/>
      <c r="Y10" s="257"/>
      <c r="Z10" s="256"/>
      <c r="AA10" s="254"/>
      <c r="AB10" s="254"/>
      <c r="AC10" s="254"/>
      <c r="AD10" s="256"/>
      <c r="AE10" s="254"/>
      <c r="AF10" s="256"/>
      <c r="AG10" s="256"/>
      <c r="AH10" s="256"/>
      <c r="AI10" s="254"/>
      <c r="AJ10" s="256"/>
      <c r="AK10" s="256"/>
      <c r="AL10" s="256"/>
      <c r="AM10" s="254"/>
      <c r="AN10" s="256"/>
      <c r="AO10" s="256"/>
      <c r="AP10" s="258"/>
      <c r="AQ10" s="256"/>
      <c r="AR10" s="256"/>
      <c r="AS10" s="257"/>
      <c r="AT10" s="257"/>
      <c r="AU10" s="257"/>
      <c r="AV10" s="257"/>
      <c r="AW10" s="257"/>
      <c r="AX10" s="257"/>
      <c r="AY10" s="257"/>
      <c r="AZ10" s="257"/>
      <c r="BA10" s="257"/>
      <c r="BB10" s="257"/>
      <c r="BC10" s="257"/>
      <c r="BD10" s="257"/>
      <c r="BE10" s="257"/>
      <c r="BF10" s="257"/>
      <c r="BG10" s="257"/>
      <c r="BH10" s="257"/>
      <c r="BI10" s="257"/>
      <c r="BJ10" s="257"/>
      <c r="BK10" s="257"/>
      <c r="BL10" s="257"/>
      <c r="BM10" s="257"/>
      <c r="BN10" s="259"/>
      <c r="BO10" s="259"/>
      <c r="BP10" s="257"/>
      <c r="BQ10" s="257"/>
      <c r="BR10" s="257"/>
      <c r="BS10" s="257"/>
      <c r="BT10" s="257"/>
      <c r="BU10" s="257"/>
      <c r="BV10" s="257"/>
      <c r="BW10" s="257"/>
      <c r="BX10" s="257"/>
      <c r="BY10" s="257"/>
      <c r="BZ10" s="257"/>
      <c r="CA10" s="257"/>
      <c r="CB10" s="257"/>
      <c r="CC10" s="257"/>
      <c r="CD10" s="257"/>
      <c r="CE10" s="240"/>
    </row>
    <row r="11" spans="1:87" s="282" customFormat="1" ht="30" customHeight="1" collapsed="1">
      <c r="A11" s="266" t="s">
        <v>230</v>
      </c>
      <c r="B11" s="266"/>
      <c r="C11" s="266"/>
      <c r="D11" s="267" t="s">
        <v>231</v>
      </c>
      <c r="E11" s="267"/>
      <c r="F11" s="267"/>
      <c r="G11" s="267"/>
      <c r="H11" s="268"/>
      <c r="I11" s="267" t="s">
        <v>232</v>
      </c>
      <c r="J11" s="267"/>
      <c r="K11" s="267"/>
      <c r="L11" s="267"/>
      <c r="M11" s="267"/>
      <c r="N11" s="267"/>
      <c r="O11" s="269" t="s">
        <v>233</v>
      </c>
      <c r="P11" s="270"/>
      <c r="Q11" s="270"/>
      <c r="R11" s="270"/>
      <c r="S11" s="270"/>
      <c r="T11" s="270"/>
      <c r="U11" s="209"/>
      <c r="V11" s="269" t="s">
        <v>234</v>
      </c>
      <c r="W11" s="270"/>
      <c r="X11" s="270"/>
      <c r="Y11" s="270"/>
      <c r="Z11" s="270"/>
      <c r="AA11" s="270"/>
      <c r="AB11" s="270"/>
      <c r="AC11" s="270"/>
      <c r="AD11" s="270"/>
      <c r="AE11" s="209"/>
      <c r="AF11" s="269" t="s">
        <v>235</v>
      </c>
      <c r="AG11" s="270"/>
      <c r="AH11" s="270"/>
      <c r="AI11" s="270"/>
      <c r="AJ11" s="270"/>
      <c r="AK11" s="270"/>
      <c r="AL11" s="270"/>
      <c r="AM11" s="270"/>
      <c r="AN11" s="270"/>
      <c r="AO11" s="270"/>
      <c r="AP11" s="270"/>
      <c r="AQ11" s="270"/>
      <c r="AR11" s="270"/>
      <c r="AS11" s="209"/>
      <c r="AT11" s="271" t="s">
        <v>236</v>
      </c>
      <c r="AU11" s="267"/>
      <c r="AV11" s="267"/>
      <c r="AW11" s="267"/>
      <c r="AX11" s="267"/>
      <c r="AY11" s="267"/>
      <c r="AZ11" s="267"/>
      <c r="BA11" s="267"/>
      <c r="BB11" s="267"/>
      <c r="BC11" s="268"/>
      <c r="BD11" s="272" t="s">
        <v>237</v>
      </c>
      <c r="BE11" s="273"/>
      <c r="BF11" s="273"/>
      <c r="BG11" s="273"/>
      <c r="BH11" s="273"/>
      <c r="BI11" s="273"/>
      <c r="BJ11" s="273"/>
      <c r="BK11" s="273"/>
      <c r="BL11" s="273"/>
      <c r="BM11" s="274"/>
      <c r="BN11" s="275"/>
      <c r="BO11" s="275" t="s">
        <v>238</v>
      </c>
      <c r="BP11" s="276"/>
      <c r="BQ11" s="276"/>
      <c r="BR11" s="276"/>
      <c r="BS11" s="277"/>
      <c r="BT11" s="278" t="s">
        <v>239</v>
      </c>
      <c r="BU11" s="279"/>
      <c r="BV11" s="279"/>
      <c r="BW11" s="277"/>
      <c r="BX11" s="280" t="s">
        <v>240</v>
      </c>
      <c r="BY11" s="280"/>
      <c r="BZ11" s="279"/>
      <c r="CA11" s="281"/>
      <c r="CB11" s="278" t="s">
        <v>241</v>
      </c>
      <c r="CC11" s="279"/>
      <c r="CD11" s="279"/>
      <c r="CE11" s="134"/>
      <c r="CF11" s="277"/>
      <c r="CG11" s="277"/>
      <c r="CH11" s="277"/>
      <c r="CI11" s="277"/>
    </row>
    <row r="12" spans="1:87" s="282" customFormat="1" ht="119">
      <c r="A12" s="443" t="s">
        <v>242</v>
      </c>
      <c r="B12" s="437" t="s">
        <v>163</v>
      </c>
      <c r="C12" s="443" t="s">
        <v>243</v>
      </c>
      <c r="D12" s="443" t="s">
        <v>164</v>
      </c>
      <c r="E12" s="443" t="s">
        <v>165</v>
      </c>
      <c r="F12" s="443" t="s">
        <v>166</v>
      </c>
      <c r="G12" s="443" t="s">
        <v>167</v>
      </c>
      <c r="H12" s="441" t="s">
        <v>244</v>
      </c>
      <c r="I12" s="439" t="s">
        <v>245</v>
      </c>
      <c r="J12" s="439" t="s">
        <v>170</v>
      </c>
      <c r="K12" s="439" t="s">
        <v>171</v>
      </c>
      <c r="L12" s="439" t="s">
        <v>172</v>
      </c>
      <c r="M12" s="439" t="s">
        <v>173</v>
      </c>
      <c r="N12" s="439" t="s">
        <v>174</v>
      </c>
      <c r="O12" s="283" t="s">
        <v>246</v>
      </c>
      <c r="P12" s="441" t="s">
        <v>247</v>
      </c>
      <c r="Q12" s="441"/>
      <c r="R12" s="134" t="s">
        <v>248</v>
      </c>
      <c r="S12" s="134" t="s">
        <v>249</v>
      </c>
      <c r="T12" s="442" t="s">
        <v>250</v>
      </c>
      <c r="U12" s="442"/>
      <c r="V12" s="441" t="s">
        <v>251</v>
      </c>
      <c r="W12" s="441"/>
      <c r="X12" s="284" t="s">
        <v>252</v>
      </c>
      <c r="Y12" s="284" t="s">
        <v>253</v>
      </c>
      <c r="Z12" s="266" t="s">
        <v>254</v>
      </c>
      <c r="AA12" s="285"/>
      <c r="AB12" s="266" t="s">
        <v>255</v>
      </c>
      <c r="AC12" s="285"/>
      <c r="AD12" s="266" t="s">
        <v>256</v>
      </c>
      <c r="AE12" s="285"/>
      <c r="AF12" s="266" t="s">
        <v>257</v>
      </c>
      <c r="AG12" s="285"/>
      <c r="AH12" s="266" t="s">
        <v>258</v>
      </c>
      <c r="AI12" s="266"/>
      <c r="AJ12" s="266"/>
      <c r="AK12" s="266"/>
      <c r="AL12" s="266" t="s">
        <v>259</v>
      </c>
      <c r="AM12" s="266"/>
      <c r="AN12" s="266"/>
      <c r="AO12" s="266"/>
      <c r="AP12" s="266" t="s">
        <v>260</v>
      </c>
      <c r="AQ12" s="266"/>
      <c r="AR12" s="266"/>
      <c r="AS12" s="266"/>
      <c r="AT12" s="134" t="s">
        <v>261</v>
      </c>
      <c r="AU12" s="266" t="s">
        <v>262</v>
      </c>
      <c r="AV12" s="266"/>
      <c r="AW12" s="266"/>
      <c r="AX12" s="266" t="s">
        <v>263</v>
      </c>
      <c r="AY12" s="266"/>
      <c r="AZ12" s="266"/>
      <c r="BA12" s="286" t="s">
        <v>264</v>
      </c>
      <c r="BB12" s="286"/>
      <c r="BC12" s="286"/>
      <c r="BD12" s="134" t="s">
        <v>265</v>
      </c>
      <c r="BF12" s="134" t="s">
        <v>266</v>
      </c>
      <c r="BG12" s="271" t="s">
        <v>267</v>
      </c>
      <c r="BH12" s="268"/>
      <c r="BI12" s="271" t="s">
        <v>268</v>
      </c>
      <c r="BJ12" s="268"/>
      <c r="BK12" s="271" t="s">
        <v>269</v>
      </c>
      <c r="BL12" s="268"/>
      <c r="BM12" s="287"/>
      <c r="BN12" s="437" t="s">
        <v>192</v>
      </c>
      <c r="BO12" s="437" t="s">
        <v>270</v>
      </c>
      <c r="BP12" s="437" t="s">
        <v>271</v>
      </c>
      <c r="BQ12" s="437" t="s">
        <v>272</v>
      </c>
      <c r="BR12" s="437" t="s">
        <v>273</v>
      </c>
      <c r="BT12" s="437" t="s">
        <v>274</v>
      </c>
      <c r="BU12" s="437" t="s">
        <v>152</v>
      </c>
      <c r="BV12" s="437" t="s">
        <v>153</v>
      </c>
      <c r="BX12" s="437" t="s">
        <v>275</v>
      </c>
      <c r="BY12" s="437" t="s">
        <v>276</v>
      </c>
      <c r="BZ12" s="437" t="s">
        <v>277</v>
      </c>
      <c r="CA12" s="281"/>
      <c r="CB12" s="437" t="s">
        <v>278</v>
      </c>
      <c r="CC12" s="437" t="s">
        <v>279</v>
      </c>
      <c r="CD12" s="437" t="s">
        <v>280</v>
      </c>
      <c r="CE12" s="437" t="s">
        <v>281</v>
      </c>
    </row>
    <row r="13" spans="1:87" s="282" customFormat="1" ht="30" customHeight="1">
      <c r="A13" s="444"/>
      <c r="B13" s="438"/>
      <c r="C13" s="444"/>
      <c r="D13" s="444"/>
      <c r="E13" s="444"/>
      <c r="F13" s="444"/>
      <c r="G13" s="444"/>
      <c r="H13" s="437"/>
      <c r="I13" s="440"/>
      <c r="J13" s="440"/>
      <c r="K13" s="440"/>
      <c r="L13" s="440"/>
      <c r="M13" s="440"/>
      <c r="N13" s="440"/>
      <c r="O13" s="288" t="s">
        <v>282</v>
      </c>
      <c r="P13" s="289" t="s">
        <v>283</v>
      </c>
      <c r="Q13" s="290" t="s">
        <v>284</v>
      </c>
      <c r="R13" s="291" t="s">
        <v>285</v>
      </c>
      <c r="S13" s="289" t="s">
        <v>286</v>
      </c>
      <c r="T13" s="291" t="s">
        <v>283</v>
      </c>
      <c r="U13" s="290" t="s">
        <v>287</v>
      </c>
      <c r="V13" s="289" t="s">
        <v>283</v>
      </c>
      <c r="W13" s="290" t="s">
        <v>288</v>
      </c>
      <c r="X13" s="291" t="s">
        <v>289</v>
      </c>
      <c r="Y13" s="289" t="s">
        <v>286</v>
      </c>
      <c r="Z13" s="291" t="s">
        <v>283</v>
      </c>
      <c r="AA13" s="290" t="s">
        <v>287</v>
      </c>
      <c r="AB13" s="291" t="s">
        <v>290</v>
      </c>
      <c r="AC13" s="290" t="s">
        <v>291</v>
      </c>
      <c r="AD13" s="291" t="s">
        <v>283</v>
      </c>
      <c r="AE13" s="290" t="s">
        <v>292</v>
      </c>
      <c r="AF13" s="291" t="s">
        <v>293</v>
      </c>
      <c r="AG13" s="291" t="s">
        <v>294</v>
      </c>
      <c r="AH13" s="291" t="s">
        <v>293</v>
      </c>
      <c r="AI13" s="291" t="s">
        <v>294</v>
      </c>
      <c r="AJ13" s="291" t="s">
        <v>283</v>
      </c>
      <c r="AK13" s="290" t="s">
        <v>287</v>
      </c>
      <c r="AL13" s="291" t="s">
        <v>293</v>
      </c>
      <c r="AM13" s="291" t="s">
        <v>294</v>
      </c>
      <c r="AN13" s="291" t="s">
        <v>283</v>
      </c>
      <c r="AO13" s="290" t="s">
        <v>287</v>
      </c>
      <c r="AP13" s="291" t="s">
        <v>293</v>
      </c>
      <c r="AQ13" s="291" t="s">
        <v>294</v>
      </c>
      <c r="AR13" s="291" t="s">
        <v>295</v>
      </c>
      <c r="AS13" s="290" t="s">
        <v>287</v>
      </c>
      <c r="AT13" s="291" t="s">
        <v>296</v>
      </c>
      <c r="AU13" s="291" t="s">
        <v>296</v>
      </c>
      <c r="AV13" s="291" t="s">
        <v>283</v>
      </c>
      <c r="AW13" s="290" t="s">
        <v>287</v>
      </c>
      <c r="AX13" s="291" t="s">
        <v>296</v>
      </c>
      <c r="AY13" s="291" t="s">
        <v>283</v>
      </c>
      <c r="AZ13" s="290" t="s">
        <v>287</v>
      </c>
      <c r="BA13" s="291" t="s">
        <v>296</v>
      </c>
      <c r="BB13" s="291" t="s">
        <v>295</v>
      </c>
      <c r="BC13" s="290" t="s">
        <v>287</v>
      </c>
      <c r="BD13" s="291"/>
      <c r="BF13" s="292" t="s">
        <v>287</v>
      </c>
      <c r="BG13" s="292" t="s">
        <v>297</v>
      </c>
      <c r="BH13" s="292" t="s">
        <v>298</v>
      </c>
      <c r="BI13" s="292" t="s">
        <v>297</v>
      </c>
      <c r="BJ13" s="292" t="s">
        <v>298</v>
      </c>
      <c r="BK13" s="292" t="s">
        <v>297</v>
      </c>
      <c r="BL13" s="292" t="s">
        <v>298</v>
      </c>
      <c r="BM13" s="293"/>
      <c r="BN13" s="438"/>
      <c r="BO13" s="438"/>
      <c r="BP13" s="438"/>
      <c r="BQ13" s="438"/>
      <c r="BR13" s="438"/>
      <c r="BT13" s="438"/>
      <c r="BU13" s="438"/>
      <c r="BV13" s="438"/>
      <c r="BX13" s="438"/>
      <c r="BY13" s="438"/>
      <c r="BZ13" s="438"/>
      <c r="CA13" s="281"/>
      <c r="CB13" s="438"/>
      <c r="CC13" s="438"/>
      <c r="CD13" s="438"/>
      <c r="CE13" s="438"/>
    </row>
    <row r="14" spans="1:87" s="282" customFormat="1" ht="16">
      <c r="A14" s="294"/>
      <c r="B14" s="294"/>
      <c r="C14" s="295"/>
      <c r="D14" s="295"/>
      <c r="E14" s="295"/>
      <c r="F14" s="295"/>
      <c r="G14" s="295"/>
      <c r="H14" s="294"/>
      <c r="I14" s="296"/>
      <c r="J14" s="296"/>
      <c r="K14" s="296"/>
      <c r="L14" s="296"/>
      <c r="M14" s="296"/>
      <c r="N14" s="296"/>
      <c r="O14" s="296"/>
      <c r="P14" s="297"/>
      <c r="Q14" s="230"/>
      <c r="R14" s="298"/>
      <c r="S14" s="297"/>
      <c r="T14" s="298"/>
      <c r="U14" s="230"/>
      <c r="V14" s="297"/>
      <c r="W14" s="230"/>
      <c r="X14" s="298"/>
      <c r="Y14" s="297"/>
      <c r="Z14" s="298"/>
      <c r="AA14" s="230"/>
      <c r="AB14" s="230"/>
      <c r="AC14" s="230"/>
      <c r="AD14" s="298"/>
      <c r="AE14" s="230"/>
      <c r="AF14" s="298"/>
      <c r="AG14" s="298"/>
      <c r="AH14" s="298"/>
      <c r="AI14" s="298"/>
      <c r="AJ14" s="298"/>
      <c r="AK14" s="230"/>
      <c r="AL14" s="298"/>
      <c r="AM14" s="298"/>
      <c r="AN14" s="298"/>
      <c r="AO14" s="230"/>
      <c r="AP14" s="298"/>
      <c r="AQ14" s="298"/>
      <c r="AR14" s="298"/>
      <c r="AS14" s="230"/>
      <c r="AT14" s="298"/>
      <c r="AU14" s="298"/>
      <c r="AV14" s="298"/>
      <c r="AW14" s="230"/>
      <c r="AX14" s="298"/>
      <c r="AY14" s="298"/>
      <c r="AZ14" s="230"/>
      <c r="BA14" s="298"/>
      <c r="BB14" s="298"/>
      <c r="BC14" s="230"/>
      <c r="BD14" s="298"/>
      <c r="BE14" s="298"/>
      <c r="BF14" s="298"/>
      <c r="BG14" s="298"/>
      <c r="BH14" s="298"/>
      <c r="BI14" s="298"/>
      <c r="BJ14" s="298"/>
      <c r="BK14" s="298"/>
      <c r="BL14" s="298"/>
      <c r="BM14" s="298"/>
      <c r="BN14" s="299"/>
      <c r="BO14" s="299"/>
      <c r="BP14" s="299"/>
      <c r="BQ14" s="299"/>
      <c r="BR14" s="300"/>
      <c r="BS14" s="301"/>
      <c r="BT14" s="298"/>
      <c r="BU14" s="298"/>
      <c r="BV14" s="298"/>
      <c r="BW14" s="301"/>
      <c r="BX14" s="302"/>
      <c r="BY14" s="302"/>
      <c r="BZ14" s="302"/>
      <c r="CA14" s="303"/>
      <c r="CB14" s="298"/>
      <c r="CC14" s="298"/>
      <c r="CD14" s="298"/>
      <c r="CE14" s="304"/>
    </row>
    <row r="15" spans="1:87" s="334" customFormat="1" ht="68" hidden="1">
      <c r="A15" s="305">
        <v>1</v>
      </c>
      <c r="B15" s="306" t="s">
        <v>299</v>
      </c>
      <c r="C15" s="307" t="s">
        <v>300</v>
      </c>
      <c r="D15" s="308" t="s">
        <v>301</v>
      </c>
      <c r="E15" s="309" t="str" cm="1">
        <f t="array" ref="E15">IFERROR(LOOKUP(2,1/('[1]Contracts Log'!$F:$F=$D15),'[1]Contracts Log'!$G:$G),"")</f>
        <v>1.TB.01.003.01</v>
      </c>
      <c r="F15" s="309" t="str" cm="1">
        <f t="array" ref="F15">IFERROR(LOOKUP(2,1/('[1]Contracts Log'!$F:$F=$D15),'[1]Contracts Log'!$C:$C),"")</f>
        <v xml:space="preserve">AMAALA Yacht Club </v>
      </c>
      <c r="G15" s="309" t="str" cm="1">
        <f t="array" ref="G15">IFERROR(LOOKUP(2,1/('[1]Contracts Log'!$F:$F=$D15),'[1]Contracts Log'!$K:$K),"")</f>
        <v>Triple Bay Piling - Beach, RSMLI, Yacht Club and Marina Village Precinct (Hotel 1 and 2)</v>
      </c>
      <c r="H15" s="309" t="str" cm="1">
        <f t="array" ref="H15">IFERROR(LOOKUP(2,1/('[1]Contracts Log'!$F:$F=$D15),'[1]Contracts Log'!$J:$J),"")</f>
        <v>NSCC International Saudi Contracting</v>
      </c>
      <c r="I15" s="310">
        <v>1</v>
      </c>
      <c r="J15" s="310"/>
      <c r="K15" s="310"/>
      <c r="L15" s="310"/>
      <c r="M15" s="310"/>
      <c r="N15" s="310"/>
      <c r="O15" s="311">
        <v>45045</v>
      </c>
      <c r="P15" s="299" t="s">
        <v>302</v>
      </c>
      <c r="Q15" s="311">
        <v>45045</v>
      </c>
      <c r="R15" s="312">
        <f t="shared" ref="R15" si="0">IF(AND(Q15&lt;&gt;0, O15&lt;&gt;0),NETWORKDAYS(O15,Q15),"")</f>
        <v>0</v>
      </c>
      <c r="S15" s="313" t="str">
        <f>IF(Q15=" "," ",IF(Q15-O15&lt;=28,"YES","NO"))</f>
        <v>YES</v>
      </c>
      <c r="T15" s="314"/>
      <c r="U15" s="311"/>
      <c r="V15" s="314" t="s">
        <v>302</v>
      </c>
      <c r="W15" s="311">
        <v>45045</v>
      </c>
      <c r="X15" s="312">
        <v>0</v>
      </c>
      <c r="Y15" s="313" t="s">
        <v>303</v>
      </c>
      <c r="Z15" s="314" t="s">
        <v>304</v>
      </c>
      <c r="AA15" s="311" t="s">
        <v>305</v>
      </c>
      <c r="AB15" s="311"/>
      <c r="AC15" s="311"/>
      <c r="AD15" s="314" t="s">
        <v>306</v>
      </c>
      <c r="AE15" s="311">
        <v>45241</v>
      </c>
      <c r="AF15" s="315">
        <v>122</v>
      </c>
      <c r="AG15" s="315">
        <v>122</v>
      </c>
      <c r="AH15" s="315"/>
      <c r="AI15" s="315"/>
      <c r="AJ15" s="308" t="s">
        <v>307</v>
      </c>
      <c r="AK15" s="240">
        <v>45243</v>
      </c>
      <c r="AL15" s="315">
        <v>96</v>
      </c>
      <c r="AM15" s="315">
        <v>96</v>
      </c>
      <c r="AN15" s="308" t="s">
        <v>307</v>
      </c>
      <c r="AO15" s="240">
        <v>45243</v>
      </c>
      <c r="AP15" s="316">
        <v>96</v>
      </c>
      <c r="AQ15" s="316">
        <v>96</v>
      </c>
      <c r="AR15" s="308" t="s">
        <v>307</v>
      </c>
      <c r="AS15" s="317">
        <v>45243</v>
      </c>
      <c r="AT15" s="318"/>
      <c r="AU15" s="318"/>
      <c r="AV15" s="319"/>
      <c r="AW15" s="320"/>
      <c r="AX15" s="318"/>
      <c r="AY15" s="321"/>
      <c r="AZ15" s="320"/>
      <c r="BA15" s="318"/>
      <c r="BB15" s="321"/>
      <c r="BC15" s="322"/>
      <c r="BD15" s="299"/>
      <c r="BE15" s="299"/>
      <c r="BF15" s="323">
        <f>IF(B15="","",IF(OR(B15="DEOT",B15="N/A"),"N/A",IF(OR(B15="FULL TIA EAR",B15="COST EAR",B15="HLEAR"),MAX(W15+0,AE15,AC15))))</f>
        <v>45241</v>
      </c>
      <c r="BG15" s="324" t="str">
        <f t="shared" ref="BG15:BG78" ca="1" si="1">IF(OR(B15="",B15="DEOT"),"",IF(AND($BQ15="Closed",$BF15&lt;DATE(2025,12,31)),"N/A",IF(AND($BO15&lt;&gt;"Pending",$BO15&lt;&gt;"Assessment Report Issued"),"N/A",IF(OR($BQ15="Awaiting conclusion of EOT",BT15="Revise &amp; resubmit"),0,IFERROR(IF(BH15="",TODAY()-BF15,BH15-BF15),"")))))</f>
        <v>N/A</v>
      </c>
      <c r="BH15" s="299"/>
      <c r="BI15" s="325">
        <f ca="1">IF($B15="DEOT","",IFERROR(IF($B15="COST EAR","N/A",IF(BH15="",0,IF(BJ15="",TODAY()-BH15,BJ15-BH15))),""))</f>
        <v>0</v>
      </c>
      <c r="BJ15" s="299"/>
      <c r="BK15" s="325">
        <f ca="1">IF($B15="DEOT","",IFERROR(IF(BJ15="",0,IF(BL15="",TODAY()-BJ15,BL15-BJ15)),""))</f>
        <v>0</v>
      </c>
      <c r="BL15" s="299"/>
      <c r="BM15" s="326"/>
      <c r="BN15" s="327"/>
      <c r="BO15" s="327" t="s">
        <v>220</v>
      </c>
      <c r="BP15" s="327" t="s">
        <v>308</v>
      </c>
      <c r="BQ15" s="328" t="s">
        <v>21</v>
      </c>
      <c r="BR15" s="329" t="s">
        <v>309</v>
      </c>
      <c r="BS15" s="301"/>
      <c r="BT15" s="330"/>
      <c r="BU15" s="330"/>
      <c r="BV15" s="330"/>
      <c r="BW15" s="331"/>
      <c r="BX15" s="302">
        <v>45260</v>
      </c>
      <c r="BY15" s="302"/>
      <c r="BZ15" s="302"/>
      <c r="CA15" s="303"/>
      <c r="CB15" s="332">
        <v>44651</v>
      </c>
      <c r="CC15" s="332">
        <v>45066</v>
      </c>
      <c r="CD15" s="332">
        <f t="shared" ref="CD15:CD22" si="2">IF(CC15="","",IF(AND(CC15&lt;&gt;"",AP15=""),CC15,IF(AND(CC15&lt;&gt;"",AP15&lt;&gt;""),AP15+CC15)))</f>
        <v>45162</v>
      </c>
      <c r="CE15" s="333"/>
    </row>
    <row r="16" spans="1:87" s="334" customFormat="1" ht="408.75" hidden="1" customHeight="1">
      <c r="A16" s="305">
        <v>2</v>
      </c>
      <c r="B16" s="306" t="s">
        <v>310</v>
      </c>
      <c r="C16" s="307" t="s">
        <v>311</v>
      </c>
      <c r="D16" s="308" t="s">
        <v>301</v>
      </c>
      <c r="E16" s="309" t="str" cm="1">
        <f t="array" ref="E16">IFERROR(LOOKUP(2,1/('[1]Contracts Log'!$F:$F=$D16),'[1]Contracts Log'!$G:$G),"")</f>
        <v>1.TB.01.003.01</v>
      </c>
      <c r="F16" s="309" t="str" cm="1">
        <f t="array" ref="F16">IFERROR(LOOKUP(2,1/('[1]Contracts Log'!$F:$F=$D16),'[1]Contracts Log'!$C:$C),"")</f>
        <v xml:space="preserve">AMAALA Yacht Club </v>
      </c>
      <c r="G16" s="309" t="str" cm="1">
        <f t="array" ref="G16">IFERROR(LOOKUP(2,1/('[1]Contracts Log'!$F:$F=$D16),'[1]Contracts Log'!$K:$K),"")</f>
        <v>Triple Bay Piling - Beach, RSMLI, Yacht Club and Marina Village Precinct (Hotel 1 and 2)</v>
      </c>
      <c r="H16" s="309" t="str" cm="1">
        <f t="array" ref="H16">IFERROR(LOOKUP(2,1/('[1]Contracts Log'!$F:$F=$D16),'[1]Contracts Log'!$J:$J),"")</f>
        <v>NSCC International Saudi Contracting</v>
      </c>
      <c r="I16" s="310"/>
      <c r="J16" s="310">
        <v>1</v>
      </c>
      <c r="K16" s="310"/>
      <c r="L16" s="310"/>
      <c r="M16" s="310"/>
      <c r="N16" s="310"/>
      <c r="O16" s="311">
        <v>45045</v>
      </c>
      <c r="P16" s="299" t="s">
        <v>302</v>
      </c>
      <c r="Q16" s="311">
        <v>45045</v>
      </c>
      <c r="R16" s="312">
        <f>IF(AND(Q16&lt;&gt;0, O16&lt;&gt;0),NETWORKDAYS(O16,Q16),"")</f>
        <v>0</v>
      </c>
      <c r="S16" s="313" t="str">
        <f>IF(Q16=" "," ",IF(Q16-O16&lt;=28,"YES","NO"))</f>
        <v>YES</v>
      </c>
      <c r="T16" s="314"/>
      <c r="U16" s="311"/>
      <c r="V16" s="335" t="s">
        <v>312</v>
      </c>
      <c r="W16" s="240">
        <v>45045</v>
      </c>
      <c r="X16" s="312">
        <v>0</v>
      </c>
      <c r="Y16" s="313" t="s">
        <v>303</v>
      </c>
      <c r="Z16" s="335" t="s">
        <v>304</v>
      </c>
      <c r="AA16" s="240" t="s">
        <v>305</v>
      </c>
      <c r="AB16" s="240"/>
      <c r="AC16" s="240"/>
      <c r="AD16" s="335" t="s">
        <v>313</v>
      </c>
      <c r="AE16" s="240">
        <v>45509</v>
      </c>
      <c r="AF16" s="313"/>
      <c r="AG16" s="313"/>
      <c r="AH16" s="313"/>
      <c r="AI16" s="313"/>
      <c r="AJ16" s="336"/>
      <c r="AK16" s="320"/>
      <c r="AL16" s="313"/>
      <c r="AM16" s="313"/>
      <c r="AN16" s="337"/>
      <c r="AO16" s="338"/>
      <c r="AP16" s="319"/>
      <c r="AQ16" s="319"/>
      <c r="AR16" s="337"/>
      <c r="AS16" s="339"/>
      <c r="AT16" s="340">
        <f>398296.86+254788.93</f>
        <v>653085.79</v>
      </c>
      <c r="AU16" s="341" t="s">
        <v>305</v>
      </c>
      <c r="AV16" s="316"/>
      <c r="AW16" s="240"/>
      <c r="AX16" s="341">
        <v>10071304</v>
      </c>
      <c r="AY16" s="316" t="s">
        <v>314</v>
      </c>
      <c r="AZ16" s="311">
        <v>45578</v>
      </c>
      <c r="BA16" s="341"/>
      <c r="BB16" s="342" t="s">
        <v>315</v>
      </c>
      <c r="BC16" s="343">
        <v>45585</v>
      </c>
      <c r="BD16" s="299" t="s">
        <v>316</v>
      </c>
      <c r="BE16" s="299"/>
      <c r="BF16" s="323">
        <f t="shared" ref="BF16:BF79" si="3">IF(B16="","",IF(OR(B16="DEOT",B16="N/A"),"N/A",IF(OR(B16="FULL TIA EAR",B16="COST EAR",B16="HLEAR"),MAX(W16+0,AE16,AC16))))</f>
        <v>45509</v>
      </c>
      <c r="BG16" s="324" t="str">
        <f t="shared" ca="1" si="1"/>
        <v>N/A</v>
      </c>
      <c r="BH16" s="299"/>
      <c r="BI16" s="325" t="str">
        <f t="shared" ref="BI16:BI79" ca="1" si="4">IF($B16="DEOT","",IFERROR(IF($B16="COST EAR","N/A",IF(BH16="",0,IF(BJ16="",TODAY()-BH16,BJ16-BH16))),""))</f>
        <v>N/A</v>
      </c>
      <c r="BJ16" s="299"/>
      <c r="BK16" s="325">
        <f t="shared" ref="BK16:BK79" ca="1" si="5">IF($B16="DEOT","",IFERROR(IF(BJ16="",0,IF(BL16="",TODAY()-BJ16,BL16-BJ16)),""))</f>
        <v>0</v>
      </c>
      <c r="BL16" s="299"/>
      <c r="BM16" s="326"/>
      <c r="BN16" s="344"/>
      <c r="BO16" s="327" t="s">
        <v>220</v>
      </c>
      <c r="BP16" s="327" t="s">
        <v>317</v>
      </c>
      <c r="BQ16" s="328" t="s">
        <v>21</v>
      </c>
      <c r="BR16" s="329" t="s">
        <v>318</v>
      </c>
      <c r="BS16" s="301"/>
      <c r="BT16" s="327"/>
      <c r="BU16" s="327"/>
      <c r="BV16" s="327"/>
      <c r="BW16" s="331"/>
      <c r="BX16" s="302">
        <v>45578</v>
      </c>
      <c r="BY16" s="302"/>
      <c r="BZ16" s="345">
        <v>45585</v>
      </c>
      <c r="CA16" s="295"/>
      <c r="CB16" s="332">
        <v>44651</v>
      </c>
      <c r="CC16" s="332">
        <v>45066</v>
      </c>
      <c r="CD16" s="332">
        <f t="shared" si="2"/>
        <v>45066</v>
      </c>
      <c r="CE16" s="333"/>
    </row>
    <row r="17" spans="1:83" s="334" customFormat="1" ht="341.25" hidden="1" customHeight="1">
      <c r="A17" s="305">
        <v>3</v>
      </c>
      <c r="B17" s="306" t="s">
        <v>299</v>
      </c>
      <c r="C17" s="346" t="s">
        <v>319</v>
      </c>
      <c r="D17" s="308" t="s">
        <v>320</v>
      </c>
      <c r="E17" s="309" t="str" cm="1">
        <f t="array" ref="E17">IFERROR(LOOKUP(2,1/('[1]Contracts Log'!$F:$F=$D17),'[1]Contracts Log'!$G:$G),"")</f>
        <v>1.TB.01.002.01</v>
      </c>
      <c r="F17" s="309" t="str" cm="1">
        <f t="array" ref="F17">IFERROR(LOOKUP(2,1/('[1]Contracts Log'!$F:$F=$D17),'[1]Contracts Log'!$C:$C),"")</f>
        <v>Marina Lifestyle Hotel &amp; Village</v>
      </c>
      <c r="G17" s="309" t="str" cm="1">
        <f t="array" ref="G17">IFERROR(LOOKUP(2,1/('[1]Contracts Log'!$F:$F=$D17),'[1]Contracts Log'!$K:$K),"")</f>
        <v>Triple Bay Wide Ground Improvement</v>
      </c>
      <c r="H17" s="309" t="str" cm="1">
        <f t="array" ref="H17">IFERROR(LOOKUP(2,1/('[1]Contracts Log'!$F:$F=$D17),'[1]Contracts Log'!$J:$J),"")</f>
        <v>Soil Improvement Contracting</v>
      </c>
      <c r="I17" s="310">
        <v>1</v>
      </c>
      <c r="J17" s="310"/>
      <c r="K17" s="310"/>
      <c r="L17" s="310"/>
      <c r="M17" s="310"/>
      <c r="N17" s="310"/>
      <c r="O17" s="311">
        <v>44523</v>
      </c>
      <c r="P17" s="299" t="s">
        <v>321</v>
      </c>
      <c r="Q17" s="311">
        <v>44628</v>
      </c>
      <c r="R17" s="312">
        <f t="shared" ref="R17" si="6">IF(AND(Q17&lt;&gt;0, O17&lt;&gt;0),NETWORKDAYS(O17,Q17),"")</f>
        <v>76</v>
      </c>
      <c r="S17" s="313" t="str">
        <f>IF(Q17=" "," ",IF(Q17-O17&lt;=28,"YES","NO"))</f>
        <v>NO</v>
      </c>
      <c r="T17" s="299" t="s">
        <v>322</v>
      </c>
      <c r="U17" s="311">
        <v>44646</v>
      </c>
      <c r="V17" s="335" t="s">
        <v>323</v>
      </c>
      <c r="W17" s="240">
        <v>44702</v>
      </c>
      <c r="X17" s="312">
        <v>129</v>
      </c>
      <c r="Y17" s="319" t="s">
        <v>324</v>
      </c>
      <c r="Z17" s="335" t="s">
        <v>325</v>
      </c>
      <c r="AA17" s="240">
        <v>44710</v>
      </c>
      <c r="AB17" s="240"/>
      <c r="AC17" s="240"/>
      <c r="AD17" s="335" t="s">
        <v>326</v>
      </c>
      <c r="AE17" s="240">
        <v>45111</v>
      </c>
      <c r="AF17" s="316">
        <v>433</v>
      </c>
      <c r="AG17" s="316">
        <v>433</v>
      </c>
      <c r="AH17" s="316">
        <v>433</v>
      </c>
      <c r="AI17" s="316">
        <v>433</v>
      </c>
      <c r="AJ17" s="307" t="s">
        <v>327</v>
      </c>
      <c r="AK17" s="240">
        <v>45090</v>
      </c>
      <c r="AL17" s="316">
        <v>393</v>
      </c>
      <c r="AM17" s="316">
        <f>AL17-4</f>
        <v>389</v>
      </c>
      <c r="AN17" s="307" t="s">
        <v>328</v>
      </c>
      <c r="AO17" s="240">
        <v>45407</v>
      </c>
      <c r="AP17" s="347"/>
      <c r="AQ17" s="347"/>
      <c r="AR17" s="335" t="s">
        <v>329</v>
      </c>
      <c r="AS17" s="240">
        <v>45545</v>
      </c>
      <c r="AT17" s="348"/>
      <c r="AU17" s="348"/>
      <c r="AV17" s="349"/>
      <c r="AW17" s="338"/>
      <c r="AX17" s="348"/>
      <c r="AY17" s="349"/>
      <c r="AZ17" s="338"/>
      <c r="BA17" s="348"/>
      <c r="BB17" s="349"/>
      <c r="BC17" s="350"/>
      <c r="BD17" s="335" t="s">
        <v>330</v>
      </c>
      <c r="BE17" s="335"/>
      <c r="BF17" s="323">
        <f t="shared" si="3"/>
        <v>45111</v>
      </c>
      <c r="BG17" s="324" t="str">
        <f t="shared" ca="1" si="1"/>
        <v>N/A</v>
      </c>
      <c r="BH17" s="299"/>
      <c r="BI17" s="325">
        <f t="shared" ca="1" si="4"/>
        <v>0</v>
      </c>
      <c r="BJ17" s="299"/>
      <c r="BK17" s="325">
        <f t="shared" ca="1" si="5"/>
        <v>0</v>
      </c>
      <c r="BL17" s="299"/>
      <c r="BM17" s="326"/>
      <c r="BN17" s="344"/>
      <c r="BO17" s="327" t="s">
        <v>220</v>
      </c>
      <c r="BP17" s="327" t="s">
        <v>317</v>
      </c>
      <c r="BQ17" s="328" t="s">
        <v>21</v>
      </c>
      <c r="BR17" s="329" t="s">
        <v>331</v>
      </c>
      <c r="BS17" s="331"/>
      <c r="BT17" s="327"/>
      <c r="BU17" s="327"/>
      <c r="BV17" s="327"/>
      <c r="BW17" s="331"/>
      <c r="BX17" s="302">
        <v>45407</v>
      </c>
      <c r="BY17" s="302"/>
      <c r="BZ17" s="302">
        <v>45545</v>
      </c>
      <c r="CA17" s="295"/>
      <c r="CB17" s="332">
        <v>44523</v>
      </c>
      <c r="CC17" s="332">
        <v>44634</v>
      </c>
      <c r="CD17" s="332">
        <f t="shared" si="2"/>
        <v>44634</v>
      </c>
      <c r="CE17" s="333"/>
    </row>
    <row r="18" spans="1:83" s="334" customFormat="1" ht="405" hidden="1" customHeight="1">
      <c r="A18" s="305">
        <v>4</v>
      </c>
      <c r="B18" s="306" t="s">
        <v>310</v>
      </c>
      <c r="C18" s="346" t="s">
        <v>332</v>
      </c>
      <c r="D18" s="308" t="s">
        <v>320</v>
      </c>
      <c r="E18" s="309" t="str" cm="1">
        <f t="array" ref="E18">IFERROR(LOOKUP(2,1/('[1]Contracts Log'!$F:$F=$D18),'[1]Contracts Log'!$G:$G),"")</f>
        <v>1.TB.01.002.01</v>
      </c>
      <c r="F18" s="309" t="str" cm="1">
        <f t="array" ref="F18">IFERROR(LOOKUP(2,1/('[1]Contracts Log'!$F:$F=$D18),'[1]Contracts Log'!$C:$C),"")</f>
        <v>Marina Lifestyle Hotel &amp; Village</v>
      </c>
      <c r="G18" s="309" t="str" cm="1">
        <f t="array" ref="G18">IFERROR(LOOKUP(2,1/('[1]Contracts Log'!$F:$F=$D18),'[1]Contracts Log'!$K:$K),"")</f>
        <v>Triple Bay Wide Ground Improvement</v>
      </c>
      <c r="H18" s="309" t="str" cm="1">
        <f t="array" ref="H18">IFERROR(LOOKUP(2,1/('[1]Contracts Log'!$F:$F=$D18),'[1]Contracts Log'!$J:$J),"")</f>
        <v>Soil Improvement Contracting</v>
      </c>
      <c r="I18" s="310"/>
      <c r="J18" s="310">
        <v>1</v>
      </c>
      <c r="K18" s="310"/>
      <c r="L18" s="310"/>
      <c r="M18" s="310"/>
      <c r="N18" s="310"/>
      <c r="O18" s="311">
        <v>44523</v>
      </c>
      <c r="P18" s="299" t="s">
        <v>321</v>
      </c>
      <c r="Q18" s="311">
        <v>44628</v>
      </c>
      <c r="R18" s="312">
        <f>IF(AND(Q18&lt;&gt;0, O18&lt;&gt;0),NETWORKDAYS(O18,Q18),"")</f>
        <v>76</v>
      </c>
      <c r="S18" s="313" t="str">
        <f>IF(Q18=" "," ",IF(Q18-O18&lt;=28,"YES","NO"))</f>
        <v>NO</v>
      </c>
      <c r="T18" s="299" t="s">
        <v>322</v>
      </c>
      <c r="U18" s="311">
        <v>44646</v>
      </c>
      <c r="V18" s="335" t="s">
        <v>323</v>
      </c>
      <c r="W18" s="240">
        <v>44702</v>
      </c>
      <c r="X18" s="312">
        <v>129</v>
      </c>
      <c r="Y18" s="319" t="s">
        <v>324</v>
      </c>
      <c r="Z18" s="335" t="s">
        <v>325</v>
      </c>
      <c r="AA18" s="240">
        <v>44710</v>
      </c>
      <c r="AB18" s="240"/>
      <c r="AC18" s="240"/>
      <c r="AD18" s="335" t="s">
        <v>333</v>
      </c>
      <c r="AE18" s="240">
        <v>45488</v>
      </c>
      <c r="AF18" s="313"/>
      <c r="AG18" s="313"/>
      <c r="AH18" s="313"/>
      <c r="AI18" s="313"/>
      <c r="AJ18" s="336"/>
      <c r="AK18" s="320"/>
      <c r="AL18" s="313"/>
      <c r="AM18" s="313"/>
      <c r="AN18" s="351"/>
      <c r="AO18" s="320"/>
      <c r="AP18" s="321"/>
      <c r="AQ18" s="352"/>
      <c r="AR18" s="321"/>
      <c r="AS18" s="320"/>
      <c r="AT18" s="340">
        <v>2201256.02</v>
      </c>
      <c r="AU18" s="353">
        <v>2194683.7000000002</v>
      </c>
      <c r="AV18" s="316" t="s">
        <v>327</v>
      </c>
      <c r="AW18" s="354">
        <v>45090</v>
      </c>
      <c r="AX18" s="353">
        <v>1003204.66</v>
      </c>
      <c r="AY18" s="308" t="s">
        <v>334</v>
      </c>
      <c r="AZ18" s="240">
        <v>45542</v>
      </c>
      <c r="BA18" s="353">
        <v>1003204.66</v>
      </c>
      <c r="BB18" s="308" t="s">
        <v>335</v>
      </c>
      <c r="BC18" s="240">
        <v>45557</v>
      </c>
      <c r="BD18" s="355" t="s">
        <v>336</v>
      </c>
      <c r="BE18" s="355"/>
      <c r="BF18" s="323">
        <f t="shared" si="3"/>
        <v>45488</v>
      </c>
      <c r="BG18" s="324" t="str">
        <f t="shared" ca="1" si="1"/>
        <v>N/A</v>
      </c>
      <c r="BH18" s="299"/>
      <c r="BI18" s="325" t="str">
        <f t="shared" ca="1" si="4"/>
        <v>N/A</v>
      </c>
      <c r="BJ18" s="299"/>
      <c r="BK18" s="325">
        <f t="shared" ca="1" si="5"/>
        <v>0</v>
      </c>
      <c r="BL18" s="299"/>
      <c r="BM18" s="314"/>
      <c r="BN18" s="344"/>
      <c r="BO18" s="327" t="s">
        <v>220</v>
      </c>
      <c r="BP18" s="327" t="s">
        <v>317</v>
      </c>
      <c r="BQ18" s="328" t="s">
        <v>21</v>
      </c>
      <c r="BR18" s="329" t="s">
        <v>337</v>
      </c>
      <c r="BS18" s="331"/>
      <c r="BT18" s="327"/>
      <c r="BU18" s="327"/>
      <c r="BV18" s="327"/>
      <c r="BW18" s="331"/>
      <c r="BX18" s="302">
        <v>45539</v>
      </c>
      <c r="BY18" s="302"/>
      <c r="BZ18" s="302">
        <v>45557</v>
      </c>
      <c r="CA18" s="295"/>
      <c r="CB18" s="332">
        <v>44523</v>
      </c>
      <c r="CC18" s="332">
        <v>44634</v>
      </c>
      <c r="CD18" s="332">
        <f t="shared" si="2"/>
        <v>44634</v>
      </c>
      <c r="CE18" s="333"/>
    </row>
    <row r="19" spans="1:83" s="362" customFormat="1" ht="136" hidden="1">
      <c r="A19" s="305">
        <v>5</v>
      </c>
      <c r="B19" s="306" t="s">
        <v>299</v>
      </c>
      <c r="C19" s="307" t="s">
        <v>338</v>
      </c>
      <c r="D19" s="308" t="s">
        <v>339</v>
      </c>
      <c r="E19" s="309" t="str" cm="1">
        <f t="array" ref="E19">IFERROR(LOOKUP(2,1/('[1]Contracts Log'!$F:$F=$D19),'[1]Contracts Log'!$G:$G),"")</f>
        <v>1.TB.01.006.99</v>
      </c>
      <c r="F19" s="309" t="str" cm="1">
        <f t="array" ref="F19">IFERROR(LOOKUP(2,1/('[1]Contracts Log'!$F:$F=$D19),'[1]Contracts Log'!$C:$C),"")</f>
        <v>Village Boutique Hotel</v>
      </c>
      <c r="G19" s="309" t="str" cm="1">
        <f t="array" ref="G19">IFERROR(LOOKUP(2,1/('[1]Contracts Log'!$F:$F=$D19),'[1]Contracts Log'!$K:$K),"")</f>
        <v>Concrete Structure and Civil Works for Village Boutique Hotel</v>
      </c>
      <c r="H19" s="309" t="str" cm="1">
        <f t="array" ref="H19">IFERROR(LOOKUP(2,1/('[1]Contracts Log'!$F:$F=$D19),'[1]Contracts Log'!$J:$J),"")</f>
        <v>Mounes Mohamed Al Shayeb and Partners for Civil Construction - MOBCO</v>
      </c>
      <c r="I19" s="310">
        <v>1</v>
      </c>
      <c r="J19" s="310"/>
      <c r="K19" s="310"/>
      <c r="L19" s="310"/>
      <c r="M19" s="310"/>
      <c r="N19" s="310"/>
      <c r="O19" s="240">
        <v>45068</v>
      </c>
      <c r="P19" s="335" t="s">
        <v>340</v>
      </c>
      <c r="Q19" s="240">
        <v>45118</v>
      </c>
      <c r="R19" s="356">
        <f t="shared" ref="R19:R27" si="7">IF(AND(Q19&lt;&gt;0, O19&lt;&gt;0),NETWORKDAYS(O19,Q19),"")</f>
        <v>37</v>
      </c>
      <c r="S19" s="319" t="str">
        <f>IF(Q19=" "," ",IF(Q19-O19&lt;=28,"YES","NO"))</f>
        <v>NO</v>
      </c>
      <c r="T19" s="347" t="s">
        <v>341</v>
      </c>
      <c r="U19" s="240">
        <v>45130</v>
      </c>
      <c r="V19" s="335" t="s">
        <v>342</v>
      </c>
      <c r="W19" s="240">
        <v>45155</v>
      </c>
      <c r="X19" s="356">
        <v>64</v>
      </c>
      <c r="Y19" s="319" t="s">
        <v>324</v>
      </c>
      <c r="Z19" s="335" t="s">
        <v>343</v>
      </c>
      <c r="AA19" s="240">
        <v>45193</v>
      </c>
      <c r="AB19" s="240"/>
      <c r="AC19" s="240"/>
      <c r="AD19" s="335"/>
      <c r="AE19" s="240"/>
      <c r="AF19" s="316">
        <v>182</v>
      </c>
      <c r="AG19" s="316">
        <v>182</v>
      </c>
      <c r="AH19" s="316">
        <v>55</v>
      </c>
      <c r="AI19" s="316">
        <v>55</v>
      </c>
      <c r="AJ19" s="307" t="s">
        <v>344</v>
      </c>
      <c r="AK19" s="240">
        <v>45244</v>
      </c>
      <c r="AL19" s="316">
        <v>55</v>
      </c>
      <c r="AM19" s="316">
        <v>0</v>
      </c>
      <c r="AN19" s="307" t="s">
        <v>344</v>
      </c>
      <c r="AO19" s="240">
        <v>45244</v>
      </c>
      <c r="AP19" s="316">
        <v>55</v>
      </c>
      <c r="AQ19" s="316">
        <v>0</v>
      </c>
      <c r="AR19" s="307" t="s">
        <v>344</v>
      </c>
      <c r="AS19" s="240">
        <v>45244</v>
      </c>
      <c r="AT19" s="357"/>
      <c r="AU19" s="348"/>
      <c r="AV19" s="319"/>
      <c r="AW19" s="338"/>
      <c r="AX19" s="348"/>
      <c r="AY19" s="358"/>
      <c r="AZ19" s="338"/>
      <c r="BA19" s="348"/>
      <c r="BB19" s="358"/>
      <c r="BC19" s="338"/>
      <c r="BD19" s="347" t="s">
        <v>345</v>
      </c>
      <c r="BE19" s="347"/>
      <c r="BF19" s="323">
        <f t="shared" si="3"/>
        <v>45155</v>
      </c>
      <c r="BG19" s="324" t="str">
        <f t="shared" ca="1" si="1"/>
        <v>N/A</v>
      </c>
      <c r="BH19" s="299"/>
      <c r="BI19" s="325">
        <f t="shared" ca="1" si="4"/>
        <v>0</v>
      </c>
      <c r="BJ19" s="299"/>
      <c r="BK19" s="325">
        <f t="shared" ca="1" si="5"/>
        <v>0</v>
      </c>
      <c r="BL19" s="299"/>
      <c r="BM19" s="359"/>
      <c r="BN19" s="360"/>
      <c r="BO19" s="327" t="s">
        <v>220</v>
      </c>
      <c r="BP19" s="327" t="s">
        <v>308</v>
      </c>
      <c r="BQ19" s="328" t="s">
        <v>21</v>
      </c>
      <c r="BR19" s="361" t="s">
        <v>346</v>
      </c>
      <c r="BS19" s="331"/>
      <c r="BT19" s="327"/>
      <c r="BU19" s="327" t="s">
        <v>347</v>
      </c>
      <c r="BV19" s="327"/>
      <c r="BW19" s="331"/>
      <c r="BX19" s="302">
        <v>45291</v>
      </c>
      <c r="BY19" s="302"/>
      <c r="BZ19" s="302"/>
      <c r="CA19" s="295"/>
      <c r="CB19" s="332"/>
      <c r="CC19" s="332"/>
      <c r="CD19" s="332" t="str">
        <f t="shared" si="2"/>
        <v/>
      </c>
      <c r="CE19" s="333"/>
    </row>
    <row r="20" spans="1:83" s="334" customFormat="1" ht="393.75" hidden="1" customHeight="1">
      <c r="A20" s="305">
        <v>6</v>
      </c>
      <c r="B20" s="306" t="s">
        <v>310</v>
      </c>
      <c r="C20" s="307" t="s">
        <v>348</v>
      </c>
      <c r="D20" s="308" t="s">
        <v>349</v>
      </c>
      <c r="E20" s="309" t="str" cm="1">
        <f t="array" ref="E20">IFERROR(LOOKUP(2,1/('[1]Contracts Log'!$F:$F=$D20),'[1]Contracts Log'!$G:$G),"")</f>
        <v>1.TB.01.005.01</v>
      </c>
      <c r="F20" s="309" t="str" cm="1">
        <f t="array" ref="F20">IFERROR(LOOKUP(2,1/('[1]Contracts Log'!$F:$F=$D20),'[1]Contracts Log'!$C:$C),"")</f>
        <v>Red Sea Marine Life Institute</v>
      </c>
      <c r="G20" s="309" t="str" cm="1">
        <f t="array" ref="G20">IFERROR(LOOKUP(2,1/('[1]Contracts Log'!$F:$F=$D20),'[1]Contracts Log'!$K:$K),"")</f>
        <v>Construction Contract - Structural Concrete, Wet Trades, Dewatering, Earthworks &amp; BOH Finishes</v>
      </c>
      <c r="H20" s="309" t="str" cm="1">
        <f t="array" ref="H20">IFERROR(LOOKUP(2,1/('[1]Contracts Log'!$F:$F=$D20),'[1]Contracts Log'!$J:$J),"")</f>
        <v>Saudi Arabian Baytur Construction Company</v>
      </c>
      <c r="I20" s="310"/>
      <c r="J20" s="310"/>
      <c r="K20" s="310"/>
      <c r="L20" s="310"/>
      <c r="M20" s="310"/>
      <c r="N20" s="310">
        <v>1</v>
      </c>
      <c r="O20" s="311"/>
      <c r="P20" s="299"/>
      <c r="Q20" s="311"/>
      <c r="R20" s="312" t="str">
        <f t="shared" si="7"/>
        <v/>
      </c>
      <c r="S20" s="313"/>
      <c r="T20" s="299"/>
      <c r="U20" s="311"/>
      <c r="V20" s="335" t="s">
        <v>350</v>
      </c>
      <c r="W20" s="240">
        <v>45277</v>
      </c>
      <c r="X20" s="312" t="s">
        <v>351</v>
      </c>
      <c r="Y20" s="313" t="s">
        <v>324</v>
      </c>
      <c r="Z20" s="335" t="s">
        <v>304</v>
      </c>
      <c r="AA20" s="240" t="s">
        <v>305</v>
      </c>
      <c r="AB20" s="240"/>
      <c r="AC20" s="240"/>
      <c r="AD20" s="335"/>
      <c r="AE20" s="240"/>
      <c r="AF20" s="313">
        <v>0</v>
      </c>
      <c r="AG20" s="313">
        <v>0</v>
      </c>
      <c r="AH20" s="313"/>
      <c r="AI20" s="313"/>
      <c r="AJ20" s="336"/>
      <c r="AK20" s="320"/>
      <c r="AL20" s="313"/>
      <c r="AM20" s="313"/>
      <c r="AN20" s="336"/>
      <c r="AO20" s="320" t="s">
        <v>305</v>
      </c>
      <c r="AP20" s="321"/>
      <c r="AQ20" s="352"/>
      <c r="AR20" s="321"/>
      <c r="AS20" s="320" t="s">
        <v>305</v>
      </c>
      <c r="AT20" s="341" t="s">
        <v>305</v>
      </c>
      <c r="AU20" s="341"/>
      <c r="AV20" s="363"/>
      <c r="AW20" s="311"/>
      <c r="AX20" s="341"/>
      <c r="AY20" s="363" t="s">
        <v>352</v>
      </c>
      <c r="AZ20" s="311" t="s">
        <v>305</v>
      </c>
      <c r="BA20" s="341"/>
      <c r="BB20" s="314" t="s">
        <v>353</v>
      </c>
      <c r="BC20" s="364" t="s">
        <v>305</v>
      </c>
      <c r="BD20" s="299"/>
      <c r="BE20" s="299"/>
      <c r="BF20" s="323">
        <f t="shared" si="3"/>
        <v>45277</v>
      </c>
      <c r="BG20" s="324" t="str">
        <f t="shared" ca="1" si="1"/>
        <v>N/A</v>
      </c>
      <c r="BH20" s="299"/>
      <c r="BI20" s="325" t="str">
        <f t="shared" ca="1" si="4"/>
        <v>N/A</v>
      </c>
      <c r="BJ20" s="299"/>
      <c r="BK20" s="325">
        <f t="shared" ca="1" si="5"/>
        <v>0</v>
      </c>
      <c r="BL20" s="299"/>
      <c r="BM20" s="326"/>
      <c r="BN20" s="360"/>
      <c r="BO20" s="327" t="s">
        <v>354</v>
      </c>
      <c r="BP20" s="327" t="s">
        <v>354</v>
      </c>
      <c r="BQ20" s="328" t="s">
        <v>21</v>
      </c>
      <c r="BR20" s="329" t="s">
        <v>355</v>
      </c>
      <c r="BS20" s="331"/>
      <c r="BT20" s="330" t="s">
        <v>356</v>
      </c>
      <c r="BU20" s="327" t="s">
        <v>347</v>
      </c>
      <c r="BV20" s="330"/>
      <c r="BW20" s="331"/>
      <c r="BX20" s="302">
        <v>45404</v>
      </c>
      <c r="BY20" s="302"/>
      <c r="BZ20" s="302"/>
      <c r="CA20" s="303"/>
      <c r="CB20" s="332"/>
      <c r="CC20" s="332"/>
      <c r="CD20" s="332" t="str">
        <f t="shared" si="2"/>
        <v/>
      </c>
      <c r="CE20" s="333"/>
    </row>
    <row r="21" spans="1:83" s="334" customFormat="1" ht="409.5" hidden="1" customHeight="1">
      <c r="A21" s="305">
        <v>7</v>
      </c>
      <c r="B21" s="306" t="s">
        <v>299</v>
      </c>
      <c r="C21" s="307" t="s">
        <v>357</v>
      </c>
      <c r="D21" s="308" t="s">
        <v>358</v>
      </c>
      <c r="E21" s="309" t="str" cm="1">
        <f t="array" ref="E21">IFERROR(LOOKUP(2,1/('[1]Contracts Log'!$F:$F=$D21),'[1]Contracts Log'!$G:$G),"")</f>
        <v>1.TB.01.031.01</v>
      </c>
      <c r="F21" s="309" t="str" cm="1">
        <f t="array" ref="F21">IFERROR(LOOKUP(2,1/('[1]Contracts Log'!$F:$F=$D21),'[1]Contracts Log'!$C:$C),"")</f>
        <v>The Marina</v>
      </c>
      <c r="G21" s="309" t="str" cm="1">
        <f t="array" ref="G21">IFERROR(LOOKUP(2,1/('[1]Contracts Log'!$F:$F=$D21),'[1]Contracts Log'!$K:$K),"")</f>
        <v>Triple Bay Marina Basin - Design and Build Main Contract</v>
      </c>
      <c r="H21" s="309" t="str" cm="1">
        <f t="array" ref="H21">IFERROR(LOOKUP(2,1/('[1]Contracts Log'!$F:$F=$D21),'[1]Contracts Log'!$J:$J),"")</f>
        <v>Alsaad General Contracting Company</v>
      </c>
      <c r="I21" s="310">
        <v>1</v>
      </c>
      <c r="J21" s="310"/>
      <c r="K21" s="310"/>
      <c r="L21" s="310"/>
      <c r="M21" s="310"/>
      <c r="N21" s="310"/>
      <c r="O21" s="240"/>
      <c r="P21" s="335"/>
      <c r="Q21" s="240"/>
      <c r="R21" s="312" t="str">
        <f t="shared" si="7"/>
        <v/>
      </c>
      <c r="S21" s="313"/>
      <c r="T21" s="347"/>
      <c r="U21" s="240"/>
      <c r="V21" s="335" t="s">
        <v>359</v>
      </c>
      <c r="W21" s="240">
        <v>45085</v>
      </c>
      <c r="X21" s="312" t="s">
        <v>351</v>
      </c>
      <c r="Y21" s="313" t="s">
        <v>324</v>
      </c>
      <c r="Z21" s="335" t="s">
        <v>360</v>
      </c>
      <c r="AA21" s="240">
        <v>45119</v>
      </c>
      <c r="AB21" s="240"/>
      <c r="AC21" s="240"/>
      <c r="AD21" s="335" t="s">
        <v>361</v>
      </c>
      <c r="AE21" s="240">
        <v>45503</v>
      </c>
      <c r="AF21" s="315">
        <v>465</v>
      </c>
      <c r="AG21" s="315">
        <v>465</v>
      </c>
      <c r="AH21" s="315"/>
      <c r="AI21" s="315"/>
      <c r="AJ21" s="363"/>
      <c r="AK21" s="311"/>
      <c r="AL21" s="315"/>
      <c r="AM21" s="315"/>
      <c r="AN21" s="365" t="s">
        <v>305</v>
      </c>
      <c r="AO21" s="365" t="s">
        <v>305</v>
      </c>
      <c r="AP21" s="314"/>
      <c r="AQ21" s="366"/>
      <c r="AR21" s="314"/>
      <c r="AS21" s="311"/>
      <c r="AT21" s="318"/>
      <c r="AU21" s="318"/>
      <c r="AV21" s="321"/>
      <c r="AW21" s="320"/>
      <c r="AX21" s="318"/>
      <c r="AY21" s="321"/>
      <c r="AZ21" s="320"/>
      <c r="BA21" s="318"/>
      <c r="BB21" s="321"/>
      <c r="BC21" s="322"/>
      <c r="BD21" s="299" t="s">
        <v>362</v>
      </c>
      <c r="BE21" s="299"/>
      <c r="BF21" s="323">
        <f t="shared" si="3"/>
        <v>45503</v>
      </c>
      <c r="BG21" s="324" t="str">
        <f t="shared" ca="1" si="1"/>
        <v>N/A</v>
      </c>
      <c r="BH21" s="299"/>
      <c r="BI21" s="325">
        <f t="shared" ca="1" si="4"/>
        <v>0</v>
      </c>
      <c r="BJ21" s="299"/>
      <c r="BK21" s="325">
        <f t="shared" ca="1" si="5"/>
        <v>0</v>
      </c>
      <c r="BL21" s="299"/>
      <c r="BM21" s="326"/>
      <c r="BN21" s="360"/>
      <c r="BO21" s="327" t="s">
        <v>363</v>
      </c>
      <c r="BP21" s="327" t="s">
        <v>221</v>
      </c>
      <c r="BQ21" s="328" t="s">
        <v>21</v>
      </c>
      <c r="BR21" s="329" t="s">
        <v>364</v>
      </c>
      <c r="BS21" s="331"/>
      <c r="BT21" s="327"/>
      <c r="BU21" s="327" t="s">
        <v>347</v>
      </c>
      <c r="BV21" s="327"/>
      <c r="BW21" s="331"/>
      <c r="BX21" s="302">
        <v>45512</v>
      </c>
      <c r="BY21" s="302"/>
      <c r="BZ21" s="302"/>
      <c r="CA21" s="295"/>
      <c r="CB21" s="332"/>
      <c r="CC21" s="332"/>
      <c r="CD21" s="332" t="str">
        <f t="shared" si="2"/>
        <v/>
      </c>
      <c r="CE21" s="333"/>
    </row>
    <row r="22" spans="1:83" s="334" customFormat="1" ht="409.5" hidden="1" customHeight="1">
      <c r="A22" s="305">
        <v>8</v>
      </c>
      <c r="B22" s="306" t="s">
        <v>310</v>
      </c>
      <c r="C22" s="307" t="s">
        <v>365</v>
      </c>
      <c r="D22" s="308" t="s">
        <v>358</v>
      </c>
      <c r="E22" s="309" t="str" cm="1">
        <f t="array" ref="E22">IFERROR(LOOKUP(2,1/('[1]Contracts Log'!$F:$F=$D22),'[1]Contracts Log'!$G:$G),"")</f>
        <v>1.TB.01.031.01</v>
      </c>
      <c r="F22" s="309" t="str" cm="1">
        <f t="array" ref="F22">IFERROR(LOOKUP(2,1/('[1]Contracts Log'!$F:$F=$D22),'[1]Contracts Log'!$C:$C),"")</f>
        <v>The Marina</v>
      </c>
      <c r="G22" s="309" t="str" cm="1">
        <f t="array" ref="G22">IFERROR(LOOKUP(2,1/('[1]Contracts Log'!$F:$F=$D22),'[1]Contracts Log'!$K:$K),"")</f>
        <v>Triple Bay Marina Basin - Design and Build Main Contract</v>
      </c>
      <c r="H22" s="309" t="str" cm="1">
        <f t="array" ref="H22">IFERROR(LOOKUP(2,1/('[1]Contracts Log'!$F:$F=$D22),'[1]Contracts Log'!$J:$J),"")</f>
        <v>Alsaad General Contracting Company</v>
      </c>
      <c r="I22" s="310"/>
      <c r="J22" s="310">
        <v>1</v>
      </c>
      <c r="K22" s="310"/>
      <c r="L22" s="310"/>
      <c r="M22" s="310"/>
      <c r="N22" s="310"/>
      <c r="O22" s="240"/>
      <c r="P22" s="335"/>
      <c r="Q22" s="240"/>
      <c r="R22" s="312" t="str">
        <f t="shared" si="7"/>
        <v/>
      </c>
      <c r="S22" s="313"/>
      <c r="T22" s="347"/>
      <c r="U22" s="240"/>
      <c r="V22" s="335" t="s">
        <v>359</v>
      </c>
      <c r="W22" s="240">
        <v>45085</v>
      </c>
      <c r="X22" s="312" t="s">
        <v>351</v>
      </c>
      <c r="Y22" s="313" t="s">
        <v>324</v>
      </c>
      <c r="Z22" s="335" t="s">
        <v>360</v>
      </c>
      <c r="AA22" s="240">
        <v>45119</v>
      </c>
      <c r="AB22" s="240"/>
      <c r="AC22" s="240"/>
      <c r="AD22" s="335" t="s">
        <v>366</v>
      </c>
      <c r="AE22" s="240">
        <v>45851</v>
      </c>
      <c r="AF22" s="313"/>
      <c r="AG22" s="313"/>
      <c r="AH22" s="313"/>
      <c r="AI22" s="313"/>
      <c r="AJ22" s="336"/>
      <c r="AK22" s="320"/>
      <c r="AL22" s="313"/>
      <c r="AM22" s="313"/>
      <c r="AN22" s="351"/>
      <c r="AO22" s="320"/>
      <c r="AP22" s="321"/>
      <c r="AQ22" s="352"/>
      <c r="AR22" s="321"/>
      <c r="AS22" s="320"/>
      <c r="AT22" s="341">
        <v>46455401.689999998</v>
      </c>
      <c r="AU22" s="341">
        <v>14631530.800000001</v>
      </c>
      <c r="AV22" s="314" t="s">
        <v>367</v>
      </c>
      <c r="AW22" s="311"/>
      <c r="AX22" s="341">
        <v>14631530.800000001</v>
      </c>
      <c r="AY22" s="314" t="s">
        <v>305</v>
      </c>
      <c r="AZ22" s="314" t="s">
        <v>305</v>
      </c>
      <c r="BA22" s="341">
        <v>14631530.800000001</v>
      </c>
      <c r="BB22" s="314"/>
      <c r="BC22" s="364"/>
      <c r="BD22" s="367" t="s">
        <v>368</v>
      </c>
      <c r="BE22" s="367"/>
      <c r="BF22" s="323">
        <f t="shared" si="3"/>
        <v>45851</v>
      </c>
      <c r="BG22" s="324" t="str">
        <f t="shared" ca="1" si="1"/>
        <v>N/A</v>
      </c>
      <c r="BH22" s="299"/>
      <c r="BI22" s="325" t="str">
        <f t="shared" ca="1" si="4"/>
        <v>N/A</v>
      </c>
      <c r="BJ22" s="299"/>
      <c r="BK22" s="325">
        <f t="shared" ca="1" si="5"/>
        <v>0</v>
      </c>
      <c r="BL22" s="299"/>
      <c r="BM22" s="326"/>
      <c r="BN22" s="360"/>
      <c r="BO22" s="327" t="s">
        <v>363</v>
      </c>
      <c r="BP22" s="327" t="s">
        <v>221</v>
      </c>
      <c r="BQ22" s="328" t="s">
        <v>21</v>
      </c>
      <c r="BR22" s="329" t="s">
        <v>369</v>
      </c>
      <c r="BS22" s="331"/>
      <c r="BT22" s="327"/>
      <c r="BU22" s="327"/>
      <c r="BV22" s="327"/>
      <c r="BW22" s="331"/>
      <c r="BX22" s="302">
        <v>45992</v>
      </c>
      <c r="BY22" s="302"/>
      <c r="BZ22" s="302"/>
      <c r="CA22" s="295"/>
      <c r="CB22" s="332"/>
      <c r="CC22" s="332"/>
      <c r="CD22" s="332" t="str">
        <f t="shared" si="2"/>
        <v/>
      </c>
      <c r="CE22" s="333"/>
    </row>
    <row r="23" spans="1:83" s="334" customFormat="1" ht="409.5" hidden="1" customHeight="1">
      <c r="A23" s="305">
        <v>9</v>
      </c>
      <c r="B23" s="306" t="s">
        <v>299</v>
      </c>
      <c r="C23" s="307" t="s">
        <v>370</v>
      </c>
      <c r="D23" s="308" t="s">
        <v>339</v>
      </c>
      <c r="E23" s="309" t="str" cm="1">
        <f t="array" ref="E23">IFERROR(LOOKUP(2,1/('[1]Contracts Log'!$F:$F=$D23),'[1]Contracts Log'!$G:$G),"")</f>
        <v>1.TB.01.006.99</v>
      </c>
      <c r="F23" s="309" t="str" cm="1">
        <f t="array" ref="F23">IFERROR(LOOKUP(2,1/('[1]Contracts Log'!$F:$F=$D23),'[1]Contracts Log'!$C:$C),"")</f>
        <v>Village Boutique Hotel</v>
      </c>
      <c r="G23" s="309" t="str" cm="1">
        <f t="array" ref="G23">IFERROR(LOOKUP(2,1/('[1]Contracts Log'!$F:$F=$D23),'[1]Contracts Log'!$K:$K),"")</f>
        <v>Concrete Structure and Civil Works for Village Boutique Hotel</v>
      </c>
      <c r="H23" s="309" t="str" cm="1">
        <f t="array" ref="H23">IFERROR(LOOKUP(2,1/('[1]Contracts Log'!$F:$F=$D23),'[1]Contracts Log'!$J:$J),"")</f>
        <v>Mounes Mohamed Al Shayeb and Partners for Civil Construction - MOBCO</v>
      </c>
      <c r="I23" s="310">
        <v>1</v>
      </c>
      <c r="J23" s="310"/>
      <c r="K23" s="310"/>
      <c r="L23" s="310"/>
      <c r="M23" s="310"/>
      <c r="N23" s="310"/>
      <c r="O23" s="240"/>
      <c r="P23" s="335"/>
      <c r="Q23" s="240"/>
      <c r="R23" s="312" t="str">
        <f t="shared" si="7"/>
        <v/>
      </c>
      <c r="S23" s="313"/>
      <c r="T23" s="347"/>
      <c r="U23" s="240"/>
      <c r="V23" s="335" t="s">
        <v>371</v>
      </c>
      <c r="W23" s="240">
        <v>45258</v>
      </c>
      <c r="X23" s="312" t="s">
        <v>351</v>
      </c>
      <c r="Y23" s="313" t="s">
        <v>324</v>
      </c>
      <c r="Z23" s="335" t="s">
        <v>372</v>
      </c>
      <c r="AA23" s="240">
        <v>45312</v>
      </c>
      <c r="AB23" s="240"/>
      <c r="AC23" s="240"/>
      <c r="AD23" s="335" t="s">
        <v>373</v>
      </c>
      <c r="AE23" s="240">
        <v>45708</v>
      </c>
      <c r="AF23" s="316">
        <v>158</v>
      </c>
      <c r="AG23" s="316">
        <v>158</v>
      </c>
      <c r="AH23" s="315"/>
      <c r="AI23" s="315"/>
      <c r="AJ23" s="363"/>
      <c r="AK23" s="311"/>
      <c r="AL23" s="315"/>
      <c r="AM23" s="315"/>
      <c r="AN23" s="308" t="s">
        <v>374</v>
      </c>
      <c r="AO23" s="302">
        <v>45896</v>
      </c>
      <c r="AP23" s="314"/>
      <c r="AQ23" s="366"/>
      <c r="AR23" s="314"/>
      <c r="AS23" s="311"/>
      <c r="AT23" s="318"/>
      <c r="AU23" s="318"/>
      <c r="AV23" s="321"/>
      <c r="AW23" s="320"/>
      <c r="AX23" s="318"/>
      <c r="AY23" s="321"/>
      <c r="AZ23" s="320"/>
      <c r="BA23" s="318"/>
      <c r="BB23" s="321"/>
      <c r="BC23" s="322"/>
      <c r="BD23" s="299" t="s">
        <v>375</v>
      </c>
      <c r="BE23" s="299"/>
      <c r="BF23" s="323">
        <f t="shared" si="3"/>
        <v>45708</v>
      </c>
      <c r="BG23" s="324" t="str">
        <f t="shared" ca="1" si="1"/>
        <v>N/A</v>
      </c>
      <c r="BH23" s="323">
        <v>45805</v>
      </c>
      <c r="BI23" s="325">
        <f t="shared" ca="1" si="4"/>
        <v>47</v>
      </c>
      <c r="BJ23" s="323">
        <v>45852</v>
      </c>
      <c r="BK23" s="325">
        <f t="shared" ca="1" si="5"/>
        <v>14</v>
      </c>
      <c r="BL23" s="323">
        <v>45866</v>
      </c>
      <c r="BM23" s="326"/>
      <c r="BN23" s="360"/>
      <c r="BO23" s="327" t="s">
        <v>220</v>
      </c>
      <c r="BP23" s="327" t="s">
        <v>376</v>
      </c>
      <c r="BQ23" s="328" t="s">
        <v>21</v>
      </c>
      <c r="BR23" s="329" t="s">
        <v>377</v>
      </c>
      <c r="BS23" s="331"/>
      <c r="BT23" s="327"/>
      <c r="BU23" s="327" t="s">
        <v>347</v>
      </c>
      <c r="BV23" s="327"/>
      <c r="BW23" s="331"/>
      <c r="BX23" s="302">
        <v>45896</v>
      </c>
      <c r="BY23" s="302"/>
      <c r="BZ23" s="302"/>
      <c r="CA23" s="295"/>
      <c r="CB23" s="332"/>
      <c r="CC23" s="332"/>
      <c r="CD23" s="332" t="str">
        <f>IF(CC23="","",IF(AND(CC23&lt;&gt;"",AP23=""),CC23,IF(AND(CC23&lt;&gt;"",AP23&lt;&gt;""),AP23+CC23)))</f>
        <v/>
      </c>
      <c r="CE23" s="333">
        <v>45258</v>
      </c>
    </row>
    <row r="24" spans="1:83" s="334" customFormat="1" ht="409.5" hidden="1" customHeight="1">
      <c r="A24" s="305">
        <v>10</v>
      </c>
      <c r="B24" s="306" t="s">
        <v>310</v>
      </c>
      <c r="C24" s="307" t="s">
        <v>378</v>
      </c>
      <c r="D24" s="308" t="s">
        <v>358</v>
      </c>
      <c r="E24" s="309" t="str" cm="1">
        <f t="array" ref="E24">IFERROR(LOOKUP(2,1/('[1]Contracts Log'!$F:$F=$D24),'[1]Contracts Log'!$G:$G),"")</f>
        <v>1.TB.01.031.01</v>
      </c>
      <c r="F24" s="309" t="str" cm="1">
        <f t="array" ref="F24">IFERROR(LOOKUP(2,1/('[1]Contracts Log'!$F:$F=$D24),'[1]Contracts Log'!$C:$C),"")</f>
        <v>The Marina</v>
      </c>
      <c r="G24" s="309" t="str" cm="1">
        <f t="array" ref="G24">IFERROR(LOOKUP(2,1/('[1]Contracts Log'!$F:$F=$D24),'[1]Contracts Log'!$K:$K),"")</f>
        <v>Triple Bay Marina Basin - Design and Build Main Contract</v>
      </c>
      <c r="H24" s="309" t="str" cm="1">
        <f t="array" ref="H24">IFERROR(LOOKUP(2,1/('[1]Contracts Log'!$F:$F=$D24),'[1]Contracts Log'!$J:$J),"")</f>
        <v>Alsaad General Contracting Company</v>
      </c>
      <c r="I24" s="310"/>
      <c r="J24" s="310"/>
      <c r="K24" s="310"/>
      <c r="L24" s="310"/>
      <c r="M24" s="310"/>
      <c r="N24" s="310">
        <v>1</v>
      </c>
      <c r="O24" s="240"/>
      <c r="P24" s="335"/>
      <c r="Q24" s="240"/>
      <c r="R24" s="312" t="str">
        <f t="shared" si="7"/>
        <v/>
      </c>
      <c r="S24" s="313"/>
      <c r="T24" s="347"/>
      <c r="U24" s="240"/>
      <c r="V24" s="335" t="s">
        <v>379</v>
      </c>
      <c r="W24" s="240">
        <v>45313</v>
      </c>
      <c r="X24" s="312" t="s">
        <v>351</v>
      </c>
      <c r="Y24" s="313" t="s">
        <v>324</v>
      </c>
      <c r="Z24" s="335" t="s">
        <v>380</v>
      </c>
      <c r="AA24" s="240" t="s">
        <v>305</v>
      </c>
      <c r="AB24" s="240"/>
      <c r="AC24" s="240"/>
      <c r="AD24" s="335"/>
      <c r="AE24" s="240"/>
      <c r="AF24" s="313"/>
      <c r="AG24" s="313"/>
      <c r="AH24" s="313"/>
      <c r="AI24" s="313"/>
      <c r="AJ24" s="336"/>
      <c r="AK24" s="320"/>
      <c r="AL24" s="313"/>
      <c r="AM24" s="313"/>
      <c r="AN24" s="351"/>
      <c r="AO24" s="320"/>
      <c r="AP24" s="321"/>
      <c r="AQ24" s="352"/>
      <c r="AR24" s="321"/>
      <c r="AS24" s="320"/>
      <c r="AT24" s="368" t="s">
        <v>305</v>
      </c>
      <c r="AU24" s="341"/>
      <c r="AV24" s="314"/>
      <c r="AW24" s="311"/>
      <c r="AX24" s="341"/>
      <c r="AY24" s="314" t="s">
        <v>305</v>
      </c>
      <c r="AZ24" s="314"/>
      <c r="BA24" s="341"/>
      <c r="BB24" s="314"/>
      <c r="BC24" s="364"/>
      <c r="BD24" s="299" t="s">
        <v>381</v>
      </c>
      <c r="BE24" s="299"/>
      <c r="BF24" s="323">
        <f t="shared" si="3"/>
        <v>45313</v>
      </c>
      <c r="BG24" s="324" t="str">
        <f t="shared" ca="1" si="1"/>
        <v>N/A</v>
      </c>
      <c r="BH24" s="299"/>
      <c r="BI24" s="325" t="str">
        <f t="shared" ca="1" si="4"/>
        <v>N/A</v>
      </c>
      <c r="BJ24" s="299"/>
      <c r="BK24" s="325">
        <f t="shared" ca="1" si="5"/>
        <v>0</v>
      </c>
      <c r="BL24" s="299"/>
      <c r="BM24" s="326"/>
      <c r="BN24" s="360"/>
      <c r="BO24" s="327" t="s">
        <v>363</v>
      </c>
      <c r="BP24" s="327" t="s">
        <v>221</v>
      </c>
      <c r="BQ24" s="328" t="s">
        <v>21</v>
      </c>
      <c r="BR24" s="329" t="s">
        <v>382</v>
      </c>
      <c r="BS24" s="331"/>
      <c r="BT24" s="327"/>
      <c r="BU24" s="327" t="s">
        <v>347</v>
      </c>
      <c r="BV24" s="327"/>
      <c r="BW24" s="331"/>
      <c r="BX24" s="302">
        <v>45992</v>
      </c>
      <c r="BY24" s="302"/>
      <c r="BZ24" s="302"/>
      <c r="CA24" s="295"/>
      <c r="CB24" s="332"/>
      <c r="CC24" s="332"/>
      <c r="CD24" s="332" t="str">
        <f>IF(CC24="","",IF(AND(CC24&lt;&gt;"",AP24=""),CC24,IF(AND(CC24&lt;&gt;"",AP24&lt;&gt;""),AP24+CC24)))</f>
        <v/>
      </c>
      <c r="CE24" s="333">
        <v>45313</v>
      </c>
    </row>
    <row r="25" spans="1:83" s="334" customFormat="1" ht="351" hidden="1" customHeight="1">
      <c r="A25" s="305">
        <v>11</v>
      </c>
      <c r="B25" s="306" t="s">
        <v>310</v>
      </c>
      <c r="C25" s="307" t="s">
        <v>383</v>
      </c>
      <c r="D25" s="308" t="s">
        <v>349</v>
      </c>
      <c r="E25" s="309" t="str" cm="1">
        <f t="array" ref="E25">IFERROR(LOOKUP(2,1/('[1]Contracts Log'!$F:$F=$D25),'[1]Contracts Log'!$G:$G),"")</f>
        <v>1.TB.01.005.01</v>
      </c>
      <c r="F25" s="309" t="str" cm="1">
        <f t="array" ref="F25">IFERROR(LOOKUP(2,1/('[1]Contracts Log'!$F:$F=$D25),'[1]Contracts Log'!$C:$C),"")</f>
        <v>Red Sea Marine Life Institute</v>
      </c>
      <c r="G25" s="309" t="str" cm="1">
        <f t="array" ref="G25">IFERROR(LOOKUP(2,1/('[1]Contracts Log'!$F:$F=$D25),'[1]Contracts Log'!$K:$K),"")</f>
        <v>Construction Contract - Structural Concrete, Wet Trades, Dewatering, Earthworks &amp; BOH Finishes</v>
      </c>
      <c r="H25" s="309" t="str" cm="1">
        <f t="array" ref="H25">IFERROR(LOOKUP(2,1/('[1]Contracts Log'!$F:$F=$D25),'[1]Contracts Log'!$J:$J),"")</f>
        <v>Saudi Arabian Baytur Construction Company</v>
      </c>
      <c r="I25" s="310"/>
      <c r="J25" s="310"/>
      <c r="K25" s="310"/>
      <c r="L25" s="310"/>
      <c r="M25" s="310"/>
      <c r="N25" s="310">
        <v>1</v>
      </c>
      <c r="O25" s="240"/>
      <c r="P25" s="335"/>
      <c r="Q25" s="240"/>
      <c r="R25" s="312" t="str">
        <f t="shared" si="7"/>
        <v/>
      </c>
      <c r="S25" s="313"/>
      <c r="T25" s="347"/>
      <c r="U25" s="240"/>
      <c r="V25" s="335" t="s">
        <v>384</v>
      </c>
      <c r="W25" s="240">
        <v>45316</v>
      </c>
      <c r="X25" s="312" t="s">
        <v>351</v>
      </c>
      <c r="Y25" s="313" t="s">
        <v>324</v>
      </c>
      <c r="Z25" s="335" t="s">
        <v>385</v>
      </c>
      <c r="AA25" s="240">
        <v>45434</v>
      </c>
      <c r="AB25" s="240"/>
      <c r="AC25" s="240"/>
      <c r="AD25" s="335"/>
      <c r="AE25" s="240"/>
      <c r="AF25" s="313"/>
      <c r="AG25" s="313"/>
      <c r="AH25" s="313"/>
      <c r="AI25" s="313"/>
      <c r="AJ25" s="336"/>
      <c r="AK25" s="320"/>
      <c r="AL25" s="313"/>
      <c r="AM25" s="313"/>
      <c r="AN25" s="351"/>
      <c r="AO25" s="320"/>
      <c r="AP25" s="321"/>
      <c r="AQ25" s="352"/>
      <c r="AR25" s="321"/>
      <c r="AS25" s="320"/>
      <c r="AT25" s="368" t="s">
        <v>305</v>
      </c>
      <c r="AU25" s="341"/>
      <c r="AV25" s="365" t="s">
        <v>305</v>
      </c>
      <c r="AW25" s="365"/>
      <c r="AX25" s="341"/>
      <c r="AY25" s="365" t="s">
        <v>305</v>
      </c>
      <c r="AZ25" s="365"/>
      <c r="BA25" s="341"/>
      <c r="BB25" s="314"/>
      <c r="BC25" s="364"/>
      <c r="BD25" s="299"/>
      <c r="BE25" s="299"/>
      <c r="BF25" s="323">
        <f t="shared" si="3"/>
        <v>45316</v>
      </c>
      <c r="BG25" s="324" t="str">
        <f t="shared" ca="1" si="1"/>
        <v>N/A</v>
      </c>
      <c r="BH25" s="299"/>
      <c r="BI25" s="325" t="str">
        <f t="shared" ca="1" si="4"/>
        <v>N/A</v>
      </c>
      <c r="BJ25" s="299"/>
      <c r="BK25" s="325">
        <f t="shared" ca="1" si="5"/>
        <v>0</v>
      </c>
      <c r="BL25" s="299"/>
      <c r="BM25" s="326"/>
      <c r="BN25" s="360"/>
      <c r="BO25" s="327" t="s">
        <v>363</v>
      </c>
      <c r="BP25" s="327" t="s">
        <v>354</v>
      </c>
      <c r="BQ25" s="328" t="s">
        <v>21</v>
      </c>
      <c r="BR25" s="329" t="s">
        <v>386</v>
      </c>
      <c r="BS25" s="331"/>
      <c r="BT25" s="330"/>
      <c r="BU25" s="330"/>
      <c r="BV25" s="330"/>
      <c r="BW25" s="331"/>
      <c r="BX25" s="302">
        <v>45404</v>
      </c>
      <c r="BY25" s="302"/>
      <c r="BZ25" s="302"/>
      <c r="CA25" s="303"/>
      <c r="CB25" s="332"/>
      <c r="CC25" s="332"/>
      <c r="CD25" s="332" t="str">
        <f>IF(CC25="","",IF(AND(CC25&lt;&gt;"",AP25=""),CC25,IF(AND(CC25&lt;&gt;"",AP25&lt;&gt;""),AP25+CC25)))</f>
        <v/>
      </c>
      <c r="CE25" s="333"/>
    </row>
    <row r="26" spans="1:83" s="334" customFormat="1" ht="376.5" hidden="1" customHeight="1">
      <c r="A26" s="305">
        <v>12</v>
      </c>
      <c r="B26" s="306" t="s">
        <v>310</v>
      </c>
      <c r="C26" s="307" t="s">
        <v>387</v>
      </c>
      <c r="D26" s="308" t="s">
        <v>388</v>
      </c>
      <c r="E26" s="309" t="str" cm="1">
        <f t="array" ref="E26">IFERROR(LOOKUP(2,1/('[1]Contracts Log'!$F:$F=$D26),'[1]Contracts Log'!$G:$G),"")</f>
        <v>1.TB.01.003.01</v>
      </c>
      <c r="F26" s="309" t="str" cm="1">
        <f t="array" ref="F26">IFERROR(LOOKUP(2,1/('[1]Contracts Log'!$F:$F=$D26),'[1]Contracts Log'!$C:$C),"")</f>
        <v xml:space="preserve">AMAALA Yacht Club </v>
      </c>
      <c r="G26" s="309" t="str" cm="1">
        <f t="array" ref="G26">IFERROR(LOOKUP(2,1/('[1]Contracts Log'!$F:$F=$D26),'[1]Contracts Log'!$K:$K),"")</f>
        <v>Construction Contract - Site Enabling, Civil Works, Structural Concrete, Structural Steel, BOH Finishes, Building Envelope, MEP Including Tertiary Infrastructure &amp; ICT/ELV</v>
      </c>
      <c r="H26" s="309" t="str" cm="1">
        <f t="array" ref="H26">IFERROR(LOOKUP(2,1/('[1]Contracts Log'!$F:$F=$D26),'[1]Contracts Log'!$J:$J),"")</f>
        <v>Saudi Arabian Baytur Construction Company</v>
      </c>
      <c r="I26" s="310"/>
      <c r="J26" s="310"/>
      <c r="K26" s="310"/>
      <c r="L26" s="310"/>
      <c r="M26" s="310"/>
      <c r="N26" s="310">
        <v>1</v>
      </c>
      <c r="O26" s="240">
        <v>45167</v>
      </c>
      <c r="P26" s="335" t="s">
        <v>389</v>
      </c>
      <c r="Q26" s="240">
        <v>45196</v>
      </c>
      <c r="R26" s="312">
        <f t="shared" si="7"/>
        <v>22</v>
      </c>
      <c r="S26" s="313"/>
      <c r="T26" s="347" t="s">
        <v>390</v>
      </c>
      <c r="U26" s="240">
        <v>45209</v>
      </c>
      <c r="V26" s="335" t="s">
        <v>391</v>
      </c>
      <c r="W26" s="240">
        <v>45330</v>
      </c>
      <c r="X26" s="312">
        <v>118</v>
      </c>
      <c r="Y26" s="313" t="s">
        <v>324</v>
      </c>
      <c r="Z26" s="335" t="s">
        <v>392</v>
      </c>
      <c r="AA26" s="240">
        <v>45350</v>
      </c>
      <c r="AB26" s="240"/>
      <c r="AC26" s="240"/>
      <c r="AD26" s="335" t="s">
        <v>393</v>
      </c>
      <c r="AE26" s="240">
        <v>45351</v>
      </c>
      <c r="AF26" s="313"/>
      <c r="AG26" s="313"/>
      <c r="AH26" s="313"/>
      <c r="AI26" s="313"/>
      <c r="AJ26" s="336"/>
      <c r="AK26" s="320"/>
      <c r="AL26" s="313"/>
      <c r="AM26" s="313"/>
      <c r="AN26" s="351"/>
      <c r="AO26" s="320"/>
      <c r="AP26" s="321"/>
      <c r="AQ26" s="352"/>
      <c r="AR26" s="321"/>
      <c r="AS26" s="320"/>
      <c r="AT26" s="318" t="s">
        <v>305</v>
      </c>
      <c r="AU26" s="318"/>
      <c r="AV26" s="321"/>
      <c r="AW26" s="320"/>
      <c r="AX26" s="318"/>
      <c r="AY26" s="321"/>
      <c r="AZ26" s="320"/>
      <c r="BA26" s="318"/>
      <c r="BB26" s="321"/>
      <c r="BC26" s="322"/>
      <c r="BD26" s="335" t="s">
        <v>394</v>
      </c>
      <c r="BE26" s="335"/>
      <c r="BF26" s="323">
        <f t="shared" si="3"/>
        <v>45351</v>
      </c>
      <c r="BG26" s="324" t="str">
        <f t="shared" ca="1" si="1"/>
        <v>N/A</v>
      </c>
      <c r="BH26" s="299"/>
      <c r="BI26" s="325" t="str">
        <f t="shared" ca="1" si="4"/>
        <v>N/A</v>
      </c>
      <c r="BJ26" s="299"/>
      <c r="BK26" s="325">
        <f t="shared" ca="1" si="5"/>
        <v>0</v>
      </c>
      <c r="BL26" s="299"/>
      <c r="BM26" s="326"/>
      <c r="BN26" s="360"/>
      <c r="BO26" s="327" t="s">
        <v>363</v>
      </c>
      <c r="BP26" s="327" t="s">
        <v>221</v>
      </c>
      <c r="BQ26" s="328" t="s">
        <v>21</v>
      </c>
      <c r="BR26" s="329" t="s">
        <v>395</v>
      </c>
      <c r="BS26" s="331"/>
      <c r="BT26" s="330"/>
      <c r="BU26" s="330"/>
      <c r="BV26" s="330" t="s">
        <v>347</v>
      </c>
      <c r="BW26" s="331"/>
      <c r="BX26" s="302">
        <v>45446</v>
      </c>
      <c r="BY26" s="302"/>
      <c r="BZ26" s="302"/>
      <c r="CA26" s="303"/>
      <c r="CB26" s="332"/>
      <c r="CC26" s="332"/>
      <c r="CD26" s="332" t="str">
        <f>IF(CC26="","",IF(AND(CC26&lt;&gt;"",AP26=""),CC26,IF(AND(CC26&lt;&gt;"",AP26&lt;&gt;""),AP26+CC26)))</f>
        <v/>
      </c>
      <c r="CE26" s="333">
        <v>45348</v>
      </c>
    </row>
    <row r="27" spans="1:83" s="334" customFormat="1" ht="409.5" hidden="1" customHeight="1">
      <c r="A27" s="305">
        <v>13</v>
      </c>
      <c r="B27" s="306" t="s">
        <v>299</v>
      </c>
      <c r="C27" s="307" t="s">
        <v>396</v>
      </c>
      <c r="D27" s="308" t="s">
        <v>397</v>
      </c>
      <c r="E27" s="309" t="str" cm="1">
        <f t="array" ref="E27">IFERROR(LOOKUP(2,1/('[1]Contracts Log'!$F:$F=$D27),'[1]Contracts Log'!$G:$G),"")</f>
        <v>1.TB.01.005.01</v>
      </c>
      <c r="F27" s="309" t="str" cm="1">
        <f t="array" ref="F27">IFERROR(LOOKUP(2,1/('[1]Contracts Log'!$F:$F=$D27),'[1]Contracts Log'!$C:$C),"")</f>
        <v>Red Sea Marine Life Institute</v>
      </c>
      <c r="G27" s="309" t="str" cm="1">
        <f t="array" ref="G27">IFERROR(LOOKUP(2,1/('[1]Contracts Log'!$F:$F=$D27),'[1]Contracts Log'!$K:$K),"")</f>
        <v>Marine Life Operation Facility for Marina Village</v>
      </c>
      <c r="H27" s="309" t="str" cm="1">
        <f t="array" ref="H27">IFERROR(LOOKUP(2,1/('[1]Contracts Log'!$F:$F=$D27),'[1]Contracts Log'!$J:$J),"")</f>
        <v>Hassan Hamdi Al Harbi Contracting Est. (HASCO)</v>
      </c>
      <c r="I27" s="310">
        <v>1</v>
      </c>
      <c r="J27" s="310"/>
      <c r="K27" s="310"/>
      <c r="L27" s="310"/>
      <c r="M27" s="310"/>
      <c r="N27" s="310"/>
      <c r="O27" s="240"/>
      <c r="P27" s="335"/>
      <c r="Q27" s="240"/>
      <c r="R27" s="312" t="str">
        <f t="shared" si="7"/>
        <v/>
      </c>
      <c r="S27" s="313"/>
      <c r="T27" s="347"/>
      <c r="U27" s="240"/>
      <c r="V27" s="335" t="s">
        <v>398</v>
      </c>
      <c r="W27" s="240">
        <v>45326</v>
      </c>
      <c r="X27" s="312" t="s">
        <v>351</v>
      </c>
      <c r="Y27" s="313" t="s">
        <v>324</v>
      </c>
      <c r="Z27" s="335" t="s">
        <v>399</v>
      </c>
      <c r="AA27" s="240">
        <v>45364</v>
      </c>
      <c r="AB27" s="240"/>
      <c r="AC27" s="240"/>
      <c r="AD27" s="335" t="s">
        <v>400</v>
      </c>
      <c r="AE27" s="240">
        <v>45918</v>
      </c>
      <c r="AF27" s="316">
        <v>116</v>
      </c>
      <c r="AG27" s="315"/>
      <c r="AH27" s="315"/>
      <c r="AI27" s="315"/>
      <c r="AJ27" s="363"/>
      <c r="AK27" s="311"/>
      <c r="AL27" s="315"/>
      <c r="AM27" s="315"/>
      <c r="AN27" s="365" t="s">
        <v>401</v>
      </c>
      <c r="AO27" s="311">
        <v>45959</v>
      </c>
      <c r="AP27" s="314"/>
      <c r="AQ27" s="366"/>
      <c r="AR27" s="314"/>
      <c r="AS27" s="311"/>
      <c r="AT27" s="318"/>
      <c r="AU27" s="318"/>
      <c r="AV27" s="321"/>
      <c r="AW27" s="320"/>
      <c r="AX27" s="318"/>
      <c r="AY27" s="321"/>
      <c r="AZ27" s="320"/>
      <c r="BA27" s="318"/>
      <c r="BB27" s="321"/>
      <c r="BC27" s="322"/>
      <c r="BD27" s="299" t="s">
        <v>402</v>
      </c>
      <c r="BE27" s="299"/>
      <c r="BF27" s="323">
        <f t="shared" si="3"/>
        <v>45918</v>
      </c>
      <c r="BG27" s="324" t="str">
        <f t="shared" ca="1" si="1"/>
        <v>N/A</v>
      </c>
      <c r="BH27" s="299"/>
      <c r="BI27" s="325">
        <f t="shared" ca="1" si="4"/>
        <v>0</v>
      </c>
      <c r="BJ27" s="299"/>
      <c r="BK27" s="325">
        <f t="shared" ca="1" si="5"/>
        <v>0</v>
      </c>
      <c r="BL27" s="299"/>
      <c r="BM27" s="326"/>
      <c r="BN27" s="327"/>
      <c r="BO27" s="327" t="s">
        <v>220</v>
      </c>
      <c r="BP27" s="327" t="s">
        <v>317</v>
      </c>
      <c r="BQ27" s="328" t="s">
        <v>21</v>
      </c>
      <c r="BR27" s="329" t="s">
        <v>403</v>
      </c>
      <c r="BS27" s="331"/>
      <c r="BT27" s="327"/>
      <c r="BU27" s="327"/>
      <c r="BV27" s="327"/>
      <c r="BW27" s="331"/>
      <c r="BX27" s="302">
        <v>45959</v>
      </c>
      <c r="BY27" s="302"/>
      <c r="BZ27" s="302"/>
      <c r="CA27" s="295"/>
      <c r="CB27" s="332"/>
      <c r="CC27" s="332"/>
      <c r="CD27" s="332" t="str">
        <f>IF(CC27="","",IF(AND(CC27&lt;&gt;"",AP27=""),CC27,IF(AND(CC27&lt;&gt;"",AP27&lt;&gt;""),AP27+CC27)))</f>
        <v/>
      </c>
      <c r="CE27" s="333">
        <v>45362</v>
      </c>
    </row>
    <row r="28" spans="1:83" s="334" customFormat="1" ht="409.5" hidden="1" customHeight="1">
      <c r="A28" s="305">
        <v>14</v>
      </c>
      <c r="B28" s="306" t="s">
        <v>310</v>
      </c>
      <c r="C28" s="307" t="s">
        <v>404</v>
      </c>
      <c r="D28" s="308" t="s">
        <v>397</v>
      </c>
      <c r="E28" s="309" t="str" cm="1">
        <f t="array" ref="E28">IFERROR(LOOKUP(2,1/('[1]Contracts Log'!$F:$F=$D28),'[1]Contracts Log'!$G:$G),"")</f>
        <v>1.TB.01.005.01</v>
      </c>
      <c r="F28" s="309" t="str" cm="1">
        <f t="array" ref="F28">IFERROR(LOOKUP(2,1/('[1]Contracts Log'!$F:$F=$D28),'[1]Contracts Log'!$C:$C),"")</f>
        <v>Red Sea Marine Life Institute</v>
      </c>
      <c r="G28" s="309" t="str" cm="1">
        <f t="array" ref="G28">IFERROR(LOOKUP(2,1/('[1]Contracts Log'!$F:$F=$D28),'[1]Contracts Log'!$K:$K),"")</f>
        <v>Marine Life Operation Facility for Marina Village</v>
      </c>
      <c r="H28" s="309" t="str" cm="1">
        <f t="array" ref="H28">IFERROR(LOOKUP(2,1/('[1]Contracts Log'!$F:$F=$D28),'[1]Contracts Log'!$J:$J),"")</f>
        <v>Hassan Hamdi Al Harbi Contracting Est. (HASCO)</v>
      </c>
      <c r="I28" s="310"/>
      <c r="J28" s="310">
        <v>1</v>
      </c>
      <c r="K28" s="310"/>
      <c r="L28" s="310"/>
      <c r="M28" s="310"/>
      <c r="N28" s="310"/>
      <c r="O28" s="240"/>
      <c r="P28" s="335"/>
      <c r="Q28" s="240"/>
      <c r="R28" s="312"/>
      <c r="S28" s="313"/>
      <c r="T28" s="347"/>
      <c r="U28" s="240"/>
      <c r="V28" s="335" t="s">
        <v>398</v>
      </c>
      <c r="W28" s="240">
        <v>45326</v>
      </c>
      <c r="X28" s="312" t="s">
        <v>351</v>
      </c>
      <c r="Y28" s="313" t="s">
        <v>324</v>
      </c>
      <c r="Z28" s="335" t="s">
        <v>399</v>
      </c>
      <c r="AA28" s="240">
        <v>45364</v>
      </c>
      <c r="AB28" s="240"/>
      <c r="AC28" s="240"/>
      <c r="AD28" s="335" t="s">
        <v>405</v>
      </c>
      <c r="AE28" s="240">
        <v>45553</v>
      </c>
      <c r="AF28" s="316"/>
      <c r="AG28" s="315"/>
      <c r="AH28" s="315"/>
      <c r="AI28" s="315"/>
      <c r="AJ28" s="363"/>
      <c r="AK28" s="311"/>
      <c r="AL28" s="315"/>
      <c r="AM28" s="315"/>
      <c r="AN28" s="363"/>
      <c r="AO28" s="369" t="s">
        <v>305</v>
      </c>
      <c r="AP28" s="314"/>
      <c r="AQ28" s="366"/>
      <c r="AR28" s="314"/>
      <c r="AS28" s="311"/>
      <c r="AT28" s="318">
        <v>1160000</v>
      </c>
      <c r="AU28" s="318"/>
      <c r="AV28" s="321"/>
      <c r="AW28" s="320"/>
      <c r="AX28" s="318">
        <v>100000</v>
      </c>
      <c r="AY28" s="321" t="s">
        <v>406</v>
      </c>
      <c r="AZ28" s="320">
        <v>45945</v>
      </c>
      <c r="BA28" s="318"/>
      <c r="BB28" s="321"/>
      <c r="BC28" s="322"/>
      <c r="BD28" s="299"/>
      <c r="BE28" s="299"/>
      <c r="BF28" s="323">
        <f t="shared" si="3"/>
        <v>45553</v>
      </c>
      <c r="BG28" s="324" t="str">
        <f t="shared" ca="1" si="1"/>
        <v>N/A</v>
      </c>
      <c r="BH28" s="299"/>
      <c r="BI28" s="325" t="str">
        <f t="shared" ca="1" si="4"/>
        <v>N/A</v>
      </c>
      <c r="BJ28" s="299"/>
      <c r="BK28" s="325">
        <f t="shared" ca="1" si="5"/>
        <v>0</v>
      </c>
      <c r="BL28" s="299"/>
      <c r="BM28" s="326"/>
      <c r="BN28" s="327"/>
      <c r="BO28" s="327" t="s">
        <v>363</v>
      </c>
      <c r="BP28" s="327" t="s">
        <v>317</v>
      </c>
      <c r="BQ28" s="328" t="s">
        <v>21</v>
      </c>
      <c r="BR28" s="329" t="s">
        <v>407</v>
      </c>
      <c r="BS28" s="331"/>
      <c r="BT28" s="327"/>
      <c r="BU28" s="327"/>
      <c r="BV28" s="327"/>
      <c r="BW28" s="331"/>
      <c r="BX28" s="302">
        <v>45978</v>
      </c>
      <c r="BY28" s="302"/>
      <c r="BZ28" s="302"/>
      <c r="CA28" s="295"/>
      <c r="CB28" s="332"/>
      <c r="CC28" s="332"/>
      <c r="CD28" s="332"/>
      <c r="CE28" s="333">
        <v>45362</v>
      </c>
    </row>
    <row r="29" spans="1:83" s="334" customFormat="1" ht="408.75" hidden="1" customHeight="1">
      <c r="A29" s="305">
        <v>15</v>
      </c>
      <c r="B29" s="306" t="s">
        <v>310</v>
      </c>
      <c r="C29" s="307" t="s">
        <v>408</v>
      </c>
      <c r="D29" s="308" t="s">
        <v>397</v>
      </c>
      <c r="E29" s="309" t="str" cm="1">
        <f t="array" ref="E29">IFERROR(LOOKUP(2,1/('[1]Contracts Log'!$F:$F=$D29),'[1]Contracts Log'!$G:$G),"")</f>
        <v>1.TB.01.005.01</v>
      </c>
      <c r="F29" s="309" t="str" cm="1">
        <f t="array" ref="F29">IFERROR(LOOKUP(2,1/('[1]Contracts Log'!$F:$F=$D29),'[1]Contracts Log'!$C:$C),"")</f>
        <v>Red Sea Marine Life Institute</v>
      </c>
      <c r="G29" s="309" t="str" cm="1">
        <f t="array" ref="G29">IFERROR(LOOKUP(2,1/('[1]Contracts Log'!$F:$F=$D29),'[1]Contracts Log'!$K:$K),"")</f>
        <v>Marine Life Operation Facility for Marina Village</v>
      </c>
      <c r="H29" s="309" t="str" cm="1">
        <f t="array" ref="H29">IFERROR(LOOKUP(2,1/('[1]Contracts Log'!$F:$F=$D29),'[1]Contracts Log'!$J:$J),"")</f>
        <v>Hassan Hamdi Al Harbi Contracting Est. (HASCO)</v>
      </c>
      <c r="I29" s="310"/>
      <c r="J29" s="310"/>
      <c r="K29" s="310"/>
      <c r="L29" s="310"/>
      <c r="M29" s="310"/>
      <c r="N29" s="310">
        <v>1</v>
      </c>
      <c r="O29" s="240"/>
      <c r="P29" s="335"/>
      <c r="Q29" s="240"/>
      <c r="R29" s="312"/>
      <c r="S29" s="313"/>
      <c r="T29" s="347"/>
      <c r="U29" s="240"/>
      <c r="V29" s="335" t="s">
        <v>398</v>
      </c>
      <c r="W29" s="240">
        <v>45326</v>
      </c>
      <c r="X29" s="312" t="s">
        <v>351</v>
      </c>
      <c r="Y29" s="313" t="s">
        <v>324</v>
      </c>
      <c r="Z29" s="335" t="s">
        <v>399</v>
      </c>
      <c r="AA29" s="240">
        <v>45364</v>
      </c>
      <c r="AB29" s="240"/>
      <c r="AC29" s="240"/>
      <c r="AD29" s="335" t="s">
        <v>405</v>
      </c>
      <c r="AE29" s="240">
        <v>45553</v>
      </c>
      <c r="AF29" s="316"/>
      <c r="AG29" s="315"/>
      <c r="AH29" s="315"/>
      <c r="AI29" s="315"/>
      <c r="AJ29" s="363"/>
      <c r="AK29" s="311"/>
      <c r="AL29" s="315"/>
      <c r="AM29" s="315"/>
      <c r="AN29" s="363"/>
      <c r="AO29" s="369" t="s">
        <v>305</v>
      </c>
      <c r="AP29" s="314"/>
      <c r="AQ29" s="366"/>
      <c r="AR29" s="314"/>
      <c r="AS29" s="311"/>
      <c r="AT29" s="318">
        <v>973534.92</v>
      </c>
      <c r="AU29" s="318"/>
      <c r="AV29" s="321"/>
      <c r="AW29" s="320"/>
      <c r="AX29" s="318"/>
      <c r="AY29" s="321"/>
      <c r="AZ29" s="320"/>
      <c r="BA29" s="318"/>
      <c r="BB29" s="321"/>
      <c r="BC29" s="322"/>
      <c r="BD29" s="299"/>
      <c r="BE29" s="299"/>
      <c r="BF29" s="323">
        <f t="shared" si="3"/>
        <v>45553</v>
      </c>
      <c r="BG29" s="324" t="str">
        <f t="shared" ca="1" si="1"/>
        <v>N/A</v>
      </c>
      <c r="BH29" s="299"/>
      <c r="BI29" s="325" t="str">
        <f t="shared" ca="1" si="4"/>
        <v>N/A</v>
      </c>
      <c r="BJ29" s="299"/>
      <c r="BK29" s="325">
        <f t="shared" ca="1" si="5"/>
        <v>0</v>
      </c>
      <c r="BL29" s="299"/>
      <c r="BM29" s="326"/>
      <c r="BN29" s="327"/>
      <c r="BO29" s="327" t="s">
        <v>363</v>
      </c>
      <c r="BP29" s="327" t="s">
        <v>317</v>
      </c>
      <c r="BQ29" s="328" t="s">
        <v>21</v>
      </c>
      <c r="BR29" s="329" t="s">
        <v>409</v>
      </c>
      <c r="BS29" s="331"/>
      <c r="BT29" s="327"/>
      <c r="BU29" s="327"/>
      <c r="BV29" s="327"/>
      <c r="BW29" s="331"/>
      <c r="BX29" s="302">
        <v>45978</v>
      </c>
      <c r="BY29" s="302"/>
      <c r="BZ29" s="302"/>
      <c r="CA29" s="295"/>
      <c r="CB29" s="332"/>
      <c r="CC29" s="332"/>
      <c r="CD29" s="332"/>
      <c r="CE29" s="333">
        <v>45362</v>
      </c>
    </row>
    <row r="30" spans="1:83" s="334" customFormat="1" ht="408.75" hidden="1" customHeight="1">
      <c r="A30" s="305">
        <v>16</v>
      </c>
      <c r="B30" s="306" t="s">
        <v>299</v>
      </c>
      <c r="C30" s="307" t="s">
        <v>410</v>
      </c>
      <c r="D30" s="308" t="s">
        <v>411</v>
      </c>
      <c r="E30" s="309" t="s">
        <v>412</v>
      </c>
      <c r="F30" s="309" t="str" cm="1">
        <f t="array" ref="F30">IFERROR(LOOKUP(2,1/('[1]Contracts Log'!$F:$F=$D30),'[1]Contracts Log'!$C:$C),"")</f>
        <v>Marina Hotel 3</v>
      </c>
      <c r="G30" s="309" t="str" cm="1">
        <f t="array" ref="G30">IFERROR(LOOKUP(2,1/('[1]Contracts Log'!$F:$F=$D30),'[1]Contracts Log'!$K:$K),"")</f>
        <v>Concrete, Civil, Structural Steel and Builders Works - Phase 2</v>
      </c>
      <c r="H30" s="309" t="str" cm="1">
        <f t="array" ref="H30">IFERROR(LOOKUP(2,1/('[1]Contracts Log'!$F:$F=$D30),'[1]Contracts Log'!$J:$J),"")</f>
        <v>Hassan Allam Construction Saudi Limited</v>
      </c>
      <c r="I30" s="310">
        <v>1</v>
      </c>
      <c r="J30" s="310"/>
      <c r="K30" s="310"/>
      <c r="L30" s="310"/>
      <c r="M30" s="310"/>
      <c r="N30" s="310"/>
      <c r="O30" s="240"/>
      <c r="P30" s="335"/>
      <c r="Q30" s="240"/>
      <c r="R30" s="312" t="str">
        <f>IF(AND(Q30&lt;&gt;0, O30&lt;&gt;0),NETWORKDAYS(O30,Q30),"")</f>
        <v/>
      </c>
      <c r="S30" s="313"/>
      <c r="T30" s="347"/>
      <c r="U30" s="240"/>
      <c r="V30" s="335" t="s">
        <v>413</v>
      </c>
      <c r="W30" s="240">
        <v>45416</v>
      </c>
      <c r="X30" s="312" t="s">
        <v>351</v>
      </c>
      <c r="Y30" s="313" t="s">
        <v>324</v>
      </c>
      <c r="Z30" s="335" t="s">
        <v>414</v>
      </c>
      <c r="AA30" s="240">
        <v>45423</v>
      </c>
      <c r="AB30" s="240"/>
      <c r="AC30" s="240"/>
      <c r="AD30" s="335" t="s">
        <v>415</v>
      </c>
      <c r="AE30" s="240">
        <v>45544</v>
      </c>
      <c r="AF30" s="316">
        <v>23</v>
      </c>
      <c r="AG30" s="315"/>
      <c r="AH30" s="315"/>
      <c r="AI30" s="315"/>
      <c r="AJ30" s="363"/>
      <c r="AK30" s="311"/>
      <c r="AL30" s="315"/>
      <c r="AM30" s="315"/>
      <c r="AN30" s="365" t="s">
        <v>305</v>
      </c>
      <c r="AO30" s="365" t="s">
        <v>305</v>
      </c>
      <c r="AP30" s="314"/>
      <c r="AQ30" s="366"/>
      <c r="AR30" s="314"/>
      <c r="AS30" s="311"/>
      <c r="AT30" s="318"/>
      <c r="AU30" s="318"/>
      <c r="AV30" s="321"/>
      <c r="AW30" s="320"/>
      <c r="AX30" s="318"/>
      <c r="AY30" s="321"/>
      <c r="AZ30" s="320"/>
      <c r="BA30" s="318"/>
      <c r="BB30" s="321"/>
      <c r="BC30" s="322"/>
      <c r="BD30" s="299" t="s">
        <v>416</v>
      </c>
      <c r="BE30" s="299"/>
      <c r="BF30" s="323">
        <f t="shared" si="3"/>
        <v>45544</v>
      </c>
      <c r="BG30" s="324" t="str">
        <f t="shared" ca="1" si="1"/>
        <v>N/A</v>
      </c>
      <c r="BH30" s="299"/>
      <c r="BI30" s="325">
        <f t="shared" ca="1" si="4"/>
        <v>0</v>
      </c>
      <c r="BJ30" s="299"/>
      <c r="BK30" s="325">
        <f t="shared" ca="1" si="5"/>
        <v>0</v>
      </c>
      <c r="BL30" s="299"/>
      <c r="BM30" s="326"/>
      <c r="BN30" s="327"/>
      <c r="BO30" s="327" t="s">
        <v>363</v>
      </c>
      <c r="BP30" s="327" t="s">
        <v>221</v>
      </c>
      <c r="BQ30" s="328" t="s">
        <v>21</v>
      </c>
      <c r="BR30" s="329" t="s">
        <v>417</v>
      </c>
      <c r="BS30" s="331"/>
      <c r="BT30" s="327"/>
      <c r="BU30" s="327"/>
      <c r="BV30" s="327"/>
      <c r="BW30" s="331"/>
      <c r="BX30" s="302">
        <v>45648</v>
      </c>
      <c r="BY30" s="302"/>
      <c r="BZ30" s="302"/>
      <c r="CA30" s="295"/>
      <c r="CB30" s="332">
        <v>45251</v>
      </c>
      <c r="CC30" s="332">
        <f>CB30+479-1</f>
        <v>45729</v>
      </c>
      <c r="CD30" s="332">
        <f>IF(CC30="","",IF(AND(CC30&lt;&gt;"",AP30=""),CC30,IF(AND(CC30&lt;&gt;"",AP30&lt;&gt;""),AP30+CC30)))</f>
        <v>45729</v>
      </c>
      <c r="CE30" s="333">
        <v>45362</v>
      </c>
    </row>
    <row r="31" spans="1:83" s="334" customFormat="1" ht="408.75" hidden="1" customHeight="1">
      <c r="A31" s="305">
        <v>17</v>
      </c>
      <c r="B31" s="306" t="s">
        <v>310</v>
      </c>
      <c r="C31" s="307" t="s">
        <v>418</v>
      </c>
      <c r="D31" s="308" t="s">
        <v>388</v>
      </c>
      <c r="E31" s="309" t="str" cm="1">
        <f t="array" ref="E31">IFERROR(LOOKUP(2,1/('[1]Contracts Log'!$F:$F=$D31),'[1]Contracts Log'!$G:$G),"")</f>
        <v>1.TB.01.003.01</v>
      </c>
      <c r="F31" s="309" t="str" cm="1">
        <f t="array" ref="F31">IFERROR(LOOKUP(2,1/('[1]Contracts Log'!$F:$F=$D31),'[1]Contracts Log'!$C:$C),"")</f>
        <v xml:space="preserve">AMAALA Yacht Club </v>
      </c>
      <c r="G31" s="309" t="str" cm="1">
        <f t="array" ref="G31">IFERROR(LOOKUP(2,1/('[1]Contracts Log'!$F:$F=$D31),'[1]Contracts Log'!$K:$K),"")</f>
        <v>Construction Contract - Site Enabling, Civil Works, Structural Concrete, Structural Steel, BOH Finishes, Building Envelope, MEP Including Tertiary Infrastructure &amp; ICT/ELV</v>
      </c>
      <c r="H31" s="309" t="str" cm="1">
        <f t="array" ref="H31">IFERROR(LOOKUP(2,1/('[1]Contracts Log'!$F:$F=$D31),'[1]Contracts Log'!$J:$J),"")</f>
        <v>Saudi Arabian Baytur Construction Company</v>
      </c>
      <c r="I31" s="310"/>
      <c r="J31" s="310"/>
      <c r="K31" s="310"/>
      <c r="L31" s="310"/>
      <c r="M31" s="310"/>
      <c r="N31" s="310">
        <v>1</v>
      </c>
      <c r="O31" s="240">
        <v>45335</v>
      </c>
      <c r="P31" s="335" t="s">
        <v>419</v>
      </c>
      <c r="Q31" s="240">
        <v>45335</v>
      </c>
      <c r="R31" s="312">
        <f>IF(AND(Q31&lt;&gt;0, O31&lt;&gt;0),NETWORKDAYS(O31,Q31),"")</f>
        <v>1</v>
      </c>
      <c r="S31" s="313"/>
      <c r="T31" s="347"/>
      <c r="U31" s="240"/>
      <c r="V31" s="370" t="s">
        <v>420</v>
      </c>
      <c r="W31" s="371">
        <v>45314</v>
      </c>
      <c r="X31" s="312">
        <v>-16</v>
      </c>
      <c r="Y31" s="313" t="s">
        <v>303</v>
      </c>
      <c r="Z31" s="370" t="s">
        <v>421</v>
      </c>
      <c r="AA31" s="371">
        <v>45320</v>
      </c>
      <c r="AB31" s="371"/>
      <c r="AC31" s="371"/>
      <c r="AD31" s="370"/>
      <c r="AE31" s="371"/>
      <c r="AF31" s="313"/>
      <c r="AG31" s="313"/>
      <c r="AH31" s="313"/>
      <c r="AI31" s="313"/>
      <c r="AJ31" s="336"/>
      <c r="AK31" s="320"/>
      <c r="AL31" s="313"/>
      <c r="AM31" s="313"/>
      <c r="AN31" s="351" t="s">
        <v>305</v>
      </c>
      <c r="AO31" s="351" t="s">
        <v>305</v>
      </c>
      <c r="AP31" s="321"/>
      <c r="AQ31" s="352"/>
      <c r="AR31" s="321"/>
      <c r="AS31" s="320"/>
      <c r="AT31" s="318" t="s">
        <v>305</v>
      </c>
      <c r="AU31" s="318"/>
      <c r="AV31" s="321"/>
      <c r="AW31" s="320"/>
      <c r="AX31" s="318"/>
      <c r="AY31" s="351" t="s">
        <v>305</v>
      </c>
      <c r="AZ31" s="351" t="s">
        <v>305</v>
      </c>
      <c r="BA31" s="318"/>
      <c r="BB31" s="321"/>
      <c r="BC31" s="322"/>
      <c r="BD31" s="299" t="s">
        <v>422</v>
      </c>
      <c r="BE31" s="299"/>
      <c r="BF31" s="323">
        <f t="shared" si="3"/>
        <v>45314</v>
      </c>
      <c r="BG31" s="324" t="str">
        <f t="shared" ca="1" si="1"/>
        <v>N/A</v>
      </c>
      <c r="BH31" s="299"/>
      <c r="BI31" s="325" t="str">
        <f t="shared" ca="1" si="4"/>
        <v>N/A</v>
      </c>
      <c r="BJ31" s="299"/>
      <c r="BK31" s="325">
        <f t="shared" ca="1" si="5"/>
        <v>0</v>
      </c>
      <c r="BL31" s="299"/>
      <c r="BM31" s="326"/>
      <c r="BN31" s="372"/>
      <c r="BO31" s="327" t="s">
        <v>363</v>
      </c>
      <c r="BP31" s="327" t="s">
        <v>20</v>
      </c>
      <c r="BQ31" s="328" t="s">
        <v>37</v>
      </c>
      <c r="BR31" s="329" t="s">
        <v>423</v>
      </c>
      <c r="BS31" s="331"/>
      <c r="BT31" s="327"/>
      <c r="BU31" s="327"/>
      <c r="BV31" s="327" t="s">
        <v>347</v>
      </c>
      <c r="BW31" s="331"/>
      <c r="BX31" s="302"/>
      <c r="BY31" s="302"/>
      <c r="BZ31" s="302"/>
      <c r="CA31" s="295"/>
      <c r="CB31" s="332"/>
      <c r="CC31" s="332"/>
      <c r="CD31" s="332" t="str">
        <f>IF(CC31="","",IF(AND(CC31&lt;&gt;"",AP31=""),CC31,IF(AND(CC31&lt;&gt;"",AP31&lt;&gt;""),AP31+CC31)))</f>
        <v/>
      </c>
      <c r="CE31" s="333">
        <v>45376</v>
      </c>
    </row>
    <row r="32" spans="1:83" s="334" customFormat="1" ht="409.5" hidden="1" customHeight="1">
      <c r="A32" s="305">
        <v>18</v>
      </c>
      <c r="B32" s="306" t="s">
        <v>299</v>
      </c>
      <c r="C32" s="307" t="s">
        <v>424</v>
      </c>
      <c r="D32" s="308" t="s">
        <v>425</v>
      </c>
      <c r="E32" s="309" t="str" cm="1">
        <f t="array" ref="E32">IFERROR(LOOKUP(2,1/('[1]Contracts Log'!$F:$F=$D32),'[1]Contracts Log'!$G:$G),"")</f>
        <v>1.TB.01.100.00</v>
      </c>
      <c r="F32" s="309" t="str" cm="1">
        <f t="array" ref="F32">IFERROR(LOOKUP(2,1/('[1]Contracts Log'!$F:$F=$D32),'[1]Contracts Log'!$C:$C),"")</f>
        <v>Marina Village - Wide</v>
      </c>
      <c r="G32" s="309" t="str" cm="1">
        <f t="array" ref="G32">IFERROR(LOOKUP(2,1/('[1]Contracts Log'!$F:$F=$D32),'[1]Contracts Log'!$K:$K),"")</f>
        <v>Site Offices and Welfare Facilities Design, Supply and Installation Package for AMAALA Triple Bay (Call off Order No: 010)</v>
      </c>
      <c r="H32" s="309" t="str" cm="1">
        <f t="array" ref="H32">IFERROR(LOOKUP(2,1/('[1]Contracts Log'!$F:$F=$D32),'[1]Contracts Log'!$J:$J),"")</f>
        <v>Al Masaood Bergum L.L.C - Dubai Branch</v>
      </c>
      <c r="I32" s="310">
        <v>1</v>
      </c>
      <c r="J32" s="310"/>
      <c r="K32" s="310"/>
      <c r="L32" s="310"/>
      <c r="M32" s="310"/>
      <c r="N32" s="310"/>
      <c r="O32" s="240">
        <v>45335</v>
      </c>
      <c r="P32" s="335" t="s">
        <v>419</v>
      </c>
      <c r="Q32" s="240">
        <v>45335</v>
      </c>
      <c r="R32" s="312">
        <f>IF(AND(Q32&lt;&gt;0, O32&lt;&gt;0),NETWORKDAYS(O32,Q32),"")</f>
        <v>1</v>
      </c>
      <c r="S32" s="313"/>
      <c r="T32" s="347"/>
      <c r="U32" s="240"/>
      <c r="V32" s="308" t="s">
        <v>426</v>
      </c>
      <c r="W32" s="240">
        <v>45374</v>
      </c>
      <c r="X32" s="312">
        <v>29</v>
      </c>
      <c r="Y32" s="313" t="s">
        <v>303</v>
      </c>
      <c r="Z32" s="335" t="s">
        <v>427</v>
      </c>
      <c r="AA32" s="240">
        <v>45398</v>
      </c>
      <c r="AB32" s="240"/>
      <c r="AC32" s="240"/>
      <c r="AD32" s="335" t="s">
        <v>428</v>
      </c>
      <c r="AE32" s="240">
        <v>45775</v>
      </c>
      <c r="AF32" s="316"/>
      <c r="AG32" s="316"/>
      <c r="AH32" s="315"/>
      <c r="AI32" s="315"/>
      <c r="AJ32" s="363"/>
      <c r="AK32" s="311"/>
      <c r="AL32" s="315"/>
      <c r="AM32" s="315"/>
      <c r="AN32" s="365"/>
      <c r="AO32" s="311" t="s">
        <v>305</v>
      </c>
      <c r="AP32" s="314"/>
      <c r="AQ32" s="366"/>
      <c r="AR32" s="314"/>
      <c r="AS32" s="311"/>
      <c r="AT32" s="318"/>
      <c r="AU32" s="318"/>
      <c r="AV32" s="321"/>
      <c r="AW32" s="320"/>
      <c r="AX32" s="318"/>
      <c r="AY32" s="321"/>
      <c r="AZ32" s="320"/>
      <c r="BA32" s="318"/>
      <c r="BB32" s="321"/>
      <c r="BC32" s="322"/>
      <c r="BD32" s="299" t="s">
        <v>429</v>
      </c>
      <c r="BE32" s="299"/>
      <c r="BF32" s="323">
        <f t="shared" si="3"/>
        <v>45775</v>
      </c>
      <c r="BG32" s="324" t="str">
        <f t="shared" ca="1" si="1"/>
        <v>N/A</v>
      </c>
      <c r="BH32" s="299"/>
      <c r="BI32" s="325">
        <f t="shared" ca="1" si="4"/>
        <v>0</v>
      </c>
      <c r="BJ32" s="299"/>
      <c r="BK32" s="325">
        <f t="shared" ca="1" si="5"/>
        <v>0</v>
      </c>
      <c r="BL32" s="299"/>
      <c r="BM32" s="326"/>
      <c r="BN32" s="327"/>
      <c r="BO32" s="327" t="s">
        <v>363</v>
      </c>
      <c r="BP32" s="327" t="s">
        <v>221</v>
      </c>
      <c r="BQ32" s="328" t="s">
        <v>21</v>
      </c>
      <c r="BR32" s="329" t="s">
        <v>430</v>
      </c>
      <c r="BS32" s="331"/>
      <c r="BT32" s="327"/>
      <c r="BU32" s="327"/>
      <c r="BV32" s="327"/>
      <c r="BW32" s="331"/>
      <c r="BX32" s="302">
        <v>46054</v>
      </c>
      <c r="BY32" s="302"/>
      <c r="BZ32" s="302"/>
      <c r="CA32" s="295"/>
      <c r="CB32" s="332"/>
      <c r="CC32" s="332"/>
      <c r="CD32" s="332" t="str">
        <f>IF(CC32="","",IF(AND(CC32&lt;&gt;"",AP32=""),CC32,IF(AND(CC32&lt;&gt;"",AP32&lt;&gt;""),AP32+CC32)))</f>
        <v/>
      </c>
      <c r="CE32" s="333">
        <v>45376</v>
      </c>
    </row>
    <row r="33" spans="1:84" s="334" customFormat="1" ht="409.5" hidden="1" customHeight="1">
      <c r="A33" s="373">
        <v>19</v>
      </c>
      <c r="B33" s="306" t="s">
        <v>299</v>
      </c>
      <c r="C33" s="307" t="s">
        <v>431</v>
      </c>
      <c r="D33" s="308" t="s">
        <v>432</v>
      </c>
      <c r="E33" s="309" t="str" cm="1">
        <f t="array" ref="E33">IFERROR(LOOKUP(2,1/('[1]Contracts Log'!$F:$F=$D33),'[1]Contracts Log'!$G:$G),"")</f>
        <v>1.TB.01.002.99</v>
      </c>
      <c r="F33" s="309" t="str" cm="1">
        <f t="array" ref="F33">IFERROR(LOOKUP(2,1/('[1]Contracts Log'!$F:$F=$D33),'[1]Contracts Log'!$C:$C),"")</f>
        <v>Marina Lifestyle Hotel &amp; Village</v>
      </c>
      <c r="G33" s="309" t="str" cm="1">
        <f t="array" ref="G33">IFERROR(LOOKUP(2,1/('[1]Contracts Log'!$F:$F=$D33),'[1]Contracts Log'!$K:$K),"")</f>
        <v>Builders Works Package for Marina Lifestyle Hotel</v>
      </c>
      <c r="H33" s="309" t="str" cm="1">
        <f t="array" ref="H33">IFERROR(LOOKUP(2,1/('[1]Contracts Log'!$F:$F=$D33),'[1]Contracts Log'!$J:$J),"")</f>
        <v>Shandong Tiejun Electric Power Engineering Co. LTD. Branch</v>
      </c>
      <c r="I33" s="310">
        <v>1</v>
      </c>
      <c r="J33" s="310"/>
      <c r="K33" s="310"/>
      <c r="L33" s="310"/>
      <c r="M33" s="310"/>
      <c r="N33" s="310"/>
      <c r="O33" s="240"/>
      <c r="P33" s="335"/>
      <c r="Q33" s="240"/>
      <c r="R33" s="312" t="str">
        <f>IF(AND(Q33&lt;&gt;0, O33&lt;&gt;0),NETWORKDAYS(O33,Q33),"")</f>
        <v/>
      </c>
      <c r="S33" s="313"/>
      <c r="T33" s="347"/>
      <c r="U33" s="240"/>
      <c r="V33" s="335" t="s">
        <v>433</v>
      </c>
      <c r="W33" s="240">
        <v>45389</v>
      </c>
      <c r="X33" s="312" t="s">
        <v>351</v>
      </c>
      <c r="Y33" s="313" t="s">
        <v>324</v>
      </c>
      <c r="Z33" s="335" t="s">
        <v>434</v>
      </c>
      <c r="AA33" s="240">
        <v>45440</v>
      </c>
      <c r="AB33" s="240"/>
      <c r="AC33" s="240"/>
      <c r="AD33" s="335" t="s">
        <v>435</v>
      </c>
      <c r="AE33" s="240">
        <v>46237</v>
      </c>
      <c r="AF33" s="315">
        <v>169</v>
      </c>
      <c r="AG33" s="315">
        <v>169</v>
      </c>
      <c r="AH33" s="315"/>
      <c r="AI33" s="315"/>
      <c r="AJ33" s="363"/>
      <c r="AK33" s="311"/>
      <c r="AL33" s="315"/>
      <c r="AM33" s="315"/>
      <c r="AN33" s="374"/>
      <c r="AO33" s="302"/>
      <c r="AP33" s="314"/>
      <c r="AQ33" s="366"/>
      <c r="AR33" s="314"/>
      <c r="AS33" s="311"/>
      <c r="AT33" s="318"/>
      <c r="AU33" s="318"/>
      <c r="AV33" s="321"/>
      <c r="AW33" s="320"/>
      <c r="AX33" s="318"/>
      <c r="AY33" s="321"/>
      <c r="AZ33" s="320"/>
      <c r="BA33" s="318"/>
      <c r="BB33" s="321"/>
      <c r="BC33" s="322"/>
      <c r="BD33" s="299" t="s">
        <v>436</v>
      </c>
      <c r="BE33" s="299"/>
      <c r="BF33" s="323">
        <f t="shared" si="3"/>
        <v>46237</v>
      </c>
      <c r="BG33" s="324">
        <f t="shared" ca="1" si="1"/>
        <v>50</v>
      </c>
      <c r="BH33" s="375">
        <v>46287</v>
      </c>
      <c r="BI33" s="325">
        <f t="shared" ca="1" si="4"/>
        <v>13</v>
      </c>
      <c r="BJ33" s="299"/>
      <c r="BK33" s="325">
        <f t="shared" ca="1" si="5"/>
        <v>0</v>
      </c>
      <c r="BL33" s="299"/>
      <c r="BM33" s="326"/>
      <c r="BN33" s="360"/>
      <c r="BO33" s="327" t="s">
        <v>437</v>
      </c>
      <c r="BP33" s="327" t="s">
        <v>20</v>
      </c>
      <c r="BQ33" s="328" t="s">
        <v>45</v>
      </c>
      <c r="BR33" s="329" t="s">
        <v>1075</v>
      </c>
      <c r="BS33" s="331"/>
      <c r="BT33" s="327"/>
      <c r="BU33" s="327"/>
      <c r="BV33" s="327"/>
      <c r="BW33" s="331"/>
      <c r="BX33" s="302"/>
      <c r="BY33" s="302"/>
      <c r="BZ33" s="302"/>
      <c r="CA33" s="295"/>
      <c r="CB33" s="332"/>
      <c r="CC33" s="332"/>
      <c r="CD33" s="332" t="str">
        <f>IF(CC33="","",IF(AND(CC33&lt;&gt;"",AP33=""),CC33,IF(AND(CC33&lt;&gt;"",AP33&lt;&gt;""),AP33+CC33)))</f>
        <v/>
      </c>
      <c r="CE33" s="333">
        <v>45404</v>
      </c>
    </row>
    <row r="34" spans="1:84" s="334" customFormat="1" ht="409.5" hidden="1" customHeight="1">
      <c r="A34" s="373">
        <v>20</v>
      </c>
      <c r="B34" s="306" t="s">
        <v>299</v>
      </c>
      <c r="C34" s="307" t="s">
        <v>438</v>
      </c>
      <c r="D34" s="308" t="s">
        <v>439</v>
      </c>
      <c r="E34" s="309" t="str" cm="1">
        <f t="array" ref="E34">IFERROR(LOOKUP(2,1/('[1]Contracts Log'!$F:$F=$D34),'[1]Contracts Log'!$G:$G),"")</f>
        <v>1.TB.01.002.03</v>
      </c>
      <c r="F34" s="309" t="str" cm="1">
        <f t="array" ref="F34">IFERROR(LOOKUP(2,1/('[1]Contracts Log'!$F:$F=$D34),'[1]Contracts Log'!$C:$C),"")</f>
        <v>Marina Lifestyle Hotel &amp; Village</v>
      </c>
      <c r="G34" s="309" t="str" cm="1">
        <f t="array" ref="G34">IFERROR(LOOKUP(2,1/('[1]Contracts Log'!$F:$F=$D34),'[1]Contracts Log'!$K:$K),"")</f>
        <v>Concrete Structure and Civil Works for Marina Lifestyle Hotel</v>
      </c>
      <c r="H34" s="309" t="str" cm="1">
        <f t="array" ref="H34">IFERROR(LOOKUP(2,1/('[1]Contracts Log'!$F:$F=$D34),'[1]Contracts Log'!$J:$J),"")</f>
        <v>MAS Engineering &amp; Construction Company LTD</v>
      </c>
      <c r="I34" s="310">
        <v>1</v>
      </c>
      <c r="J34" s="310"/>
      <c r="K34" s="310"/>
      <c r="L34" s="310"/>
      <c r="M34" s="310"/>
      <c r="N34" s="310"/>
      <c r="O34" s="240"/>
      <c r="P34" s="335"/>
      <c r="Q34" s="240"/>
      <c r="R34" s="312" t="str">
        <f>IF(AND(Q34&lt;&gt;0, O34&lt;&gt;0),NETWORKDAYS(O34,Q34),"")</f>
        <v/>
      </c>
      <c r="S34" s="313"/>
      <c r="T34" s="347"/>
      <c r="U34" s="240"/>
      <c r="V34" s="335" t="s">
        <v>440</v>
      </c>
      <c r="W34" s="240">
        <v>45385</v>
      </c>
      <c r="X34" s="312" t="s">
        <v>351</v>
      </c>
      <c r="Y34" s="313" t="s">
        <v>324</v>
      </c>
      <c r="Z34" s="335" t="s">
        <v>441</v>
      </c>
      <c r="AA34" s="240">
        <v>45445</v>
      </c>
      <c r="AB34" s="240"/>
      <c r="AC34" s="240"/>
      <c r="AD34" s="335" t="s">
        <v>442</v>
      </c>
      <c r="AE34" s="240">
        <v>45811</v>
      </c>
      <c r="AF34" s="315"/>
      <c r="AG34" s="315"/>
      <c r="AH34" s="315"/>
      <c r="AI34" s="315"/>
      <c r="AJ34" s="363"/>
      <c r="AK34" s="311"/>
      <c r="AL34" s="315"/>
      <c r="AM34" s="315"/>
      <c r="AN34" s="365" t="s">
        <v>443</v>
      </c>
      <c r="AO34" s="311">
        <v>45914</v>
      </c>
      <c r="AP34" s="314"/>
      <c r="AQ34" s="366"/>
      <c r="AR34" s="314"/>
      <c r="AS34" s="311"/>
      <c r="AT34" s="318"/>
      <c r="AU34" s="318"/>
      <c r="AV34" s="321"/>
      <c r="AW34" s="320"/>
      <c r="AX34" s="318"/>
      <c r="AY34" s="321"/>
      <c r="AZ34" s="320"/>
      <c r="BA34" s="318"/>
      <c r="BB34" s="321"/>
      <c r="BC34" s="322"/>
      <c r="BD34" s="367" t="s">
        <v>444</v>
      </c>
      <c r="BE34" s="367"/>
      <c r="BF34" s="323">
        <f t="shared" si="3"/>
        <v>45811</v>
      </c>
      <c r="BG34" s="324" t="str">
        <f t="shared" ca="1" si="1"/>
        <v>N/A</v>
      </c>
      <c r="BH34" s="299"/>
      <c r="BI34" s="325">
        <f t="shared" ca="1" si="4"/>
        <v>0</v>
      </c>
      <c r="BJ34" s="299"/>
      <c r="BK34" s="325">
        <f t="shared" ca="1" si="5"/>
        <v>0</v>
      </c>
      <c r="BL34" s="299"/>
      <c r="BM34" s="326"/>
      <c r="BN34" s="327"/>
      <c r="BO34" s="327" t="s">
        <v>220</v>
      </c>
      <c r="BP34" s="327" t="s">
        <v>376</v>
      </c>
      <c r="BQ34" s="328" t="s">
        <v>21</v>
      </c>
      <c r="BR34" s="329" t="s">
        <v>445</v>
      </c>
      <c r="BS34" s="331"/>
      <c r="BT34" s="327"/>
      <c r="BU34" s="327"/>
      <c r="BV34" s="327"/>
      <c r="BW34" s="331"/>
      <c r="BX34" s="302">
        <v>45914</v>
      </c>
      <c r="BY34" s="302"/>
      <c r="BZ34" s="302"/>
      <c r="CA34" s="295"/>
      <c r="CB34" s="332"/>
      <c r="CC34" s="332"/>
      <c r="CD34" s="332" t="str">
        <f>IF(CC34="","",IF(AND(CC34&lt;&gt;"",AP34=""),CC34,IF(AND(CC34&lt;&gt;"",AP34&lt;&gt;""),AP34+CC34)))</f>
        <v/>
      </c>
      <c r="CE34" s="333">
        <v>45404</v>
      </c>
    </row>
    <row r="35" spans="1:84" s="404" customFormat="1" ht="156" hidden="1" customHeight="1">
      <c r="A35" s="376">
        <v>21</v>
      </c>
      <c r="B35" s="306" t="s">
        <v>299</v>
      </c>
      <c r="C35" s="377" t="s">
        <v>446</v>
      </c>
      <c r="D35" s="378" t="s">
        <v>339</v>
      </c>
      <c r="E35" s="379" t="str" cm="1">
        <f t="array" ref="E35">IFERROR(LOOKUP(2,1/('[1]Contracts Log'!$F:$F=$D35),'[1]Contracts Log'!$G:$G),"")</f>
        <v>1.TB.01.006.99</v>
      </c>
      <c r="F35" s="379" t="str" cm="1">
        <f t="array" ref="F35">IFERROR(LOOKUP(2,1/('[1]Contracts Log'!$F:$F=$D35),'[1]Contracts Log'!$C:$C),"")</f>
        <v>Village Boutique Hotel</v>
      </c>
      <c r="G35" s="379" t="str" cm="1">
        <f t="array" ref="G35">IFERROR(LOOKUP(2,1/('[1]Contracts Log'!$F:$F=$D35),'[1]Contracts Log'!$K:$K),"")</f>
        <v>Concrete Structure and Civil Works for Village Boutique Hotel</v>
      </c>
      <c r="H35" s="379" t="str" cm="1">
        <f t="array" ref="H35">IFERROR(LOOKUP(2,1/('[1]Contracts Log'!$F:$F=$D35),'[1]Contracts Log'!$J:$J),"")</f>
        <v>Mounes Mohamed Al Shayeb and Partners for Civil Construction - MOBCO</v>
      </c>
      <c r="I35" s="310">
        <v>1</v>
      </c>
      <c r="J35" s="310"/>
      <c r="K35" s="310"/>
      <c r="L35" s="310"/>
      <c r="M35" s="310"/>
      <c r="N35" s="310"/>
      <c r="O35" s="380"/>
      <c r="P35" s="381"/>
      <c r="Q35" s="380"/>
      <c r="R35" s="382"/>
      <c r="S35" s="383"/>
      <c r="T35" s="384"/>
      <c r="U35" s="380"/>
      <c r="V35" s="381" t="s">
        <v>447</v>
      </c>
      <c r="W35" s="380">
        <v>45387</v>
      </c>
      <c r="X35" s="382"/>
      <c r="Y35" s="383"/>
      <c r="Z35" s="380" t="s">
        <v>305</v>
      </c>
      <c r="AA35" s="380" t="s">
        <v>305</v>
      </c>
      <c r="AB35" s="380"/>
      <c r="AC35" s="380"/>
      <c r="AD35" s="381"/>
      <c r="AE35" s="380"/>
      <c r="AF35" s="385"/>
      <c r="AG35" s="385"/>
      <c r="AH35" s="385"/>
      <c r="AI35" s="385"/>
      <c r="AJ35" s="386"/>
      <c r="AK35" s="387"/>
      <c r="AL35" s="385"/>
      <c r="AM35" s="385"/>
      <c r="AN35" s="388" t="s">
        <v>354</v>
      </c>
      <c r="AO35" s="387" t="s">
        <v>305</v>
      </c>
      <c r="AP35" s="389"/>
      <c r="AQ35" s="390"/>
      <c r="AR35" s="389" t="s">
        <v>354</v>
      </c>
      <c r="AS35" s="387" t="s">
        <v>305</v>
      </c>
      <c r="AT35" s="391"/>
      <c r="AU35" s="391"/>
      <c r="AV35" s="392"/>
      <c r="AW35" s="393"/>
      <c r="AX35" s="391"/>
      <c r="AY35" s="392"/>
      <c r="AZ35" s="393"/>
      <c r="BA35" s="391"/>
      <c r="BB35" s="392"/>
      <c r="BC35" s="394"/>
      <c r="BD35" s="395"/>
      <c r="BE35" s="395"/>
      <c r="BF35" s="323">
        <f t="shared" si="3"/>
        <v>45387</v>
      </c>
      <c r="BG35" s="324" t="str">
        <f t="shared" ca="1" si="1"/>
        <v>N/A</v>
      </c>
      <c r="BH35" s="299"/>
      <c r="BI35" s="325">
        <f t="shared" ca="1" si="4"/>
        <v>0</v>
      </c>
      <c r="BJ35" s="299"/>
      <c r="BK35" s="325">
        <f t="shared" ca="1" si="5"/>
        <v>0</v>
      </c>
      <c r="BL35" s="299"/>
      <c r="BM35" s="396"/>
      <c r="BN35" s="327"/>
      <c r="BO35" s="372" t="s">
        <v>354</v>
      </c>
      <c r="BP35" s="372" t="s">
        <v>354</v>
      </c>
      <c r="BQ35" s="328" t="s">
        <v>21</v>
      </c>
      <c r="BR35" s="397" t="s">
        <v>448</v>
      </c>
      <c r="BS35" s="398"/>
      <c r="BT35" s="399"/>
      <c r="BU35" s="399"/>
      <c r="BV35" s="399"/>
      <c r="BW35" s="398"/>
      <c r="BX35" s="400">
        <v>45413</v>
      </c>
      <c r="BY35" s="400"/>
      <c r="BZ35" s="400"/>
      <c r="CA35" s="401"/>
      <c r="CB35" s="402"/>
      <c r="CC35" s="402"/>
      <c r="CD35" s="402"/>
      <c r="CE35" s="403">
        <v>45404</v>
      </c>
    </row>
    <row r="36" spans="1:84" s="334" customFormat="1" ht="408.75" hidden="1" customHeight="1">
      <c r="A36" s="373">
        <v>22</v>
      </c>
      <c r="B36" s="306" t="s">
        <v>299</v>
      </c>
      <c r="C36" s="307" t="s">
        <v>449</v>
      </c>
      <c r="D36" s="308" t="s">
        <v>349</v>
      </c>
      <c r="E36" s="309" t="str" cm="1">
        <f t="array" ref="E36">IFERROR(LOOKUP(2,1/('[1]Contracts Log'!$F:$F=$D36),'[1]Contracts Log'!$G:$G),"")</f>
        <v>1.TB.01.005.01</v>
      </c>
      <c r="F36" s="309" t="str" cm="1">
        <f t="array" ref="F36">IFERROR(LOOKUP(2,1/('[1]Contracts Log'!$F:$F=$D36),'[1]Contracts Log'!$C:$C),"")</f>
        <v>Red Sea Marine Life Institute</v>
      </c>
      <c r="G36" s="309" t="str" cm="1">
        <f t="array" ref="G36">IFERROR(LOOKUP(2,1/('[1]Contracts Log'!$F:$F=$D36),'[1]Contracts Log'!$K:$K),"")</f>
        <v>Construction Contract - Structural Concrete, Wet Trades, Dewatering, Earthworks &amp; BOH Finishes</v>
      </c>
      <c r="H36" s="309" t="str" cm="1">
        <f t="array" ref="H36">IFERROR(LOOKUP(2,1/('[1]Contracts Log'!$F:$F=$D36),'[1]Contracts Log'!$J:$J),"")</f>
        <v>Saudi Arabian Baytur Construction Company</v>
      </c>
      <c r="I36" s="310">
        <v>1</v>
      </c>
      <c r="J36" s="310"/>
      <c r="K36" s="310"/>
      <c r="L36" s="310"/>
      <c r="M36" s="310"/>
      <c r="N36" s="310"/>
      <c r="O36" s="240"/>
      <c r="P36" s="335"/>
      <c r="Q36" s="240"/>
      <c r="R36" s="312" t="str">
        <f>IF(AND(Q36&lt;&gt;0, O36&lt;&gt;0),NETWORKDAYS(O36,Q36),"")</f>
        <v/>
      </c>
      <c r="S36" s="313"/>
      <c r="T36" s="347"/>
      <c r="U36" s="240"/>
      <c r="V36" s="335" t="s">
        <v>450</v>
      </c>
      <c r="W36" s="240">
        <v>45405</v>
      </c>
      <c r="X36" s="312" t="s">
        <v>351</v>
      </c>
      <c r="Y36" s="313" t="s">
        <v>324</v>
      </c>
      <c r="Z36" s="335" t="s">
        <v>451</v>
      </c>
      <c r="AA36" s="240">
        <v>45417</v>
      </c>
      <c r="AB36" s="240"/>
      <c r="AC36" s="240"/>
      <c r="AD36" s="335"/>
      <c r="AE36" s="240"/>
      <c r="AF36" s="315">
        <v>160</v>
      </c>
      <c r="AG36" s="315">
        <v>160</v>
      </c>
      <c r="AH36" s="315"/>
      <c r="AI36" s="315"/>
      <c r="AJ36" s="363"/>
      <c r="AK36" s="311"/>
      <c r="AL36" s="315"/>
      <c r="AM36" s="315"/>
      <c r="AN36" s="365" t="s">
        <v>305</v>
      </c>
      <c r="AO36" s="365" t="s">
        <v>305</v>
      </c>
      <c r="AP36" s="314"/>
      <c r="AQ36" s="366"/>
      <c r="AR36" s="314"/>
      <c r="AS36" s="311" t="s">
        <v>305</v>
      </c>
      <c r="AT36" s="318"/>
      <c r="AU36" s="318"/>
      <c r="AV36" s="321"/>
      <c r="AW36" s="320"/>
      <c r="AX36" s="318"/>
      <c r="AY36" s="321"/>
      <c r="AZ36" s="320" t="s">
        <v>305</v>
      </c>
      <c r="BA36" s="318"/>
      <c r="BB36" s="321"/>
      <c r="BC36" s="322"/>
      <c r="BD36" s="299" t="s">
        <v>452</v>
      </c>
      <c r="BE36" s="299"/>
      <c r="BF36" s="323">
        <f t="shared" si="3"/>
        <v>45405</v>
      </c>
      <c r="BG36" s="324" t="str">
        <f t="shared" ca="1" si="1"/>
        <v>N/A</v>
      </c>
      <c r="BH36" s="299"/>
      <c r="BI36" s="325">
        <f t="shared" ca="1" si="4"/>
        <v>0</v>
      </c>
      <c r="BJ36" s="299"/>
      <c r="BK36" s="325">
        <f t="shared" ca="1" si="5"/>
        <v>0</v>
      </c>
      <c r="BL36" s="299"/>
      <c r="BM36" s="326"/>
      <c r="BN36" s="327"/>
      <c r="BO36" s="327" t="s">
        <v>354</v>
      </c>
      <c r="BP36" s="327" t="s">
        <v>354</v>
      </c>
      <c r="BQ36" s="328" t="s">
        <v>21</v>
      </c>
      <c r="BR36" s="329" t="s">
        <v>453</v>
      </c>
      <c r="BS36" s="331"/>
      <c r="BT36" s="327"/>
      <c r="BU36" s="327"/>
      <c r="BV36" s="327"/>
      <c r="BW36" s="331"/>
      <c r="BX36" s="302">
        <v>45978</v>
      </c>
      <c r="BY36" s="302"/>
      <c r="BZ36" s="302"/>
      <c r="CA36" s="295"/>
      <c r="CB36" s="332"/>
      <c r="CC36" s="332"/>
      <c r="CD36" s="332" t="str">
        <f t="shared" ref="CD36:CD82" si="8">IF(CC36="","",IF(AND(CC36&lt;&gt;"",AP36=""),CC36,IF(AND(CC36&lt;&gt;"",AP36&lt;&gt;""),AP36+CC36)))</f>
        <v/>
      </c>
      <c r="CE36" s="333">
        <v>45417</v>
      </c>
    </row>
    <row r="37" spans="1:84" s="334" customFormat="1" ht="409.5" hidden="1" customHeight="1">
      <c r="A37" s="373">
        <v>23</v>
      </c>
      <c r="B37" s="306" t="s">
        <v>310</v>
      </c>
      <c r="C37" s="307" t="s">
        <v>454</v>
      </c>
      <c r="D37" s="308" t="s">
        <v>349</v>
      </c>
      <c r="E37" s="309" t="str" cm="1">
        <f t="array" ref="E37">IFERROR(LOOKUP(2,1/('[1]Contracts Log'!$F:$F=$D37),'[1]Contracts Log'!$G:$G),"")</f>
        <v>1.TB.01.005.01</v>
      </c>
      <c r="F37" s="309" t="str" cm="1">
        <f t="array" ref="F37">IFERROR(LOOKUP(2,1/('[1]Contracts Log'!$F:$F=$D37),'[1]Contracts Log'!$C:$C),"")</f>
        <v>Red Sea Marine Life Institute</v>
      </c>
      <c r="G37" s="309" t="str" cm="1">
        <f t="array" ref="G37">IFERROR(LOOKUP(2,1/('[1]Contracts Log'!$F:$F=$D37),'[1]Contracts Log'!$K:$K),"")</f>
        <v>Construction Contract - Structural Concrete, Wet Trades, Dewatering, Earthworks &amp; BOH Finishes</v>
      </c>
      <c r="H37" s="309" t="str" cm="1">
        <f t="array" ref="H37">IFERROR(LOOKUP(2,1/('[1]Contracts Log'!$F:$F=$D37),'[1]Contracts Log'!$J:$J),"")</f>
        <v>Saudi Arabian Baytur Construction Company</v>
      </c>
      <c r="I37" s="310"/>
      <c r="J37" s="310">
        <v>1</v>
      </c>
      <c r="K37" s="310"/>
      <c r="L37" s="310"/>
      <c r="M37" s="310"/>
      <c r="N37" s="310"/>
      <c r="O37" s="240"/>
      <c r="P37" s="335"/>
      <c r="Q37" s="240"/>
      <c r="R37" s="312"/>
      <c r="S37" s="313"/>
      <c r="T37" s="347"/>
      <c r="U37" s="240"/>
      <c r="V37" s="335" t="s">
        <v>450</v>
      </c>
      <c r="W37" s="240">
        <v>45405</v>
      </c>
      <c r="X37" s="312"/>
      <c r="Y37" s="313"/>
      <c r="Z37" s="335" t="s">
        <v>451</v>
      </c>
      <c r="AA37" s="240">
        <v>45417</v>
      </c>
      <c r="AB37" s="240"/>
      <c r="AC37" s="240"/>
      <c r="AD37" s="335"/>
      <c r="AE37" s="240"/>
      <c r="AF37" s="313"/>
      <c r="AG37" s="313"/>
      <c r="AH37" s="313"/>
      <c r="AI37" s="313"/>
      <c r="AJ37" s="336"/>
      <c r="AK37" s="320"/>
      <c r="AL37" s="313"/>
      <c r="AM37" s="313"/>
      <c r="AN37" s="351"/>
      <c r="AO37" s="320"/>
      <c r="AP37" s="321"/>
      <c r="AQ37" s="352"/>
      <c r="AR37" s="321"/>
      <c r="AS37" s="320"/>
      <c r="AT37" s="341">
        <v>111155</v>
      </c>
      <c r="AU37" s="341"/>
      <c r="AV37" s="314"/>
      <c r="AW37" s="311"/>
      <c r="AX37" s="341"/>
      <c r="AY37" s="365" t="s">
        <v>305</v>
      </c>
      <c r="AZ37" s="311" t="s">
        <v>305</v>
      </c>
      <c r="BA37" s="341"/>
      <c r="BB37" s="314"/>
      <c r="BC37" s="364"/>
      <c r="BD37" s="299" t="s">
        <v>452</v>
      </c>
      <c r="BE37" s="299"/>
      <c r="BF37" s="323">
        <f t="shared" si="3"/>
        <v>45405</v>
      </c>
      <c r="BG37" s="324" t="str">
        <f t="shared" ca="1" si="1"/>
        <v>N/A</v>
      </c>
      <c r="BH37" s="299"/>
      <c r="BI37" s="325" t="str">
        <f t="shared" ca="1" si="4"/>
        <v>N/A</v>
      </c>
      <c r="BJ37" s="299"/>
      <c r="BK37" s="325">
        <f t="shared" ca="1" si="5"/>
        <v>0</v>
      </c>
      <c r="BL37" s="299"/>
      <c r="BM37" s="326"/>
      <c r="BN37" s="327"/>
      <c r="BO37" s="327" t="s">
        <v>354</v>
      </c>
      <c r="BP37" s="327" t="s">
        <v>354</v>
      </c>
      <c r="BQ37" s="328" t="s">
        <v>21</v>
      </c>
      <c r="BR37" s="329" t="s">
        <v>455</v>
      </c>
      <c r="BS37" s="331"/>
      <c r="BT37" s="327"/>
      <c r="BU37" s="327"/>
      <c r="BV37" s="327"/>
      <c r="BW37" s="331"/>
      <c r="BX37" s="302">
        <v>45978</v>
      </c>
      <c r="BY37" s="302"/>
      <c r="BZ37" s="302"/>
      <c r="CA37" s="295"/>
      <c r="CB37" s="332"/>
      <c r="CC37" s="332"/>
      <c r="CD37" s="332" t="str">
        <f t="shared" si="8"/>
        <v/>
      </c>
      <c r="CE37" s="333">
        <v>45417</v>
      </c>
    </row>
    <row r="38" spans="1:84" s="334" customFormat="1" ht="409.5" hidden="1" customHeight="1">
      <c r="A38" s="305">
        <v>24</v>
      </c>
      <c r="B38" s="306" t="s">
        <v>299</v>
      </c>
      <c r="C38" s="307" t="s">
        <v>456</v>
      </c>
      <c r="D38" s="308" t="s">
        <v>457</v>
      </c>
      <c r="E38" s="309" t="str" cm="1">
        <f t="array" ref="E38">IFERROR(LOOKUP(2,1/('[1]Contracts Log'!$F:$F=$D38),'[1]Contracts Log'!$G:$G),"")</f>
        <v>1.TB.01.100.00</v>
      </c>
      <c r="F38" s="309" t="str" cm="1">
        <f t="array" ref="F38">IFERROR(LOOKUP(2,1/('[1]Contracts Log'!$F:$F=$D38),'[1]Contracts Log'!$C:$C),"")</f>
        <v>Marina Village - Wide</v>
      </c>
      <c r="G38" s="309" t="str" cm="1">
        <f t="array" ref="G38">IFERROR(LOOKUP(2,1/('[1]Contracts Log'!$F:$F=$D38),'[1]Contracts Log'!$K:$K),"")</f>
        <v>Site Offices and Welfare Facilities Design, Supply and Installation Package for AMAALA Triple Bay (Call off Order No: 013)</v>
      </c>
      <c r="H38" s="309" t="str" cm="1">
        <f t="array" ref="H38">IFERROR(LOOKUP(2,1/('[1]Contracts Log'!$F:$F=$D38),'[1]Contracts Log'!$J:$J),"")</f>
        <v>Al Masaood Bergum L.L.C - Dubai Branch</v>
      </c>
      <c r="I38" s="310">
        <v>1</v>
      </c>
      <c r="J38" s="310"/>
      <c r="K38" s="310"/>
      <c r="L38" s="310"/>
      <c r="M38" s="310"/>
      <c r="N38" s="310"/>
      <c r="O38" s="240"/>
      <c r="P38" s="335"/>
      <c r="Q38" s="240"/>
      <c r="R38" s="312" t="str">
        <f t="shared" ref="R38:R62" si="9">IF(AND(Q38&lt;&gt;0, O38&lt;&gt;0),NETWORKDAYS(O38,Q38),"")</f>
        <v/>
      </c>
      <c r="S38" s="313"/>
      <c r="T38" s="347"/>
      <c r="U38" s="240"/>
      <c r="V38" s="335" t="s">
        <v>458</v>
      </c>
      <c r="W38" s="240">
        <v>45410</v>
      </c>
      <c r="X38" s="312" t="s">
        <v>351</v>
      </c>
      <c r="Y38" s="313" t="s">
        <v>324</v>
      </c>
      <c r="Z38" s="335" t="s">
        <v>459</v>
      </c>
      <c r="AA38" s="240">
        <v>45417</v>
      </c>
      <c r="AB38" s="240"/>
      <c r="AC38" s="240"/>
      <c r="AD38" s="335" t="s">
        <v>460</v>
      </c>
      <c r="AE38" s="240">
        <v>45789</v>
      </c>
      <c r="AF38" s="315">
        <v>130</v>
      </c>
      <c r="AG38" s="315">
        <v>130</v>
      </c>
      <c r="AH38" s="315"/>
      <c r="AI38" s="315"/>
      <c r="AJ38" s="363"/>
      <c r="AK38" s="311"/>
      <c r="AL38" s="315"/>
      <c r="AM38" s="315"/>
      <c r="AN38" s="365"/>
      <c r="AO38" s="311" t="s">
        <v>305</v>
      </c>
      <c r="AP38" s="314"/>
      <c r="AQ38" s="366"/>
      <c r="AR38" s="314"/>
      <c r="AS38" s="311"/>
      <c r="AT38" s="318"/>
      <c r="AU38" s="318"/>
      <c r="AV38" s="321"/>
      <c r="AW38" s="320"/>
      <c r="AX38" s="318"/>
      <c r="AY38" s="321"/>
      <c r="AZ38" s="320"/>
      <c r="BA38" s="318"/>
      <c r="BB38" s="321"/>
      <c r="BC38" s="322"/>
      <c r="BD38" s="299" t="s">
        <v>461</v>
      </c>
      <c r="BE38" s="299"/>
      <c r="BF38" s="323">
        <f t="shared" si="3"/>
        <v>45789</v>
      </c>
      <c r="BG38" s="324" t="str">
        <f t="shared" ca="1" si="1"/>
        <v>N/A</v>
      </c>
      <c r="BH38" s="299"/>
      <c r="BI38" s="325">
        <f t="shared" ca="1" si="4"/>
        <v>0</v>
      </c>
      <c r="BJ38" s="299"/>
      <c r="BK38" s="325">
        <f t="shared" ca="1" si="5"/>
        <v>0</v>
      </c>
      <c r="BL38" s="299"/>
      <c r="BM38" s="326"/>
      <c r="BN38" s="327"/>
      <c r="BO38" s="327" t="s">
        <v>363</v>
      </c>
      <c r="BP38" s="327" t="s">
        <v>221</v>
      </c>
      <c r="BQ38" s="328" t="s">
        <v>21</v>
      </c>
      <c r="BR38" s="329" t="s">
        <v>462</v>
      </c>
      <c r="BS38" s="331"/>
      <c r="BT38" s="327"/>
      <c r="BU38" s="327"/>
      <c r="BV38" s="327"/>
      <c r="BW38" s="331"/>
      <c r="BX38" s="302">
        <v>46054</v>
      </c>
      <c r="BY38" s="302"/>
      <c r="BZ38" s="302"/>
      <c r="CA38" s="295"/>
      <c r="CB38" s="332"/>
      <c r="CC38" s="332"/>
      <c r="CD38" s="332" t="str">
        <f t="shared" si="8"/>
        <v/>
      </c>
      <c r="CE38" s="333">
        <v>45417</v>
      </c>
    </row>
    <row r="39" spans="1:84" s="404" customFormat="1" ht="301.5" hidden="1" customHeight="1">
      <c r="A39" s="376">
        <v>25</v>
      </c>
      <c r="B39" s="306" t="s">
        <v>299</v>
      </c>
      <c r="C39" s="377" t="s">
        <v>438</v>
      </c>
      <c r="D39" s="378" t="s">
        <v>432</v>
      </c>
      <c r="E39" s="379" t="str" cm="1">
        <f t="array" ref="E39">IFERROR(LOOKUP(2,1/('[1]Contracts Log'!$F:$F=$D39),'[1]Contracts Log'!$G:$G),"")</f>
        <v>1.TB.01.002.99</v>
      </c>
      <c r="F39" s="379" t="str" cm="1">
        <f t="array" ref="F39">IFERROR(LOOKUP(2,1/('[1]Contracts Log'!$F:$F=$D39),'[1]Contracts Log'!$C:$C),"")</f>
        <v>Marina Lifestyle Hotel &amp; Village</v>
      </c>
      <c r="G39" s="379" t="str" cm="1">
        <f t="array" ref="G39">IFERROR(LOOKUP(2,1/('[1]Contracts Log'!$F:$F=$D39),'[1]Contracts Log'!$K:$K),"")</f>
        <v>Builders Works Package for Marina Lifestyle Hotel</v>
      </c>
      <c r="H39" s="379" t="str" cm="1">
        <f t="array" ref="H39">IFERROR(LOOKUP(2,1/('[1]Contracts Log'!$F:$F=$D39),'[1]Contracts Log'!$J:$J),"")</f>
        <v>Shandong Tiejun Electric Power Engineering Co. LTD. Branch</v>
      </c>
      <c r="I39" s="310">
        <v>1</v>
      </c>
      <c r="J39" s="310"/>
      <c r="K39" s="310"/>
      <c r="L39" s="310"/>
      <c r="M39" s="310"/>
      <c r="N39" s="310"/>
      <c r="O39" s="240"/>
      <c r="P39" s="335"/>
      <c r="Q39" s="240"/>
      <c r="R39" s="312" t="str">
        <f t="shared" si="9"/>
        <v/>
      </c>
      <c r="S39" s="313"/>
      <c r="T39" s="347"/>
      <c r="U39" s="240"/>
      <c r="V39" s="381" t="s">
        <v>463</v>
      </c>
      <c r="W39" s="380">
        <v>45389</v>
      </c>
      <c r="X39" s="312" t="s">
        <v>351</v>
      </c>
      <c r="Y39" s="313" t="s">
        <v>324</v>
      </c>
      <c r="Z39" s="381" t="s">
        <v>434</v>
      </c>
      <c r="AA39" s="380">
        <v>45420</v>
      </c>
      <c r="AB39" s="380"/>
      <c r="AC39" s="380"/>
      <c r="AD39" s="381"/>
      <c r="AE39" s="380"/>
      <c r="AF39" s="385"/>
      <c r="AG39" s="385"/>
      <c r="AH39" s="385"/>
      <c r="AI39" s="385"/>
      <c r="AJ39" s="386"/>
      <c r="AK39" s="387"/>
      <c r="AL39" s="385"/>
      <c r="AM39" s="385"/>
      <c r="AN39" s="388"/>
      <c r="AO39" s="387" t="s">
        <v>305</v>
      </c>
      <c r="AP39" s="389"/>
      <c r="AQ39" s="390"/>
      <c r="AR39" s="389"/>
      <c r="AS39" s="387"/>
      <c r="AT39" s="391"/>
      <c r="AU39" s="391"/>
      <c r="AV39" s="392"/>
      <c r="AW39" s="393"/>
      <c r="AX39" s="391"/>
      <c r="AY39" s="392"/>
      <c r="AZ39" s="393"/>
      <c r="BA39" s="391"/>
      <c r="BB39" s="392"/>
      <c r="BC39" s="394"/>
      <c r="BD39" s="395"/>
      <c r="BE39" s="395"/>
      <c r="BF39" s="323">
        <f t="shared" si="3"/>
        <v>45389</v>
      </c>
      <c r="BG39" s="324" t="str">
        <f t="shared" ca="1" si="1"/>
        <v>N/A</v>
      </c>
      <c r="BH39" s="299"/>
      <c r="BI39" s="325">
        <f t="shared" ca="1" si="4"/>
        <v>0</v>
      </c>
      <c r="BJ39" s="299"/>
      <c r="BK39" s="325">
        <f t="shared" ca="1" si="5"/>
        <v>0</v>
      </c>
      <c r="BL39" s="299"/>
      <c r="BM39" s="396"/>
      <c r="BN39" s="327"/>
      <c r="BO39" s="372" t="s">
        <v>354</v>
      </c>
      <c r="BP39" s="372" t="s">
        <v>354</v>
      </c>
      <c r="BQ39" s="328" t="s">
        <v>21</v>
      </c>
      <c r="BR39" s="397" t="s">
        <v>464</v>
      </c>
      <c r="BS39" s="398"/>
      <c r="BT39" s="372"/>
      <c r="BU39" s="372"/>
      <c r="BV39" s="372"/>
      <c r="BW39" s="398"/>
      <c r="BX39" s="400">
        <v>45516</v>
      </c>
      <c r="BY39" s="400"/>
      <c r="BZ39" s="400"/>
      <c r="CA39" s="405"/>
      <c r="CB39" s="402"/>
      <c r="CC39" s="402"/>
      <c r="CD39" s="402" t="str">
        <f t="shared" si="8"/>
        <v/>
      </c>
      <c r="CE39" s="403">
        <v>45417</v>
      </c>
    </row>
    <row r="40" spans="1:84" s="334" customFormat="1" ht="409.5" hidden="1" customHeight="1">
      <c r="A40" s="305">
        <v>26</v>
      </c>
      <c r="B40" s="306" t="s">
        <v>299</v>
      </c>
      <c r="C40" s="307" t="s">
        <v>438</v>
      </c>
      <c r="D40" s="308" t="s">
        <v>465</v>
      </c>
      <c r="E40" s="309" t="str" cm="1">
        <f t="array" ref="E40">IFERROR(LOOKUP(2,1/('[1]Contracts Log'!$F:$F=$D40),'[1]Contracts Log'!$G:$G),"")</f>
        <v>1.TB.01.006.99</v>
      </c>
      <c r="F40" s="309" t="str" cm="1">
        <f t="array" ref="F40">IFERROR(LOOKUP(2,1/('[1]Contracts Log'!$F:$F=$D40),'[1]Contracts Log'!$C:$C),"")</f>
        <v>Village Boutique Hotel</v>
      </c>
      <c r="G40" s="309" t="str" cm="1">
        <f t="array" ref="G40">IFERROR(LOOKUP(2,1/('[1]Contracts Log'!$F:$F=$D40),'[1]Contracts Log'!$K:$K),"")</f>
        <v>Builders Works Package for Marina Lifestyle Hotel</v>
      </c>
      <c r="H40" s="309" t="str" cm="1">
        <f t="array" ref="H40">IFERROR(LOOKUP(2,1/('[1]Contracts Log'!$F:$F=$D40),'[1]Contracts Log'!$J:$J),"")</f>
        <v>Shandong Tiejun Electric Power Engineering Co. LTD. Branch</v>
      </c>
      <c r="I40" s="310">
        <v>1</v>
      </c>
      <c r="J40" s="310"/>
      <c r="K40" s="310"/>
      <c r="L40" s="310"/>
      <c r="M40" s="310"/>
      <c r="N40" s="310"/>
      <c r="O40" s="240"/>
      <c r="P40" s="335"/>
      <c r="Q40" s="240"/>
      <c r="R40" s="312" t="str">
        <f t="shared" si="9"/>
        <v/>
      </c>
      <c r="S40" s="313"/>
      <c r="T40" s="347"/>
      <c r="U40" s="240"/>
      <c r="V40" s="335" t="s">
        <v>466</v>
      </c>
      <c r="W40" s="240">
        <v>45406</v>
      </c>
      <c r="X40" s="312" t="s">
        <v>351</v>
      </c>
      <c r="Y40" s="313" t="s">
        <v>324</v>
      </c>
      <c r="Z40" s="335" t="s">
        <v>467</v>
      </c>
      <c r="AA40" s="240">
        <v>45442</v>
      </c>
      <c r="AB40" s="240"/>
      <c r="AC40" s="240"/>
      <c r="AD40" s="335" t="s">
        <v>468</v>
      </c>
      <c r="AE40" s="240">
        <v>45934</v>
      </c>
      <c r="AF40" s="315">
        <v>104</v>
      </c>
      <c r="AG40" s="315">
        <v>104</v>
      </c>
      <c r="AH40" s="315"/>
      <c r="AI40" s="315"/>
      <c r="AJ40" s="363"/>
      <c r="AK40" s="311"/>
      <c r="AL40" s="315"/>
      <c r="AM40" s="315"/>
      <c r="AN40" s="406" t="s">
        <v>469</v>
      </c>
      <c r="AO40" s="302">
        <v>45984</v>
      </c>
      <c r="AP40" s="314"/>
      <c r="AQ40" s="366"/>
      <c r="AR40" s="314"/>
      <c r="AS40" s="311"/>
      <c r="AT40" s="318"/>
      <c r="AU40" s="318"/>
      <c r="AV40" s="321"/>
      <c r="AW40" s="320"/>
      <c r="AX40" s="318"/>
      <c r="AY40" s="321"/>
      <c r="AZ40" s="320"/>
      <c r="BA40" s="318"/>
      <c r="BB40" s="321"/>
      <c r="BC40" s="322"/>
      <c r="BD40" s="299" t="s">
        <v>470</v>
      </c>
      <c r="BE40" s="299"/>
      <c r="BF40" s="323">
        <f t="shared" si="3"/>
        <v>45934</v>
      </c>
      <c r="BG40" s="324" t="str">
        <f t="shared" ca="1" si="1"/>
        <v>N/A</v>
      </c>
      <c r="BH40" s="299"/>
      <c r="BI40" s="325">
        <f t="shared" ca="1" si="4"/>
        <v>0</v>
      </c>
      <c r="BJ40" s="299"/>
      <c r="BK40" s="325">
        <f t="shared" ca="1" si="5"/>
        <v>0</v>
      </c>
      <c r="BL40" s="299"/>
      <c r="BM40" s="326"/>
      <c r="BN40" s="360"/>
      <c r="BO40" s="327" t="s">
        <v>220</v>
      </c>
      <c r="BP40" s="327" t="s">
        <v>376</v>
      </c>
      <c r="BQ40" s="328" t="s">
        <v>21</v>
      </c>
      <c r="BR40" s="329" t="s">
        <v>471</v>
      </c>
      <c r="BS40" s="331"/>
      <c r="BT40" s="327"/>
      <c r="BU40" s="327"/>
      <c r="BV40" s="327"/>
      <c r="BW40" s="331"/>
      <c r="BX40" s="302">
        <v>45984</v>
      </c>
      <c r="BY40" s="302"/>
      <c r="BZ40" s="302"/>
      <c r="CA40" s="295"/>
      <c r="CB40" s="332"/>
      <c r="CC40" s="332"/>
      <c r="CD40" s="332" t="str">
        <f t="shared" si="8"/>
        <v/>
      </c>
      <c r="CE40" s="333">
        <v>45417</v>
      </c>
    </row>
    <row r="41" spans="1:84" s="334" customFormat="1" ht="102" hidden="1" customHeight="1">
      <c r="A41" s="305">
        <v>27</v>
      </c>
      <c r="B41" s="306" t="s">
        <v>310</v>
      </c>
      <c r="C41" s="307" t="s">
        <v>472</v>
      </c>
      <c r="D41" s="308" t="s">
        <v>388</v>
      </c>
      <c r="E41" s="309" t="str" cm="1">
        <f t="array" ref="E41">IFERROR(LOOKUP(2,1/('[1]Contracts Log'!$F:$F=$D41),'[1]Contracts Log'!$G:$G),"")</f>
        <v>1.TB.01.003.01</v>
      </c>
      <c r="F41" s="309" t="str" cm="1">
        <f t="array" ref="F41">IFERROR(LOOKUP(2,1/('[1]Contracts Log'!$F:$F=$D41),'[1]Contracts Log'!$C:$C),"")</f>
        <v xml:space="preserve">AMAALA Yacht Club </v>
      </c>
      <c r="G41" s="309" t="str" cm="1">
        <f t="array" ref="G41">IFERROR(LOOKUP(2,1/('[1]Contracts Log'!$F:$F=$D41),'[1]Contracts Log'!$K:$K),"")</f>
        <v>Construction Contract - Site Enabling, Civil Works, Structural Concrete, Structural Steel, BOH Finishes, Building Envelope, MEP Including Tertiary Infrastructure &amp; ICT/ELV</v>
      </c>
      <c r="H41" s="309" t="str" cm="1">
        <f t="array" ref="H41">IFERROR(LOOKUP(2,1/('[1]Contracts Log'!$F:$F=$D41),'[1]Contracts Log'!$J:$J),"")</f>
        <v>Saudi Arabian Baytur Construction Company</v>
      </c>
      <c r="I41" s="310"/>
      <c r="J41" s="310"/>
      <c r="K41" s="310"/>
      <c r="L41" s="310"/>
      <c r="M41" s="310"/>
      <c r="N41" s="310">
        <v>1</v>
      </c>
      <c r="O41" s="240"/>
      <c r="P41" s="335"/>
      <c r="Q41" s="240"/>
      <c r="R41" s="312" t="str">
        <f t="shared" si="9"/>
        <v/>
      </c>
      <c r="S41" s="313"/>
      <c r="T41" s="347"/>
      <c r="U41" s="240"/>
      <c r="V41" s="335" t="s">
        <v>473</v>
      </c>
      <c r="W41" s="240">
        <v>45416</v>
      </c>
      <c r="X41" s="312" t="s">
        <v>351</v>
      </c>
      <c r="Y41" s="313" t="s">
        <v>324</v>
      </c>
      <c r="Z41" s="335" t="s">
        <v>474</v>
      </c>
      <c r="AA41" s="240">
        <v>45432</v>
      </c>
      <c r="AB41" s="240"/>
      <c r="AC41" s="240"/>
      <c r="AD41" s="335"/>
      <c r="AE41" s="240"/>
      <c r="AF41" s="313"/>
      <c r="AG41" s="313"/>
      <c r="AH41" s="313"/>
      <c r="AI41" s="313"/>
      <c r="AJ41" s="336"/>
      <c r="AK41" s="320"/>
      <c r="AL41" s="313"/>
      <c r="AM41" s="313"/>
      <c r="AN41" s="314" t="s">
        <v>363</v>
      </c>
      <c r="AO41" s="311" t="s">
        <v>305</v>
      </c>
      <c r="AP41" s="321"/>
      <c r="AQ41" s="352"/>
      <c r="AR41" s="314" t="s">
        <v>363</v>
      </c>
      <c r="AS41" s="311" t="s">
        <v>305</v>
      </c>
      <c r="AT41" s="341" t="s">
        <v>305</v>
      </c>
      <c r="AU41" s="341"/>
      <c r="AV41" s="314"/>
      <c r="AW41" s="311"/>
      <c r="AX41" s="341"/>
      <c r="AY41" s="314" t="s">
        <v>363</v>
      </c>
      <c r="AZ41" s="311" t="s">
        <v>305</v>
      </c>
      <c r="BA41" s="341"/>
      <c r="BB41" s="314" t="s">
        <v>363</v>
      </c>
      <c r="BC41" s="311" t="s">
        <v>305</v>
      </c>
      <c r="BD41" s="299" t="s">
        <v>475</v>
      </c>
      <c r="BE41" s="299"/>
      <c r="BF41" s="323">
        <f t="shared" si="3"/>
        <v>45416</v>
      </c>
      <c r="BG41" s="324" t="str">
        <f t="shared" ca="1" si="1"/>
        <v>N/A</v>
      </c>
      <c r="BH41" s="299"/>
      <c r="BI41" s="325" t="str">
        <f t="shared" ca="1" si="4"/>
        <v>N/A</v>
      </c>
      <c r="BJ41" s="299"/>
      <c r="BK41" s="325">
        <f t="shared" ca="1" si="5"/>
        <v>0</v>
      </c>
      <c r="BL41" s="299"/>
      <c r="BM41" s="326"/>
      <c r="BN41" s="327"/>
      <c r="BO41" s="327" t="s">
        <v>363</v>
      </c>
      <c r="BP41" s="327" t="s">
        <v>20</v>
      </c>
      <c r="BQ41" s="328" t="s">
        <v>21</v>
      </c>
      <c r="BR41" s="329" t="s">
        <v>476</v>
      </c>
      <c r="BS41" s="331"/>
      <c r="BT41" s="330"/>
      <c r="BU41" s="330" t="s">
        <v>477</v>
      </c>
      <c r="BV41" s="330" t="s">
        <v>347</v>
      </c>
      <c r="BW41" s="331"/>
      <c r="BX41" s="302">
        <v>45446</v>
      </c>
      <c r="BY41" s="302"/>
      <c r="BZ41" s="302"/>
      <c r="CA41" s="303"/>
      <c r="CB41" s="332"/>
      <c r="CC41" s="332"/>
      <c r="CD41" s="332" t="str">
        <f t="shared" si="8"/>
        <v/>
      </c>
      <c r="CE41" s="333">
        <v>45418</v>
      </c>
    </row>
    <row r="42" spans="1:84" s="334" customFormat="1" ht="408.75" hidden="1" customHeight="1">
      <c r="A42" s="373">
        <v>28</v>
      </c>
      <c r="B42" s="306" t="s">
        <v>310</v>
      </c>
      <c r="C42" s="307" t="s">
        <v>478</v>
      </c>
      <c r="D42" s="308" t="s">
        <v>349</v>
      </c>
      <c r="E42" s="309" t="str" cm="1">
        <f t="array" ref="E42">IFERROR(LOOKUP(2,1/('[1]Contracts Log'!$F:$F=$D42),'[1]Contracts Log'!$G:$G),"")</f>
        <v>1.TB.01.005.01</v>
      </c>
      <c r="F42" s="309" t="str" cm="1">
        <f t="array" ref="F42">IFERROR(LOOKUP(2,1/('[1]Contracts Log'!$F:$F=$D42),'[1]Contracts Log'!$C:$C),"")</f>
        <v>Red Sea Marine Life Institute</v>
      </c>
      <c r="G42" s="309" t="str" cm="1">
        <f t="array" ref="G42">IFERROR(LOOKUP(2,1/('[1]Contracts Log'!$F:$F=$D42),'[1]Contracts Log'!$K:$K),"")</f>
        <v>Construction Contract - Structural Concrete, Wet Trades, Dewatering, Earthworks &amp; BOH Finishes</v>
      </c>
      <c r="H42" s="309" t="str" cm="1">
        <f t="array" ref="H42">IFERROR(LOOKUP(2,1/('[1]Contracts Log'!$F:$F=$D42),'[1]Contracts Log'!$J:$J),"")</f>
        <v>Saudi Arabian Baytur Construction Company</v>
      </c>
      <c r="I42" s="310"/>
      <c r="J42" s="310"/>
      <c r="K42" s="310"/>
      <c r="L42" s="310"/>
      <c r="M42" s="310"/>
      <c r="N42" s="310">
        <v>1</v>
      </c>
      <c r="O42" s="240"/>
      <c r="P42" s="335"/>
      <c r="Q42" s="240"/>
      <c r="R42" s="312" t="str">
        <f t="shared" si="9"/>
        <v/>
      </c>
      <c r="S42" s="313"/>
      <c r="T42" s="347"/>
      <c r="U42" s="240"/>
      <c r="V42" s="335" t="s">
        <v>479</v>
      </c>
      <c r="W42" s="240">
        <v>45448</v>
      </c>
      <c r="X42" s="312"/>
      <c r="Y42" s="313"/>
      <c r="Z42" s="335" t="s">
        <v>480</v>
      </c>
      <c r="AA42" s="240">
        <v>45517</v>
      </c>
      <c r="AB42" s="240"/>
      <c r="AC42" s="240"/>
      <c r="AD42" s="335"/>
      <c r="AE42" s="240"/>
      <c r="AF42" s="313"/>
      <c r="AG42" s="313"/>
      <c r="AH42" s="313"/>
      <c r="AI42" s="313"/>
      <c r="AJ42" s="336"/>
      <c r="AK42" s="320"/>
      <c r="AL42" s="313"/>
      <c r="AM42" s="313"/>
      <c r="AN42" s="314" t="s">
        <v>363</v>
      </c>
      <c r="AO42" s="311" t="s">
        <v>305</v>
      </c>
      <c r="AP42" s="321"/>
      <c r="AQ42" s="352"/>
      <c r="AR42" s="314" t="s">
        <v>363</v>
      </c>
      <c r="AS42" s="311" t="s">
        <v>305</v>
      </c>
      <c r="AT42" s="318" t="s">
        <v>305</v>
      </c>
      <c r="AU42" s="318"/>
      <c r="AV42" s="321"/>
      <c r="AW42" s="320"/>
      <c r="AX42" s="318"/>
      <c r="AY42" s="314" t="s">
        <v>363</v>
      </c>
      <c r="AZ42" s="311" t="s">
        <v>305</v>
      </c>
      <c r="BA42" s="318"/>
      <c r="BB42" s="314" t="s">
        <v>363</v>
      </c>
      <c r="BC42" s="311" t="s">
        <v>305</v>
      </c>
      <c r="BD42" s="299" t="s">
        <v>481</v>
      </c>
      <c r="BE42" s="299"/>
      <c r="BF42" s="323">
        <f t="shared" si="3"/>
        <v>45448</v>
      </c>
      <c r="BG42" s="324" t="str">
        <f t="shared" ca="1" si="1"/>
        <v>N/A</v>
      </c>
      <c r="BH42" s="299"/>
      <c r="BI42" s="325" t="str">
        <f t="shared" ca="1" si="4"/>
        <v>N/A</v>
      </c>
      <c r="BJ42" s="299"/>
      <c r="BK42" s="325">
        <f t="shared" ca="1" si="5"/>
        <v>0</v>
      </c>
      <c r="BL42" s="299"/>
      <c r="BM42" s="326"/>
      <c r="BN42" s="327"/>
      <c r="BO42" s="327" t="s">
        <v>354</v>
      </c>
      <c r="BP42" s="327" t="s">
        <v>354</v>
      </c>
      <c r="BQ42" s="328" t="s">
        <v>21</v>
      </c>
      <c r="BR42" s="329" t="s">
        <v>482</v>
      </c>
      <c r="BS42" s="331"/>
      <c r="BT42" s="327"/>
      <c r="BU42" s="327" t="s">
        <v>347</v>
      </c>
      <c r="BV42" s="327" t="s">
        <v>347</v>
      </c>
      <c r="BW42" s="331"/>
      <c r="BX42" s="302">
        <v>45978</v>
      </c>
      <c r="BY42" s="302"/>
      <c r="BZ42" s="302"/>
      <c r="CA42" s="295"/>
      <c r="CB42" s="332"/>
      <c r="CC42" s="332"/>
      <c r="CD42" s="332" t="str">
        <f t="shared" si="8"/>
        <v/>
      </c>
      <c r="CE42" s="333">
        <v>45467</v>
      </c>
      <c r="CF42" s="334" t="str">
        <f t="shared" ref="CF42:CF105" si="10">IF(AND(A42&gt;0,CE42=0),"Insert Entry Date","")</f>
        <v/>
      </c>
    </row>
    <row r="43" spans="1:84" s="334" customFormat="1" ht="408.75" hidden="1" customHeight="1">
      <c r="A43" s="305">
        <v>29</v>
      </c>
      <c r="B43" s="306" t="s">
        <v>299</v>
      </c>
      <c r="C43" s="346" t="s">
        <v>483</v>
      </c>
      <c r="D43" s="308" t="s">
        <v>484</v>
      </c>
      <c r="E43" s="309" t="str" cm="1">
        <f t="array" ref="E43">IFERROR(LOOKUP(2,1/('[1]Contracts Log'!$F:$F=$D43),'[1]Contracts Log'!$G:$G),"")</f>
        <v>1.TB.01.003.01</v>
      </c>
      <c r="F43" s="309" t="str" cm="1">
        <f t="array" ref="F43">IFERROR(LOOKUP(2,1/('[1]Contracts Log'!$F:$F=$D43),'[1]Contracts Log'!$C:$C),"")</f>
        <v xml:space="preserve">AMAALA Yacht Club </v>
      </c>
      <c r="G43" s="309" t="str" cm="1">
        <f t="array" ref="G43">IFERROR(LOOKUP(2,1/('[1]Contracts Log'!$F:$F=$D43),'[1]Contracts Log'!$K:$K),"")</f>
        <v>Kitchen &amp; Laundry Works</v>
      </c>
      <c r="H43" s="309" t="str" cm="1">
        <f t="array" ref="H43">IFERROR(LOOKUP(2,1/('[1]Contracts Log'!$F:$F=$D43),'[1]Contracts Log'!$J:$J),"")</f>
        <v>Abdulaziz Al Raqtan and Partners Company for Trading and Industry Company</v>
      </c>
      <c r="I43" s="310">
        <v>1</v>
      </c>
      <c r="J43" s="310"/>
      <c r="K43" s="310"/>
      <c r="L43" s="310"/>
      <c r="M43" s="310"/>
      <c r="N43" s="310"/>
      <c r="O43" s="240"/>
      <c r="P43" s="335"/>
      <c r="Q43" s="240"/>
      <c r="R43" s="312" t="str">
        <f t="shared" si="9"/>
        <v/>
      </c>
      <c r="S43" s="313"/>
      <c r="T43" s="347"/>
      <c r="U43" s="240"/>
      <c r="V43" s="335" t="s">
        <v>485</v>
      </c>
      <c r="W43" s="240">
        <v>45450</v>
      </c>
      <c r="X43" s="312"/>
      <c r="Y43" s="313"/>
      <c r="Z43" s="335" t="s">
        <v>486</v>
      </c>
      <c r="AA43" s="240">
        <v>45498</v>
      </c>
      <c r="AB43" s="240"/>
      <c r="AC43" s="240"/>
      <c r="AD43" s="335" t="s">
        <v>487</v>
      </c>
      <c r="AE43" s="240">
        <v>45672</v>
      </c>
      <c r="AF43" s="315">
        <v>21</v>
      </c>
      <c r="AG43" s="315"/>
      <c r="AH43" s="315"/>
      <c r="AI43" s="315"/>
      <c r="AJ43" s="363"/>
      <c r="AK43" s="311"/>
      <c r="AL43" s="407"/>
      <c r="AM43" s="315"/>
      <c r="AN43" s="363" t="s">
        <v>488</v>
      </c>
      <c r="AO43" s="311">
        <v>45753</v>
      </c>
      <c r="AP43" s="314"/>
      <c r="AQ43" s="366"/>
      <c r="AR43" s="299" t="s">
        <v>489</v>
      </c>
      <c r="AS43" s="311">
        <v>45775</v>
      </c>
      <c r="AT43" s="318"/>
      <c r="AU43" s="318"/>
      <c r="AV43" s="321"/>
      <c r="AW43" s="320"/>
      <c r="AX43" s="318"/>
      <c r="AY43" s="321"/>
      <c r="AZ43" s="320"/>
      <c r="BA43" s="318"/>
      <c r="BB43" s="321"/>
      <c r="BC43" s="322"/>
      <c r="BD43" s="299" t="s">
        <v>490</v>
      </c>
      <c r="BE43" s="299"/>
      <c r="BF43" s="323">
        <f t="shared" si="3"/>
        <v>45672</v>
      </c>
      <c r="BG43" s="324" t="str">
        <f t="shared" ca="1" si="1"/>
        <v>N/A</v>
      </c>
      <c r="BH43" s="299"/>
      <c r="BI43" s="325">
        <f t="shared" ca="1" si="4"/>
        <v>0</v>
      </c>
      <c r="BJ43" s="299"/>
      <c r="BK43" s="325">
        <f t="shared" ca="1" si="5"/>
        <v>0</v>
      </c>
      <c r="BL43" s="299"/>
      <c r="BM43" s="326"/>
      <c r="BN43" s="408"/>
      <c r="BO43" s="327" t="s">
        <v>220</v>
      </c>
      <c r="BP43" s="327" t="s">
        <v>376</v>
      </c>
      <c r="BQ43" s="328" t="s">
        <v>21</v>
      </c>
      <c r="BR43" s="329" t="s">
        <v>491</v>
      </c>
      <c r="BS43" s="331"/>
      <c r="BT43" s="327"/>
      <c r="BU43" s="327"/>
      <c r="BV43" s="327"/>
      <c r="BW43" s="331"/>
      <c r="BX43" s="302">
        <v>45753</v>
      </c>
      <c r="BY43" s="302"/>
      <c r="BZ43" s="302"/>
      <c r="CA43" s="295"/>
      <c r="CB43" s="332"/>
      <c r="CC43" s="332"/>
      <c r="CD43" s="332" t="str">
        <f t="shared" si="8"/>
        <v/>
      </c>
      <c r="CE43" s="333">
        <v>45467</v>
      </c>
      <c r="CF43" s="334" t="str">
        <f t="shared" si="10"/>
        <v/>
      </c>
    </row>
    <row r="44" spans="1:84" s="334" customFormat="1" ht="409.5" hidden="1" customHeight="1">
      <c r="A44" s="305">
        <v>30</v>
      </c>
      <c r="B44" s="306" t="s">
        <v>299</v>
      </c>
      <c r="C44" s="307" t="s">
        <v>431</v>
      </c>
      <c r="D44" s="308" t="s">
        <v>492</v>
      </c>
      <c r="E44" s="309" t="str" cm="1">
        <f t="array" ref="E44">IFERROR(LOOKUP(2,1/('[1]Contracts Log'!$F:$F=$D44),'[1]Contracts Log'!$G:$G),"")</f>
        <v>1.TB.01.009.01</v>
      </c>
      <c r="F44" s="309" t="str" cm="1">
        <f t="array" ref="F44">IFERROR(LOOKUP(2,1/('[1]Contracts Log'!$F:$F=$D44),'[1]Contracts Log'!$C:$C),"")</f>
        <v>Marina Hotel 3</v>
      </c>
      <c r="G44" s="309" t="str" cm="1">
        <f t="array" ref="G44">IFERROR(LOOKUP(2,1/('[1]Contracts Log'!$F:$F=$D44),'[1]Contracts Log'!$K:$K),"")</f>
        <v>Civil &amp; Concrete Works for Marina Hotel 3 - Phase 1</v>
      </c>
      <c r="H44" s="309" t="str" cm="1">
        <f t="array" ref="H44">IFERROR(LOOKUP(2,1/('[1]Contracts Log'!$F:$F=$D44),'[1]Contracts Log'!$J:$J),"")</f>
        <v>MAS Engineering &amp; Construction Company LTD</v>
      </c>
      <c r="I44" s="310">
        <v>1</v>
      </c>
      <c r="J44" s="310"/>
      <c r="K44" s="310"/>
      <c r="L44" s="310"/>
      <c r="M44" s="310"/>
      <c r="N44" s="310"/>
      <c r="O44" s="240"/>
      <c r="P44" s="335"/>
      <c r="Q44" s="240"/>
      <c r="R44" s="312" t="str">
        <f t="shared" si="9"/>
        <v/>
      </c>
      <c r="S44" s="313"/>
      <c r="T44" s="347"/>
      <c r="U44" s="240"/>
      <c r="V44" s="335" t="s">
        <v>493</v>
      </c>
      <c r="W44" s="240">
        <v>45403</v>
      </c>
      <c r="X44" s="312" t="s">
        <v>351</v>
      </c>
      <c r="Y44" s="313" t="s">
        <v>324</v>
      </c>
      <c r="Z44" s="335" t="s">
        <v>494</v>
      </c>
      <c r="AA44" s="240">
        <v>45455</v>
      </c>
      <c r="AB44" s="240"/>
      <c r="AC44" s="240"/>
      <c r="AD44" s="335" t="s">
        <v>495</v>
      </c>
      <c r="AE44" s="240">
        <v>45615</v>
      </c>
      <c r="AF44" s="315">
        <v>132</v>
      </c>
      <c r="AG44" s="315"/>
      <c r="AH44" s="315"/>
      <c r="AI44" s="315"/>
      <c r="AJ44" s="363"/>
      <c r="AK44" s="311"/>
      <c r="AL44" s="315"/>
      <c r="AM44" s="315"/>
      <c r="AN44" s="316" t="s">
        <v>496</v>
      </c>
      <c r="AO44" s="240">
        <v>45764</v>
      </c>
      <c r="AP44" s="314"/>
      <c r="AQ44" s="366"/>
      <c r="AR44" s="314"/>
      <c r="AS44" s="311"/>
      <c r="AT44" s="318"/>
      <c r="AU44" s="318"/>
      <c r="AV44" s="321"/>
      <c r="AW44" s="320"/>
      <c r="AX44" s="318"/>
      <c r="AY44" s="321"/>
      <c r="AZ44" s="320"/>
      <c r="BA44" s="318"/>
      <c r="BB44" s="321"/>
      <c r="BC44" s="322"/>
      <c r="BD44" s="299" t="s">
        <v>497</v>
      </c>
      <c r="BE44" s="299"/>
      <c r="BF44" s="323">
        <f t="shared" si="3"/>
        <v>45615</v>
      </c>
      <c r="BG44" s="324" t="str">
        <f t="shared" ca="1" si="1"/>
        <v>N/A</v>
      </c>
      <c r="BH44" s="299"/>
      <c r="BI44" s="325">
        <f t="shared" ca="1" si="4"/>
        <v>0</v>
      </c>
      <c r="BJ44" s="299"/>
      <c r="BK44" s="325">
        <f t="shared" ca="1" si="5"/>
        <v>0</v>
      </c>
      <c r="BL44" s="299"/>
      <c r="BM44" s="326"/>
      <c r="BN44" s="408"/>
      <c r="BO44" s="327" t="s">
        <v>220</v>
      </c>
      <c r="BP44" s="327" t="s">
        <v>308</v>
      </c>
      <c r="BQ44" s="328" t="s">
        <v>21</v>
      </c>
      <c r="BR44" s="329" t="s">
        <v>498</v>
      </c>
      <c r="BS44" s="331"/>
      <c r="BT44" s="327"/>
      <c r="BU44" s="327" t="s">
        <v>347</v>
      </c>
      <c r="BV44" s="327"/>
      <c r="BW44" s="331"/>
      <c r="BX44" s="302">
        <v>45764</v>
      </c>
      <c r="BY44" s="302"/>
      <c r="BZ44" s="302"/>
      <c r="CA44" s="295"/>
      <c r="CB44" s="332"/>
      <c r="CC44" s="332"/>
      <c r="CD44" s="332" t="str">
        <f t="shared" si="8"/>
        <v/>
      </c>
      <c r="CE44" s="333">
        <v>45487</v>
      </c>
      <c r="CF44" s="334" t="str">
        <f t="shared" si="10"/>
        <v/>
      </c>
    </row>
    <row r="45" spans="1:84" s="334" customFormat="1" ht="409.5" hidden="1" customHeight="1">
      <c r="A45" s="373">
        <v>31</v>
      </c>
      <c r="B45" s="306" t="s">
        <v>299</v>
      </c>
      <c r="C45" s="307" t="s">
        <v>499</v>
      </c>
      <c r="D45" s="308" t="s">
        <v>358</v>
      </c>
      <c r="E45" s="309" t="str" cm="1">
        <f t="array" ref="E45">IFERROR(LOOKUP(2,1/('[1]Contracts Log'!$F:$F=$D45),'[1]Contracts Log'!$G:$G),"")</f>
        <v>1.TB.01.031.01</v>
      </c>
      <c r="F45" s="309" t="str" cm="1">
        <f t="array" ref="F45">IFERROR(LOOKUP(2,1/('[1]Contracts Log'!$F:$F=$D45),'[1]Contracts Log'!$C:$C),"")</f>
        <v>The Marina</v>
      </c>
      <c r="G45" s="309" t="str" cm="1">
        <f t="array" ref="G45">IFERROR(LOOKUP(2,1/('[1]Contracts Log'!$F:$F=$D45),'[1]Contracts Log'!$K:$K),"")</f>
        <v>Triple Bay Marina Basin - Design and Build Main Contract</v>
      </c>
      <c r="H45" s="309" t="str" cm="1">
        <f t="array" ref="H45">IFERROR(LOOKUP(2,1/('[1]Contracts Log'!$F:$F=$D45),'[1]Contracts Log'!$J:$J),"")</f>
        <v>Alsaad General Contracting Company</v>
      </c>
      <c r="I45" s="310">
        <v>1</v>
      </c>
      <c r="J45" s="310"/>
      <c r="K45" s="310"/>
      <c r="L45" s="310"/>
      <c r="M45" s="310"/>
      <c r="N45" s="310"/>
      <c r="O45" s="240"/>
      <c r="P45" s="335"/>
      <c r="Q45" s="240"/>
      <c r="R45" s="312" t="str">
        <f t="shared" si="9"/>
        <v/>
      </c>
      <c r="S45" s="313"/>
      <c r="T45" s="347"/>
      <c r="U45" s="240"/>
      <c r="V45" s="335" t="s">
        <v>500</v>
      </c>
      <c r="W45" s="240">
        <v>45479</v>
      </c>
      <c r="X45" s="312" t="s">
        <v>351</v>
      </c>
      <c r="Y45" s="313" t="s">
        <v>324</v>
      </c>
      <c r="Z45" s="335" t="s">
        <v>501</v>
      </c>
      <c r="AA45" s="240">
        <v>45504</v>
      </c>
      <c r="AB45" s="240"/>
      <c r="AC45" s="240"/>
      <c r="AD45" s="335" t="s">
        <v>502</v>
      </c>
      <c r="AE45" s="240">
        <v>45512</v>
      </c>
      <c r="AF45" s="315">
        <v>103</v>
      </c>
      <c r="AG45" s="315">
        <v>0</v>
      </c>
      <c r="AH45" s="315"/>
      <c r="AI45" s="315"/>
      <c r="AJ45" s="363"/>
      <c r="AK45" s="311"/>
      <c r="AL45" s="315">
        <v>103</v>
      </c>
      <c r="AM45" s="315">
        <v>0</v>
      </c>
      <c r="AN45" s="363" t="s">
        <v>503</v>
      </c>
      <c r="AO45" s="311">
        <v>45585</v>
      </c>
      <c r="AP45" s="314"/>
      <c r="AQ45" s="366"/>
      <c r="AR45" s="314"/>
      <c r="AS45" s="311"/>
      <c r="AT45" s="318"/>
      <c r="AU45" s="318"/>
      <c r="AV45" s="321"/>
      <c r="AW45" s="320"/>
      <c r="AX45" s="318"/>
      <c r="AY45" s="321"/>
      <c r="AZ45" s="320"/>
      <c r="BA45" s="318"/>
      <c r="BB45" s="321"/>
      <c r="BC45" s="322"/>
      <c r="BD45" s="299" t="s">
        <v>504</v>
      </c>
      <c r="BE45" s="299"/>
      <c r="BF45" s="323">
        <f t="shared" si="3"/>
        <v>45512</v>
      </c>
      <c r="BG45" s="324" t="str">
        <f t="shared" ca="1" si="1"/>
        <v>N/A</v>
      </c>
      <c r="BH45" s="299"/>
      <c r="BI45" s="325">
        <f t="shared" ca="1" si="4"/>
        <v>0</v>
      </c>
      <c r="BJ45" s="299"/>
      <c r="BK45" s="325">
        <f t="shared" ca="1" si="5"/>
        <v>0</v>
      </c>
      <c r="BL45" s="299"/>
      <c r="BM45" s="326"/>
      <c r="BN45" s="408"/>
      <c r="BO45" s="327" t="s">
        <v>220</v>
      </c>
      <c r="BP45" s="327" t="s">
        <v>308</v>
      </c>
      <c r="BQ45" s="328" t="s">
        <v>21</v>
      </c>
      <c r="BR45" s="329" t="s">
        <v>505</v>
      </c>
      <c r="BS45" s="331"/>
      <c r="BT45" s="327"/>
      <c r="BU45" s="327"/>
      <c r="BV45" s="327"/>
      <c r="BW45" s="331"/>
      <c r="BX45" s="302">
        <v>45585</v>
      </c>
      <c r="BY45" s="302"/>
      <c r="BZ45" s="302"/>
      <c r="CA45" s="295"/>
      <c r="CB45" s="332"/>
      <c r="CC45" s="332"/>
      <c r="CD45" s="332" t="str">
        <f t="shared" si="8"/>
        <v/>
      </c>
      <c r="CE45" s="333">
        <v>45487</v>
      </c>
      <c r="CF45" s="334" t="str">
        <f t="shared" si="10"/>
        <v/>
      </c>
    </row>
    <row r="46" spans="1:84" s="334" customFormat="1" ht="408.75" hidden="1" customHeight="1">
      <c r="A46" s="305">
        <v>32</v>
      </c>
      <c r="B46" s="306" t="s">
        <v>299</v>
      </c>
      <c r="C46" s="307" t="s">
        <v>506</v>
      </c>
      <c r="D46" s="308" t="s">
        <v>507</v>
      </c>
      <c r="E46" s="309" t="str" cm="1">
        <f t="array" ref="E46">IFERROR(LOOKUP(2,1/('[1]Contracts Log'!$F:$F=$D46),'[1]Contracts Log'!$G:$G),"")</f>
        <v>1.TB.01.100.00</v>
      </c>
      <c r="F46" s="309" t="str" cm="1">
        <f t="array" ref="F46">IFERROR(LOOKUP(2,1/('[1]Contracts Log'!$F:$F=$D46),'[1]Contracts Log'!$C:$C),"")</f>
        <v>Marina Village - Wide</v>
      </c>
      <c r="G46" s="309" t="str" cm="1">
        <f t="array" ref="G46">IFERROR(LOOKUP(2,1/('[1]Contracts Log'!$F:$F=$D46),'[1]Contracts Log'!$K:$K),"")</f>
        <v>2 Stage Convertible Construction Contract - Secondary Infrastructure Works</v>
      </c>
      <c r="H46" s="309" t="str" cm="1">
        <f t="array" ref="H46">IFERROR(LOOKUP(2,1/('[1]Contracts Log'!$F:$F=$D46),'[1]Contracts Log'!$J:$J),"")</f>
        <v>Al Khonaini International Company</v>
      </c>
      <c r="I46" s="310">
        <v>1</v>
      </c>
      <c r="J46" s="310"/>
      <c r="K46" s="310"/>
      <c r="L46" s="310"/>
      <c r="M46" s="310"/>
      <c r="N46" s="310"/>
      <c r="O46" s="240"/>
      <c r="P46" s="335"/>
      <c r="Q46" s="240"/>
      <c r="R46" s="312" t="str">
        <f t="shared" si="9"/>
        <v/>
      </c>
      <c r="S46" s="313"/>
      <c r="T46" s="347"/>
      <c r="U46" s="240"/>
      <c r="V46" s="335" t="s">
        <v>508</v>
      </c>
      <c r="W46" s="240">
        <v>45490</v>
      </c>
      <c r="X46" s="312" t="s">
        <v>351</v>
      </c>
      <c r="Y46" s="313" t="s">
        <v>324</v>
      </c>
      <c r="Z46" s="335" t="s">
        <v>509</v>
      </c>
      <c r="AA46" s="240">
        <v>45512</v>
      </c>
      <c r="AB46" s="240"/>
      <c r="AC46" s="240"/>
      <c r="AD46" s="335" t="s">
        <v>510</v>
      </c>
      <c r="AE46" s="240">
        <v>45589</v>
      </c>
      <c r="AF46" s="315">
        <v>74</v>
      </c>
      <c r="AG46" s="315">
        <v>0</v>
      </c>
      <c r="AH46" s="315"/>
      <c r="AI46" s="315"/>
      <c r="AJ46" s="363"/>
      <c r="AK46" s="311"/>
      <c r="AL46" s="315"/>
      <c r="AM46" s="315"/>
      <c r="AN46" s="365" t="s">
        <v>511</v>
      </c>
      <c r="AO46" s="311">
        <v>45734</v>
      </c>
      <c r="AP46" s="314"/>
      <c r="AQ46" s="366"/>
      <c r="AR46" s="314"/>
      <c r="AS46" s="311"/>
      <c r="AT46" s="318"/>
      <c r="AU46" s="318"/>
      <c r="AV46" s="321"/>
      <c r="AW46" s="320"/>
      <c r="AX46" s="318"/>
      <c r="AY46" s="321"/>
      <c r="AZ46" s="320"/>
      <c r="BA46" s="318"/>
      <c r="BB46" s="321"/>
      <c r="BC46" s="322"/>
      <c r="BD46" s="299" t="s">
        <v>512</v>
      </c>
      <c r="BE46" s="299"/>
      <c r="BF46" s="323">
        <f t="shared" si="3"/>
        <v>45589</v>
      </c>
      <c r="BG46" s="324" t="str">
        <f t="shared" ca="1" si="1"/>
        <v>N/A</v>
      </c>
      <c r="BH46" s="299"/>
      <c r="BI46" s="325">
        <f t="shared" ca="1" si="4"/>
        <v>0</v>
      </c>
      <c r="BJ46" s="299"/>
      <c r="BK46" s="325">
        <f t="shared" ca="1" si="5"/>
        <v>0</v>
      </c>
      <c r="BL46" s="299"/>
      <c r="BM46" s="326"/>
      <c r="BN46" s="408"/>
      <c r="BO46" s="327" t="s">
        <v>220</v>
      </c>
      <c r="BP46" s="327" t="s">
        <v>376</v>
      </c>
      <c r="BQ46" s="328" t="s">
        <v>21</v>
      </c>
      <c r="BR46" s="329" t="s">
        <v>513</v>
      </c>
      <c r="BS46" s="331"/>
      <c r="BT46" s="327"/>
      <c r="BU46" s="327"/>
      <c r="BV46" s="327"/>
      <c r="BW46" s="331"/>
      <c r="BX46" s="302">
        <v>45734</v>
      </c>
      <c r="BY46" s="302"/>
      <c r="BZ46" s="302"/>
      <c r="CA46" s="295"/>
      <c r="CB46" s="332"/>
      <c r="CC46" s="332"/>
      <c r="CD46" s="332" t="str">
        <f t="shared" si="8"/>
        <v/>
      </c>
      <c r="CE46" s="333">
        <v>45487</v>
      </c>
      <c r="CF46" s="334" t="str">
        <f t="shared" si="10"/>
        <v/>
      </c>
    </row>
    <row r="47" spans="1:84" s="334" customFormat="1" ht="408.75" hidden="1" customHeight="1">
      <c r="A47" s="373">
        <v>33</v>
      </c>
      <c r="B47" s="306" t="s">
        <v>299</v>
      </c>
      <c r="C47" s="307" t="s">
        <v>514</v>
      </c>
      <c r="D47" s="308" t="s">
        <v>515</v>
      </c>
      <c r="E47" s="309" t="str" cm="1">
        <f t="array" ref="E47">IFERROR(LOOKUP(2,1/('[1]Contracts Log'!$F:$F=$D47),'[1]Contracts Log'!$G:$G),"")</f>
        <v>1.TB.01.009.01</v>
      </c>
      <c r="F47" s="309" t="str" cm="1">
        <f t="array" ref="F47">IFERROR(LOOKUP(2,1/('[1]Contracts Log'!$F:$F=$D47),'[1]Contracts Log'!$C:$C),"")</f>
        <v>Marina Hotel 3</v>
      </c>
      <c r="G47" s="309" t="str" cm="1">
        <f t="array" ref="G47">IFERROR(LOOKUP(2,1/('[1]Contracts Log'!$F:$F=$D47),'[1]Contracts Log'!$K:$K),"")</f>
        <v>Secondary Infrastructure Works for Marina Hotel 3</v>
      </c>
      <c r="H47" s="309" t="str" cm="1">
        <f t="array" ref="H47">IFERROR(LOOKUP(2,1/('[1]Contracts Log'!$F:$F=$D47),'[1]Contracts Log'!$J:$J),"")</f>
        <v>Hassan Allam Construction Saudi Limited</v>
      </c>
      <c r="I47" s="310">
        <v>1</v>
      </c>
      <c r="J47" s="310"/>
      <c r="K47" s="310"/>
      <c r="L47" s="310"/>
      <c r="M47" s="310"/>
      <c r="N47" s="310"/>
      <c r="O47" s="240"/>
      <c r="P47" s="335"/>
      <c r="Q47" s="240"/>
      <c r="R47" s="312" t="str">
        <f t="shared" si="9"/>
        <v/>
      </c>
      <c r="S47" s="313"/>
      <c r="T47" s="347"/>
      <c r="U47" s="240"/>
      <c r="V47" s="335" t="s">
        <v>516</v>
      </c>
      <c r="W47" s="240">
        <v>45476</v>
      </c>
      <c r="X47" s="312" t="s">
        <v>351</v>
      </c>
      <c r="Y47" s="313" t="s">
        <v>324</v>
      </c>
      <c r="Z47" s="335" t="s">
        <v>517</v>
      </c>
      <c r="AA47" s="240">
        <v>45503</v>
      </c>
      <c r="AB47" s="240"/>
      <c r="AC47" s="240"/>
      <c r="AD47" s="370" t="s">
        <v>518</v>
      </c>
      <c r="AE47" s="371">
        <v>46222</v>
      </c>
      <c r="AF47" s="315">
        <v>623</v>
      </c>
      <c r="AG47" s="315"/>
      <c r="AH47" s="315"/>
      <c r="AI47" s="315"/>
      <c r="AJ47" s="363"/>
      <c r="AK47" s="311"/>
      <c r="AL47" s="315"/>
      <c r="AM47" s="315"/>
      <c r="AN47" s="365"/>
      <c r="AO47" s="311"/>
      <c r="AP47" s="314"/>
      <c r="AQ47" s="366"/>
      <c r="AR47" s="314"/>
      <c r="AS47" s="311"/>
      <c r="AT47" s="318"/>
      <c r="AU47" s="318"/>
      <c r="AV47" s="321"/>
      <c r="AW47" s="320"/>
      <c r="AX47" s="318"/>
      <c r="AY47" s="321"/>
      <c r="AZ47" s="320"/>
      <c r="BA47" s="318"/>
      <c r="BB47" s="321"/>
      <c r="BC47" s="322"/>
      <c r="BD47" s="299" t="s">
        <v>519</v>
      </c>
      <c r="BE47" s="299"/>
      <c r="BF47" s="323">
        <f t="shared" si="3"/>
        <v>46222</v>
      </c>
      <c r="BG47" s="324">
        <f t="shared" ca="1" si="1"/>
        <v>78</v>
      </c>
      <c r="BH47" s="299"/>
      <c r="BI47" s="325">
        <f t="shared" ca="1" si="4"/>
        <v>0</v>
      </c>
      <c r="BJ47" s="299"/>
      <c r="BK47" s="325">
        <f t="shared" ca="1" si="5"/>
        <v>0</v>
      </c>
      <c r="BL47" s="299"/>
      <c r="BM47" s="326"/>
      <c r="BN47" s="408"/>
      <c r="BO47" s="327" t="s">
        <v>437</v>
      </c>
      <c r="BP47" s="327" t="s">
        <v>20</v>
      </c>
      <c r="BQ47" s="328" t="s">
        <v>43</v>
      </c>
      <c r="BR47" s="329" t="s">
        <v>520</v>
      </c>
      <c r="BS47" s="331"/>
      <c r="BT47" s="327"/>
      <c r="BU47" s="327"/>
      <c r="BV47" s="327"/>
      <c r="BW47" s="331"/>
      <c r="BX47" s="302"/>
      <c r="BY47" s="302"/>
      <c r="BZ47" s="302"/>
      <c r="CA47" s="295"/>
      <c r="CB47" s="332"/>
      <c r="CC47" s="332"/>
      <c r="CD47" s="332" t="str">
        <f t="shared" si="8"/>
        <v/>
      </c>
      <c r="CE47" s="333">
        <v>45487</v>
      </c>
      <c r="CF47" s="334" t="str">
        <f t="shared" si="10"/>
        <v/>
      </c>
    </row>
    <row r="48" spans="1:84" s="334" customFormat="1" ht="315" hidden="1" customHeight="1">
      <c r="A48" s="373">
        <v>34</v>
      </c>
      <c r="B48" s="306" t="s">
        <v>310</v>
      </c>
      <c r="C48" s="307" t="s">
        <v>521</v>
      </c>
      <c r="D48" s="308" t="s">
        <v>515</v>
      </c>
      <c r="E48" s="309" t="str" cm="1">
        <f t="array" ref="E48">IFERROR(LOOKUP(2,1/('[1]Contracts Log'!$F:$F=$D48),'[1]Contracts Log'!$G:$G),"")</f>
        <v>1.TB.01.009.01</v>
      </c>
      <c r="F48" s="309" t="str" cm="1">
        <f t="array" ref="F48">IFERROR(LOOKUP(2,1/('[1]Contracts Log'!$F:$F=$D48),'[1]Contracts Log'!$C:$C),"")</f>
        <v>Marina Hotel 3</v>
      </c>
      <c r="G48" s="309" t="str" cm="1">
        <f t="array" ref="G48">IFERROR(LOOKUP(2,1/('[1]Contracts Log'!$F:$F=$D48),'[1]Contracts Log'!$K:$K),"")</f>
        <v>Secondary Infrastructure Works for Marina Hotel 3</v>
      </c>
      <c r="H48" s="309" t="str" cm="1">
        <f t="array" ref="H48">IFERROR(LOOKUP(2,1/('[1]Contracts Log'!$F:$F=$D48),'[1]Contracts Log'!$J:$J),"")</f>
        <v>Hassan Allam Construction Saudi Limited</v>
      </c>
      <c r="I48" s="310"/>
      <c r="J48" s="310">
        <v>1</v>
      </c>
      <c r="K48" s="310"/>
      <c r="L48" s="310"/>
      <c r="M48" s="310"/>
      <c r="N48" s="310"/>
      <c r="O48" s="240"/>
      <c r="P48" s="335"/>
      <c r="Q48" s="240"/>
      <c r="R48" s="312" t="str">
        <f t="shared" si="9"/>
        <v/>
      </c>
      <c r="S48" s="313"/>
      <c r="T48" s="347"/>
      <c r="U48" s="240"/>
      <c r="V48" s="335" t="s">
        <v>516</v>
      </c>
      <c r="W48" s="240">
        <v>45476</v>
      </c>
      <c r="X48" s="312" t="s">
        <v>351</v>
      </c>
      <c r="Y48" s="313" t="s">
        <v>324</v>
      </c>
      <c r="Z48" s="335" t="s">
        <v>517</v>
      </c>
      <c r="AA48" s="240">
        <v>45503</v>
      </c>
      <c r="AB48" s="240"/>
      <c r="AC48" s="240"/>
      <c r="AD48" s="370" t="s">
        <v>522</v>
      </c>
      <c r="AE48" s="371">
        <v>45504</v>
      </c>
      <c r="AF48" s="313"/>
      <c r="AG48" s="313"/>
      <c r="AH48" s="313"/>
      <c r="AI48" s="313"/>
      <c r="AJ48" s="336"/>
      <c r="AK48" s="320"/>
      <c r="AL48" s="313"/>
      <c r="AM48" s="313"/>
      <c r="AN48" s="351"/>
      <c r="AO48" s="320"/>
      <c r="AP48" s="321"/>
      <c r="AQ48" s="352"/>
      <c r="AR48" s="321"/>
      <c r="AS48" s="320"/>
      <c r="AT48" s="341">
        <v>2750341.6</v>
      </c>
      <c r="AU48" s="341"/>
      <c r="AV48" s="314"/>
      <c r="AW48" s="311"/>
      <c r="AX48" s="341"/>
      <c r="AY48" s="314"/>
      <c r="AZ48" s="311"/>
      <c r="BA48" s="341"/>
      <c r="BB48" s="314"/>
      <c r="BC48" s="364"/>
      <c r="BD48" s="299"/>
      <c r="BE48" s="299"/>
      <c r="BF48" s="323">
        <f t="shared" si="3"/>
        <v>45504</v>
      </c>
      <c r="BG48" s="324">
        <f t="shared" ca="1" si="1"/>
        <v>0</v>
      </c>
      <c r="BH48" s="299"/>
      <c r="BI48" s="325" t="str">
        <f t="shared" ca="1" si="4"/>
        <v>N/A</v>
      </c>
      <c r="BJ48" s="299"/>
      <c r="BK48" s="325">
        <f t="shared" ca="1" si="5"/>
        <v>0</v>
      </c>
      <c r="BL48" s="299"/>
      <c r="BM48" s="326"/>
      <c r="BN48" s="408"/>
      <c r="BO48" s="327" t="s">
        <v>437</v>
      </c>
      <c r="BP48" s="327" t="s">
        <v>20</v>
      </c>
      <c r="BQ48" s="328" t="s">
        <v>41</v>
      </c>
      <c r="BR48" s="329" t="s">
        <v>523</v>
      </c>
      <c r="BS48" s="331"/>
      <c r="BT48" s="327"/>
      <c r="BU48" s="327"/>
      <c r="BV48" s="327"/>
      <c r="BW48" s="331"/>
      <c r="BX48" s="302"/>
      <c r="BY48" s="302"/>
      <c r="BZ48" s="302"/>
      <c r="CA48" s="295"/>
      <c r="CB48" s="332"/>
      <c r="CC48" s="332"/>
      <c r="CD48" s="332" t="str">
        <f t="shared" si="8"/>
        <v/>
      </c>
      <c r="CE48" s="333">
        <v>45487</v>
      </c>
      <c r="CF48" s="334" t="str">
        <f t="shared" si="10"/>
        <v/>
      </c>
    </row>
    <row r="49" spans="1:84" s="334" customFormat="1" ht="409.5" hidden="1" customHeight="1">
      <c r="A49" s="373">
        <v>35</v>
      </c>
      <c r="B49" s="306" t="s">
        <v>299</v>
      </c>
      <c r="C49" s="307" t="s">
        <v>524</v>
      </c>
      <c r="D49" s="308" t="s">
        <v>525</v>
      </c>
      <c r="E49" s="309" t="str" cm="1">
        <f t="array" ref="E49">IFERROR(LOOKUP(2,1/('[1]Contracts Log'!$F:$F=$D49),'[1]Contracts Log'!$G:$G),"")</f>
        <v>1.TB.01.005.01</v>
      </c>
      <c r="F49" s="309" t="str" cm="1">
        <f t="array" ref="F49">IFERROR(LOOKUP(2,1/('[1]Contracts Log'!$F:$F=$D49),'[1]Contracts Log'!$C:$C),"")</f>
        <v>Red Sea Marine Life Institute</v>
      </c>
      <c r="G49" s="309" t="str" cm="1">
        <f t="array" ref="G49">IFERROR(LOOKUP(2,1/('[1]Contracts Log'!$F:$F=$D49),'[1]Contracts Log'!$K:$K),"")</f>
        <v>Primary Steel Structure Contract</v>
      </c>
      <c r="H49" s="309" t="str" cm="1">
        <f t="array" ref="H49">IFERROR(LOOKUP(2,1/('[1]Contracts Log'!$F:$F=$D49),'[1]Contracts Log'!$J:$J),"")</f>
        <v>Zamil Structural Steel Company (LTD)</v>
      </c>
      <c r="I49" s="310">
        <v>1</v>
      </c>
      <c r="J49" s="310"/>
      <c r="K49" s="310"/>
      <c r="L49" s="310"/>
      <c r="M49" s="310"/>
      <c r="N49" s="310"/>
      <c r="O49" s="240"/>
      <c r="P49" s="335"/>
      <c r="Q49" s="240"/>
      <c r="R49" s="312" t="str">
        <f t="shared" si="9"/>
        <v/>
      </c>
      <c r="S49" s="313"/>
      <c r="T49" s="347"/>
      <c r="U49" s="240"/>
      <c r="V49" s="335" t="s">
        <v>526</v>
      </c>
      <c r="W49" s="240">
        <v>45483</v>
      </c>
      <c r="X49" s="312" t="s">
        <v>351</v>
      </c>
      <c r="Y49" s="313" t="s">
        <v>324</v>
      </c>
      <c r="Z49" s="335" t="s">
        <v>527</v>
      </c>
      <c r="AA49" s="240">
        <v>45522</v>
      </c>
      <c r="AB49" s="240"/>
      <c r="AC49" s="240"/>
      <c r="AD49" s="335" t="s">
        <v>528</v>
      </c>
      <c r="AE49" s="240">
        <v>45742</v>
      </c>
      <c r="AF49" s="315"/>
      <c r="AG49" s="315"/>
      <c r="AH49" s="315"/>
      <c r="AI49" s="315"/>
      <c r="AJ49" s="363"/>
      <c r="AK49" s="311"/>
      <c r="AL49" s="315"/>
      <c r="AM49" s="315"/>
      <c r="AN49" s="374" t="s">
        <v>529</v>
      </c>
      <c r="AO49" s="302">
        <v>45978</v>
      </c>
      <c r="AP49" s="314"/>
      <c r="AQ49" s="366"/>
      <c r="AR49" s="314"/>
      <c r="AS49" s="311"/>
      <c r="AT49" s="318"/>
      <c r="AU49" s="318"/>
      <c r="AV49" s="321"/>
      <c r="AW49" s="320"/>
      <c r="AX49" s="318"/>
      <c r="AY49" s="321"/>
      <c r="AZ49" s="320"/>
      <c r="BA49" s="318"/>
      <c r="BB49" s="321"/>
      <c r="BC49" s="322"/>
      <c r="BD49" s="299" t="s">
        <v>530</v>
      </c>
      <c r="BE49" s="299"/>
      <c r="BF49" s="323">
        <f t="shared" si="3"/>
        <v>45742</v>
      </c>
      <c r="BG49" s="324" t="str">
        <f t="shared" ca="1" si="1"/>
        <v>N/A</v>
      </c>
      <c r="BH49" s="299"/>
      <c r="BI49" s="325">
        <f t="shared" ca="1" si="4"/>
        <v>0</v>
      </c>
      <c r="BJ49" s="299"/>
      <c r="BK49" s="325">
        <f t="shared" ca="1" si="5"/>
        <v>0</v>
      </c>
      <c r="BL49" s="299"/>
      <c r="BM49" s="326"/>
      <c r="BN49" s="360"/>
      <c r="BO49" s="327" t="s">
        <v>363</v>
      </c>
      <c r="BP49" s="327" t="s">
        <v>376</v>
      </c>
      <c r="BQ49" s="328" t="s">
        <v>21</v>
      </c>
      <c r="BR49" s="409" t="s">
        <v>531</v>
      </c>
      <c r="BS49" s="331"/>
      <c r="BT49" s="327"/>
      <c r="BU49" s="327"/>
      <c r="BV49" s="327"/>
      <c r="BW49" s="331"/>
      <c r="BX49" s="302">
        <v>45978</v>
      </c>
      <c r="BY49" s="302"/>
      <c r="BZ49" s="302"/>
      <c r="CA49" s="295"/>
      <c r="CB49" s="332"/>
      <c r="CC49" s="332"/>
      <c r="CD49" s="332" t="str">
        <f t="shared" si="8"/>
        <v/>
      </c>
      <c r="CE49" s="333">
        <v>45502</v>
      </c>
      <c r="CF49" s="334" t="str">
        <f t="shared" si="10"/>
        <v/>
      </c>
    </row>
    <row r="50" spans="1:84" s="334" customFormat="1" ht="409.5" hidden="1" customHeight="1">
      <c r="A50" s="373">
        <v>36</v>
      </c>
      <c r="B50" s="306" t="s">
        <v>299</v>
      </c>
      <c r="C50" s="307" t="s">
        <v>532</v>
      </c>
      <c r="D50" s="308" t="s">
        <v>533</v>
      </c>
      <c r="E50" s="309" t="str" cm="1">
        <f t="array" ref="E50">IFERROR(LOOKUP(2,1/('[1]Contracts Log'!$F:$F=$D50),'[1]Contracts Log'!$G:$G),"")</f>
        <v>1.TB.01.002.99</v>
      </c>
      <c r="F50" s="309" t="str" cm="1">
        <f t="array" ref="F50">IFERROR(LOOKUP(2,1/('[1]Contracts Log'!$F:$F=$D50),'[1]Contracts Log'!$C:$C),"")</f>
        <v>Marina Lifestyle Hotel &amp; Village</v>
      </c>
      <c r="G50" s="309" t="str" cm="1">
        <f t="array" ref="G50">IFERROR(LOOKUP(2,1/('[1]Contracts Log'!$F:$F=$D50),'[1]Contracts Log'!$K:$K),"")</f>
        <v>Kitchen &amp; Laundry Works for Marina Lifestyle Hotel</v>
      </c>
      <c r="H50" s="309" t="str" cm="1">
        <f t="array" ref="H50">IFERROR(LOOKUP(2,1/('[1]Contracts Log'!$F:$F=$D50),'[1]Contracts Log'!$J:$J),"")</f>
        <v>Abdulaziz Al Raqtan and Partners Company for Trading and Industry Company</v>
      </c>
      <c r="I50" s="310">
        <v>1</v>
      </c>
      <c r="J50" s="310"/>
      <c r="K50" s="310"/>
      <c r="L50" s="310"/>
      <c r="M50" s="310"/>
      <c r="N50" s="310"/>
      <c r="O50" s="240"/>
      <c r="P50" s="335"/>
      <c r="Q50" s="240"/>
      <c r="R50" s="312" t="str">
        <f t="shared" si="9"/>
        <v/>
      </c>
      <c r="S50" s="313"/>
      <c r="T50" s="347"/>
      <c r="U50" s="240"/>
      <c r="V50" s="335" t="s">
        <v>534</v>
      </c>
      <c r="W50" s="240">
        <v>45512</v>
      </c>
      <c r="X50" s="312" t="s">
        <v>351</v>
      </c>
      <c r="Y50" s="313" t="s">
        <v>324</v>
      </c>
      <c r="Z50" s="335" t="s">
        <v>535</v>
      </c>
      <c r="AA50" s="240">
        <v>45532</v>
      </c>
      <c r="AB50" s="240"/>
      <c r="AC50" s="240"/>
      <c r="AD50" s="335" t="s">
        <v>536</v>
      </c>
      <c r="AE50" s="240">
        <v>46183</v>
      </c>
      <c r="AF50" s="410">
        <v>136</v>
      </c>
      <c r="AG50" s="315"/>
      <c r="AH50" s="315"/>
      <c r="AI50" s="315"/>
      <c r="AJ50" s="363"/>
      <c r="AK50" s="311"/>
      <c r="AL50" s="315"/>
      <c r="AM50" s="315"/>
      <c r="AN50" s="365"/>
      <c r="AO50" s="311"/>
      <c r="AP50" s="314"/>
      <c r="AQ50" s="366"/>
      <c r="AR50" s="314"/>
      <c r="AS50" s="311"/>
      <c r="AT50" s="318"/>
      <c r="AU50" s="318"/>
      <c r="AV50" s="321"/>
      <c r="AW50" s="320"/>
      <c r="AX50" s="318"/>
      <c r="AY50" s="321"/>
      <c r="AZ50" s="320"/>
      <c r="BA50" s="318"/>
      <c r="BB50" s="321"/>
      <c r="BC50" s="322"/>
      <c r="BD50" s="411" t="s">
        <v>537</v>
      </c>
      <c r="BE50" s="411"/>
      <c r="BF50" s="323">
        <f t="shared" si="3"/>
        <v>46183</v>
      </c>
      <c r="BG50" s="324">
        <f t="shared" ca="1" si="1"/>
        <v>56</v>
      </c>
      <c r="BH50" s="375">
        <v>46239</v>
      </c>
      <c r="BI50" s="325">
        <f t="shared" ca="1" si="4"/>
        <v>61</v>
      </c>
      <c r="BJ50" s="299"/>
      <c r="BK50" s="325">
        <f t="shared" ca="1" si="5"/>
        <v>0</v>
      </c>
      <c r="BL50" s="299"/>
      <c r="BM50" s="326"/>
      <c r="BN50" s="408"/>
      <c r="BO50" s="327" t="s">
        <v>437</v>
      </c>
      <c r="BP50" s="327" t="s">
        <v>20</v>
      </c>
      <c r="BQ50" s="328" t="s">
        <v>43</v>
      </c>
      <c r="BR50" s="329" t="s">
        <v>1076</v>
      </c>
      <c r="BS50" s="331"/>
      <c r="BT50" s="327"/>
      <c r="BU50" s="327"/>
      <c r="BV50" s="327"/>
      <c r="BW50" s="331"/>
      <c r="BX50" s="302"/>
      <c r="BY50" s="302"/>
      <c r="BZ50" s="302"/>
      <c r="CA50" s="295"/>
      <c r="CB50" s="332"/>
      <c r="CC50" s="332"/>
      <c r="CD50" s="332" t="str">
        <f t="shared" si="8"/>
        <v/>
      </c>
      <c r="CE50" s="333">
        <v>45515</v>
      </c>
      <c r="CF50" s="334" t="str">
        <f t="shared" si="10"/>
        <v/>
      </c>
    </row>
    <row r="51" spans="1:84" s="334" customFormat="1" ht="126" hidden="1" customHeight="1">
      <c r="A51" s="373">
        <v>37</v>
      </c>
      <c r="B51" s="306" t="s">
        <v>310</v>
      </c>
      <c r="C51" s="307" t="s">
        <v>532</v>
      </c>
      <c r="D51" s="308" t="s">
        <v>533</v>
      </c>
      <c r="E51" s="309" t="str" cm="1">
        <f t="array" ref="E51">IFERROR(LOOKUP(2,1/('[1]Contracts Log'!$F:$F=$D51),'[1]Contracts Log'!$G:$G),"")</f>
        <v>1.TB.01.002.99</v>
      </c>
      <c r="F51" s="309" t="str" cm="1">
        <f t="array" ref="F51">IFERROR(LOOKUP(2,1/('[1]Contracts Log'!$F:$F=$D51),'[1]Contracts Log'!$C:$C),"")</f>
        <v>Marina Lifestyle Hotel &amp; Village</v>
      </c>
      <c r="G51" s="309" t="str" cm="1">
        <f t="array" ref="G51">IFERROR(LOOKUP(2,1/('[1]Contracts Log'!$F:$F=$D51),'[1]Contracts Log'!$K:$K),"")</f>
        <v>Kitchen &amp; Laundry Works for Marina Lifestyle Hotel</v>
      </c>
      <c r="H51" s="309" t="str" cm="1">
        <f t="array" ref="H51">IFERROR(LOOKUP(2,1/('[1]Contracts Log'!$F:$F=$D51),'[1]Contracts Log'!$J:$J),"")</f>
        <v>Abdulaziz Al Raqtan and Partners Company for Trading and Industry Company</v>
      </c>
      <c r="I51" s="310"/>
      <c r="J51" s="310">
        <v>1</v>
      </c>
      <c r="K51" s="310"/>
      <c r="L51" s="310"/>
      <c r="M51" s="310"/>
      <c r="N51" s="310"/>
      <c r="O51" s="240"/>
      <c r="P51" s="335"/>
      <c r="Q51" s="240"/>
      <c r="R51" s="312" t="str">
        <f t="shared" si="9"/>
        <v/>
      </c>
      <c r="S51" s="313"/>
      <c r="T51" s="347"/>
      <c r="U51" s="240"/>
      <c r="V51" s="335" t="s">
        <v>534</v>
      </c>
      <c r="W51" s="240">
        <v>45512</v>
      </c>
      <c r="X51" s="312" t="s">
        <v>351</v>
      </c>
      <c r="Y51" s="313" t="s">
        <v>324</v>
      </c>
      <c r="Z51" s="335" t="s">
        <v>535</v>
      </c>
      <c r="AA51" s="240">
        <v>45532</v>
      </c>
      <c r="AB51" s="240"/>
      <c r="AC51" s="240"/>
      <c r="AD51" s="335"/>
      <c r="AE51" s="240"/>
      <c r="AF51" s="313"/>
      <c r="AG51" s="313"/>
      <c r="AH51" s="313"/>
      <c r="AI51" s="313"/>
      <c r="AJ51" s="336"/>
      <c r="AK51" s="320" t="s">
        <v>305</v>
      </c>
      <c r="AL51" s="313"/>
      <c r="AM51" s="313"/>
      <c r="AN51" s="351"/>
      <c r="AO51" s="320" t="s">
        <v>305</v>
      </c>
      <c r="AP51" s="321"/>
      <c r="AQ51" s="352"/>
      <c r="AR51" s="321"/>
      <c r="AS51" s="320" t="s">
        <v>305</v>
      </c>
      <c r="AT51" s="341" t="s">
        <v>305</v>
      </c>
      <c r="AU51" s="341"/>
      <c r="AV51" s="314"/>
      <c r="AW51" s="341" t="s">
        <v>305</v>
      </c>
      <c r="AX51" s="341"/>
      <c r="AY51" s="314"/>
      <c r="AZ51" s="341" t="s">
        <v>305</v>
      </c>
      <c r="BA51" s="341"/>
      <c r="BB51" s="314"/>
      <c r="BC51" s="341" t="s">
        <v>305</v>
      </c>
      <c r="BD51" s="412"/>
      <c r="BE51" s="412"/>
      <c r="BF51" s="323">
        <f t="shared" si="3"/>
        <v>45512</v>
      </c>
      <c r="BG51" s="324" t="str">
        <f t="shared" ca="1" si="1"/>
        <v>N/A</v>
      </c>
      <c r="BH51" s="299"/>
      <c r="BI51" s="325" t="str">
        <f t="shared" ca="1" si="4"/>
        <v>N/A</v>
      </c>
      <c r="BJ51" s="299"/>
      <c r="BK51" s="325">
        <f t="shared" ca="1" si="5"/>
        <v>0</v>
      </c>
      <c r="BL51" s="299"/>
      <c r="BM51" s="326"/>
      <c r="BN51" s="408"/>
      <c r="BO51" s="327" t="s">
        <v>354</v>
      </c>
      <c r="BP51" s="327" t="s">
        <v>354</v>
      </c>
      <c r="BQ51" s="328" t="s">
        <v>21</v>
      </c>
      <c r="BR51" s="329" t="s">
        <v>538</v>
      </c>
      <c r="BS51" s="331"/>
      <c r="BT51" s="327"/>
      <c r="BU51" s="327"/>
      <c r="BV51" s="327"/>
      <c r="BW51" s="331"/>
      <c r="BX51" s="302">
        <v>46113</v>
      </c>
      <c r="BY51" s="302"/>
      <c r="BZ51" s="302"/>
      <c r="CA51" s="295"/>
      <c r="CB51" s="332"/>
      <c r="CC51" s="332"/>
      <c r="CD51" s="332" t="str">
        <f t="shared" si="8"/>
        <v/>
      </c>
      <c r="CE51" s="333">
        <v>45515</v>
      </c>
      <c r="CF51" s="334" t="str">
        <f t="shared" si="10"/>
        <v/>
      </c>
    </row>
    <row r="52" spans="1:84" s="334" customFormat="1" ht="409.5" hidden="1" customHeight="1">
      <c r="A52" s="373">
        <v>38</v>
      </c>
      <c r="B52" s="306" t="s">
        <v>299</v>
      </c>
      <c r="C52" s="307" t="s">
        <v>539</v>
      </c>
      <c r="D52" s="308" t="s">
        <v>540</v>
      </c>
      <c r="E52" s="309" t="str" cm="1">
        <f t="array" ref="E52">IFERROR(LOOKUP(2,1/('[1]Contracts Log'!$F:$F=$D52),'[1]Contracts Log'!$G:$G),"")</f>
        <v>1.TB.01.002.99</v>
      </c>
      <c r="F52" s="309" t="str" cm="1">
        <f t="array" ref="F52">IFERROR(LOOKUP(2,1/('[1]Contracts Log'!$F:$F=$D52),'[1]Contracts Log'!$C:$C),"")</f>
        <v>Marina Lifestyle Hotel &amp; Village</v>
      </c>
      <c r="G52" s="309" t="str" cm="1">
        <f t="array" ref="G52">IFERROR(LOOKUP(2,1/('[1]Contracts Log'!$F:$F=$D52),'[1]Contracts Log'!$K:$K),"")</f>
        <v>Structural Steel Works</v>
      </c>
      <c r="H52" s="309" t="str" cm="1">
        <f t="array" ref="H52">IFERROR(LOOKUP(2,1/('[1]Contracts Log'!$F:$F=$D52),'[1]Contracts Log'!$J:$J),"")</f>
        <v>Cleveland Bridge Steel Co. LTD</v>
      </c>
      <c r="I52" s="310">
        <v>1</v>
      </c>
      <c r="J52" s="310"/>
      <c r="K52" s="310"/>
      <c r="L52" s="310"/>
      <c r="M52" s="310"/>
      <c r="N52" s="310"/>
      <c r="O52" s="240"/>
      <c r="P52" s="335"/>
      <c r="Q52" s="240"/>
      <c r="R52" s="312" t="str">
        <f t="shared" si="9"/>
        <v/>
      </c>
      <c r="S52" s="313"/>
      <c r="T52" s="347"/>
      <c r="U52" s="240"/>
      <c r="V52" s="335" t="s">
        <v>541</v>
      </c>
      <c r="W52" s="240">
        <v>45515</v>
      </c>
      <c r="X52" s="312" t="s">
        <v>351</v>
      </c>
      <c r="Y52" s="313" t="s">
        <v>324</v>
      </c>
      <c r="Z52" s="335" t="s">
        <v>542</v>
      </c>
      <c r="AA52" s="240">
        <v>45532</v>
      </c>
      <c r="AB52" s="240"/>
      <c r="AC52" s="240"/>
      <c r="AD52" s="335" t="s">
        <v>543</v>
      </c>
      <c r="AE52" s="240">
        <v>45938</v>
      </c>
      <c r="AF52" s="315">
        <v>96</v>
      </c>
      <c r="AG52" s="315">
        <v>0</v>
      </c>
      <c r="AH52" s="315"/>
      <c r="AI52" s="315"/>
      <c r="AJ52" s="363"/>
      <c r="AK52" s="311"/>
      <c r="AL52" s="315"/>
      <c r="AM52" s="315"/>
      <c r="AN52" s="374" t="s">
        <v>544</v>
      </c>
      <c r="AO52" s="413">
        <f>DATE(2026,2,9)+7</f>
        <v>46069</v>
      </c>
      <c r="AP52" s="314"/>
      <c r="AQ52" s="366"/>
      <c r="AR52" s="314"/>
      <c r="AS52" s="311"/>
      <c r="AT52" s="318"/>
      <c r="AU52" s="318"/>
      <c r="AV52" s="321"/>
      <c r="AW52" s="320"/>
      <c r="AX52" s="318"/>
      <c r="AY52" s="321"/>
      <c r="AZ52" s="320"/>
      <c r="BA52" s="318"/>
      <c r="BB52" s="321"/>
      <c r="BC52" s="322"/>
      <c r="BD52" s="411" t="s">
        <v>545</v>
      </c>
      <c r="BE52" s="411"/>
      <c r="BF52" s="323">
        <f t="shared" si="3"/>
        <v>45938</v>
      </c>
      <c r="BG52" s="324" t="str">
        <f t="shared" ca="1" si="1"/>
        <v>N/A</v>
      </c>
      <c r="BH52" s="299"/>
      <c r="BI52" s="325">
        <f t="shared" ca="1" si="4"/>
        <v>0</v>
      </c>
      <c r="BJ52" s="299"/>
      <c r="BK52" s="325">
        <f t="shared" ca="1" si="5"/>
        <v>0</v>
      </c>
      <c r="BL52" s="299"/>
      <c r="BM52" s="326"/>
      <c r="BN52" s="360"/>
      <c r="BO52" s="327" t="s">
        <v>220</v>
      </c>
      <c r="BP52" s="327" t="s">
        <v>376</v>
      </c>
      <c r="BQ52" s="328" t="s">
        <v>21</v>
      </c>
      <c r="BR52" s="329" t="s">
        <v>546</v>
      </c>
      <c r="BS52" s="331"/>
      <c r="BT52" s="327"/>
      <c r="BU52" s="327"/>
      <c r="BV52" s="327"/>
      <c r="BW52" s="331"/>
      <c r="BX52" s="302">
        <v>46082</v>
      </c>
      <c r="BY52" s="302"/>
      <c r="BZ52" s="302"/>
      <c r="CA52" s="295"/>
      <c r="CB52" s="332"/>
      <c r="CC52" s="332"/>
      <c r="CD52" s="332" t="str">
        <f t="shared" si="8"/>
        <v/>
      </c>
      <c r="CE52" s="333">
        <v>45515</v>
      </c>
      <c r="CF52" s="334" t="str">
        <f t="shared" si="10"/>
        <v/>
      </c>
    </row>
    <row r="53" spans="1:84" s="334" customFormat="1" ht="409.5" hidden="1" customHeight="1">
      <c r="A53" s="373">
        <v>39</v>
      </c>
      <c r="B53" s="306" t="s">
        <v>299</v>
      </c>
      <c r="C53" s="307" t="s">
        <v>547</v>
      </c>
      <c r="D53" s="308" t="s">
        <v>548</v>
      </c>
      <c r="E53" s="309" t="str" cm="1">
        <f t="array" ref="E53">IFERROR(LOOKUP(2,1/('[1]Contracts Log'!$F:$F=$D53),'[1]Contracts Log'!$G:$G),"")</f>
        <v>1.TB.01.006.99</v>
      </c>
      <c r="F53" s="309" t="str" cm="1">
        <f t="array" ref="F53">IFERROR(LOOKUP(2,1/('[1]Contracts Log'!$F:$F=$D53),'[1]Contracts Log'!$C:$C),"")</f>
        <v>Village Boutique Hotel</v>
      </c>
      <c r="G53" s="309" t="str" cm="1">
        <f t="array" ref="G53">IFERROR(LOOKUP(2,1/('[1]Contracts Log'!$F:$F=$D53),'[1]Contracts Log'!$K:$K),"")</f>
        <v>Structural Steel Works for Village Boutique Hotel</v>
      </c>
      <c r="H53" s="309" t="str" cm="1">
        <f t="array" ref="H53">IFERROR(LOOKUP(2,1/('[1]Contracts Log'!$F:$F=$D53),'[1]Contracts Log'!$J:$J),"")</f>
        <v>Cleveland Bridge Steel Co. LTD</v>
      </c>
      <c r="I53" s="310">
        <v>1</v>
      </c>
      <c r="J53" s="310"/>
      <c r="K53" s="310"/>
      <c r="L53" s="310"/>
      <c r="M53" s="310"/>
      <c r="N53" s="310"/>
      <c r="O53" s="240"/>
      <c r="P53" s="335"/>
      <c r="Q53" s="240"/>
      <c r="R53" s="312" t="str">
        <f t="shared" si="9"/>
        <v/>
      </c>
      <c r="S53" s="313"/>
      <c r="T53" s="347"/>
      <c r="U53" s="240"/>
      <c r="V53" s="335" t="s">
        <v>549</v>
      </c>
      <c r="W53" s="240">
        <v>45431</v>
      </c>
      <c r="X53" s="312" t="s">
        <v>351</v>
      </c>
      <c r="Y53" s="313" t="s">
        <v>324</v>
      </c>
      <c r="Z53" s="335" t="s">
        <v>550</v>
      </c>
      <c r="AA53" s="240">
        <v>45450</v>
      </c>
      <c r="AB53" s="240"/>
      <c r="AC53" s="240"/>
      <c r="AD53" s="335" t="s">
        <v>551</v>
      </c>
      <c r="AE53" s="240">
        <v>45844</v>
      </c>
      <c r="AF53" s="315">
        <v>191</v>
      </c>
      <c r="AG53" s="315"/>
      <c r="AH53" s="315"/>
      <c r="AI53" s="315"/>
      <c r="AJ53" s="363"/>
      <c r="AK53" s="311"/>
      <c r="AL53" s="315"/>
      <c r="AM53" s="315"/>
      <c r="AN53" s="365" t="s">
        <v>552</v>
      </c>
      <c r="AO53" s="311">
        <v>45914</v>
      </c>
      <c r="AP53" s="314"/>
      <c r="AQ53" s="366"/>
      <c r="AR53" s="314"/>
      <c r="AS53" s="311"/>
      <c r="AT53" s="318"/>
      <c r="AU53" s="318"/>
      <c r="AV53" s="321"/>
      <c r="AW53" s="320"/>
      <c r="AX53" s="318"/>
      <c r="AY53" s="321"/>
      <c r="AZ53" s="320"/>
      <c r="BA53" s="318"/>
      <c r="BB53" s="321"/>
      <c r="BC53" s="322"/>
      <c r="BD53" s="299" t="s">
        <v>553</v>
      </c>
      <c r="BE53" s="299"/>
      <c r="BF53" s="323">
        <f t="shared" si="3"/>
        <v>45844</v>
      </c>
      <c r="BG53" s="324" t="str">
        <f t="shared" ca="1" si="1"/>
        <v>N/A</v>
      </c>
      <c r="BH53" s="299"/>
      <c r="BI53" s="325">
        <f t="shared" ca="1" si="4"/>
        <v>0</v>
      </c>
      <c r="BJ53" s="299"/>
      <c r="BK53" s="325">
        <f t="shared" ca="1" si="5"/>
        <v>0</v>
      </c>
      <c r="BL53" s="299"/>
      <c r="BM53" s="326"/>
      <c r="BN53" s="408"/>
      <c r="BO53" s="327" t="s">
        <v>220</v>
      </c>
      <c r="BP53" s="327" t="s">
        <v>376</v>
      </c>
      <c r="BQ53" s="328" t="s">
        <v>21</v>
      </c>
      <c r="BR53" s="329" t="s">
        <v>554</v>
      </c>
      <c r="BS53" s="331"/>
      <c r="BT53" s="327"/>
      <c r="BU53" s="327"/>
      <c r="BV53" s="327"/>
      <c r="BW53" s="331"/>
      <c r="BX53" s="302">
        <v>45914</v>
      </c>
      <c r="BY53" s="302"/>
      <c r="BZ53" s="302"/>
      <c r="CA53" s="295"/>
      <c r="CB53" s="332"/>
      <c r="CC53" s="332"/>
      <c r="CD53" s="332" t="str">
        <f t="shared" si="8"/>
        <v/>
      </c>
      <c r="CE53" s="333">
        <v>45530</v>
      </c>
      <c r="CF53" s="334" t="str">
        <f t="shared" si="10"/>
        <v/>
      </c>
    </row>
    <row r="54" spans="1:84" s="334" customFormat="1" ht="347.25" hidden="1" customHeight="1">
      <c r="A54" s="414">
        <v>40</v>
      </c>
      <c r="B54" s="306" t="s">
        <v>299</v>
      </c>
      <c r="C54" s="307" t="s">
        <v>532</v>
      </c>
      <c r="D54" s="308" t="s">
        <v>555</v>
      </c>
      <c r="E54" s="309" t="str" cm="1">
        <f t="array" ref="E54">IFERROR(LOOKUP(2,1/('[1]Contracts Log'!$F:$F=$D54),'[1]Contracts Log'!$G:$G),"")</f>
        <v>1.TB.01.002.99</v>
      </c>
      <c r="F54" s="309" t="str" cm="1">
        <f t="array" ref="F54">IFERROR(LOOKUP(2,1/('[1]Contracts Log'!$F:$F=$D54),'[1]Contracts Log'!$C:$C),"")</f>
        <v>Marina Lifestyle Hotel &amp; Village</v>
      </c>
      <c r="G54" s="309" t="str" cm="1">
        <f t="array" ref="G54">IFERROR(LOOKUP(2,1/('[1]Contracts Log'!$F:$F=$D54),'[1]Contracts Log'!$K:$K),"")</f>
        <v>MEP &amp; ICT / ELV Works for Marina Lifestyle Hotel</v>
      </c>
      <c r="H54" s="309" t="str" cm="1">
        <f t="array" ref="H54">IFERROR(LOOKUP(2,1/('[1]Contracts Log'!$F:$F=$D54),'[1]Contracts Log'!$J:$J),"")</f>
        <v>Shapoorji Pallonji Mideast LLC</v>
      </c>
      <c r="I54" s="310">
        <v>1</v>
      </c>
      <c r="J54" s="310"/>
      <c r="K54" s="310"/>
      <c r="L54" s="310"/>
      <c r="M54" s="310"/>
      <c r="N54" s="310"/>
      <c r="O54" s="240"/>
      <c r="P54" s="335"/>
      <c r="Q54" s="240"/>
      <c r="R54" s="312" t="str">
        <f t="shared" si="9"/>
        <v/>
      </c>
      <c r="S54" s="313"/>
      <c r="T54" s="347"/>
      <c r="U54" s="240"/>
      <c r="V54" s="335" t="s">
        <v>556</v>
      </c>
      <c r="W54" s="240">
        <v>45586</v>
      </c>
      <c r="X54" s="312" t="s">
        <v>351</v>
      </c>
      <c r="Y54" s="313" t="s">
        <v>324</v>
      </c>
      <c r="Z54" s="335" t="s">
        <v>557</v>
      </c>
      <c r="AA54" s="240">
        <v>45657</v>
      </c>
      <c r="AB54" s="240"/>
      <c r="AC54" s="240"/>
      <c r="AD54" s="335" t="s">
        <v>558</v>
      </c>
      <c r="AE54" s="240">
        <v>46114</v>
      </c>
      <c r="AF54" s="315">
        <v>219</v>
      </c>
      <c r="AG54" s="315">
        <v>219</v>
      </c>
      <c r="AH54" s="315"/>
      <c r="AI54" s="315"/>
      <c r="AJ54" s="363"/>
      <c r="AK54" s="311"/>
      <c r="AL54" s="315"/>
      <c r="AM54" s="315"/>
      <c r="AN54" s="363" t="s">
        <v>559</v>
      </c>
      <c r="AO54" s="311">
        <f>+DATE(2026,6,2)+7</f>
        <v>46182</v>
      </c>
      <c r="AP54" s="314"/>
      <c r="AQ54" s="366"/>
      <c r="AR54" s="314"/>
      <c r="AS54" s="311"/>
      <c r="AT54" s="318"/>
      <c r="AU54" s="318"/>
      <c r="AV54" s="321"/>
      <c r="AW54" s="320"/>
      <c r="AX54" s="318"/>
      <c r="AY54" s="321"/>
      <c r="AZ54" s="320"/>
      <c r="BA54" s="318"/>
      <c r="BB54" s="321"/>
      <c r="BC54" s="322"/>
      <c r="BD54" s="299" t="s">
        <v>560</v>
      </c>
      <c r="BE54" s="299"/>
      <c r="BF54" s="323">
        <f t="shared" si="3"/>
        <v>46114</v>
      </c>
      <c r="BG54" s="324">
        <f t="shared" ca="1" si="1"/>
        <v>6</v>
      </c>
      <c r="BH54" s="375">
        <v>46120</v>
      </c>
      <c r="BI54" s="325">
        <f t="shared" ca="1" si="4"/>
        <v>42</v>
      </c>
      <c r="BJ54" s="375">
        <v>46162</v>
      </c>
      <c r="BK54" s="325">
        <f t="shared" ca="1" si="5"/>
        <v>13</v>
      </c>
      <c r="BL54" s="375">
        <v>46175</v>
      </c>
      <c r="BM54" s="326"/>
      <c r="BN54" s="360"/>
      <c r="BO54" s="327" t="s">
        <v>220</v>
      </c>
      <c r="BP54" s="327" t="s">
        <v>20</v>
      </c>
      <c r="BQ54" s="328" t="s">
        <v>43</v>
      </c>
      <c r="BR54" s="329" t="s">
        <v>1074</v>
      </c>
      <c r="BS54" s="331"/>
      <c r="BT54" s="327"/>
      <c r="BU54" s="327"/>
      <c r="BV54" s="327"/>
      <c r="BW54" s="331"/>
      <c r="BX54" s="302">
        <v>46174</v>
      </c>
      <c r="BY54" s="302"/>
      <c r="BZ54" s="302"/>
      <c r="CA54" s="295"/>
      <c r="CB54" s="332"/>
      <c r="CC54" s="332"/>
      <c r="CD54" s="332" t="str">
        <f t="shared" si="8"/>
        <v/>
      </c>
      <c r="CE54" s="333">
        <v>45599</v>
      </c>
      <c r="CF54" s="334" t="str">
        <f t="shared" si="10"/>
        <v/>
      </c>
    </row>
    <row r="55" spans="1:84" s="334" customFormat="1" ht="409.5" hidden="1" customHeight="1">
      <c r="A55" s="414">
        <v>41</v>
      </c>
      <c r="B55" s="306" t="s">
        <v>299</v>
      </c>
      <c r="C55" s="307" t="s">
        <v>561</v>
      </c>
      <c r="D55" s="308" t="s">
        <v>562</v>
      </c>
      <c r="E55" s="309" t="str" cm="1">
        <f t="array" ref="E55">IFERROR(LOOKUP(2,1/('[1]Contracts Log'!$F:$F=$D55),'[1]Contracts Log'!$G:$G),"")</f>
        <v>1.TB.01.006.99</v>
      </c>
      <c r="F55" s="309" t="str" cm="1">
        <f t="array" ref="F55">IFERROR(LOOKUP(2,1/('[1]Contracts Log'!$F:$F=$D55),'[1]Contracts Log'!$C:$C),"")</f>
        <v>Village Boutique Hotel</v>
      </c>
      <c r="G55" s="309" t="str" cm="1">
        <f t="array" ref="G55">IFERROR(LOOKUP(2,1/('[1]Contracts Log'!$F:$F=$D55),'[1]Contracts Log'!$K:$K),"")</f>
        <v>MEP &amp; ICT / ELV Works for Village Boutique Hotel</v>
      </c>
      <c r="H55" s="309" t="str" cm="1">
        <f t="array" ref="H55">IFERROR(LOOKUP(2,1/('[1]Contracts Log'!$F:$F=$D55),'[1]Contracts Log'!$J:$J),"")</f>
        <v>Shapoorji Pallonji Mideast LLC</v>
      </c>
      <c r="I55" s="310">
        <v>1</v>
      </c>
      <c r="J55" s="310"/>
      <c r="K55" s="310"/>
      <c r="L55" s="310"/>
      <c r="M55" s="310"/>
      <c r="N55" s="310"/>
      <c r="O55" s="240"/>
      <c r="P55" s="335"/>
      <c r="Q55" s="240"/>
      <c r="R55" s="312" t="str">
        <f t="shared" si="9"/>
        <v/>
      </c>
      <c r="S55" s="313"/>
      <c r="T55" s="347"/>
      <c r="U55" s="240"/>
      <c r="V55" s="335" t="s">
        <v>563</v>
      </c>
      <c r="W55" s="240">
        <v>45598</v>
      </c>
      <c r="X55" s="312" t="s">
        <v>351</v>
      </c>
      <c r="Y55" s="313" t="s">
        <v>324</v>
      </c>
      <c r="Z55" s="335" t="s">
        <v>564</v>
      </c>
      <c r="AA55" s="240">
        <v>45680</v>
      </c>
      <c r="AB55" s="240"/>
      <c r="AC55" s="240"/>
      <c r="AD55" s="335" t="s">
        <v>565</v>
      </c>
      <c r="AE55" s="240">
        <v>46040</v>
      </c>
      <c r="AF55" s="316">
        <v>273</v>
      </c>
      <c r="AG55" s="315"/>
      <c r="AH55" s="315"/>
      <c r="AI55" s="315"/>
      <c r="AJ55" s="363"/>
      <c r="AK55" s="311"/>
      <c r="AL55" s="315"/>
      <c r="AM55" s="315"/>
      <c r="AN55" s="363" t="s">
        <v>566</v>
      </c>
      <c r="AO55" s="311">
        <v>46118</v>
      </c>
      <c r="AP55" s="314"/>
      <c r="AQ55" s="366"/>
      <c r="AR55" s="314"/>
      <c r="AS55" s="311"/>
      <c r="AT55" s="318"/>
      <c r="AU55" s="318"/>
      <c r="AV55" s="321"/>
      <c r="AW55" s="320"/>
      <c r="AX55" s="318"/>
      <c r="AY55" s="321"/>
      <c r="AZ55" s="320"/>
      <c r="BA55" s="318"/>
      <c r="BB55" s="321"/>
      <c r="BC55" s="322"/>
      <c r="BD55" s="299"/>
      <c r="BE55" s="299"/>
      <c r="BF55" s="323">
        <f t="shared" si="3"/>
        <v>46040</v>
      </c>
      <c r="BG55" s="324">
        <f t="shared" ca="1" si="1"/>
        <v>18</v>
      </c>
      <c r="BH55" s="323">
        <v>46058</v>
      </c>
      <c r="BI55" s="325">
        <f t="shared" ca="1" si="4"/>
        <v>40</v>
      </c>
      <c r="BJ55" s="375">
        <v>46098</v>
      </c>
      <c r="BK55" s="325">
        <f t="shared" ca="1" si="5"/>
        <v>19</v>
      </c>
      <c r="BL55" s="375">
        <v>46117</v>
      </c>
      <c r="BM55" s="326"/>
      <c r="BN55" s="360"/>
      <c r="BO55" s="408" t="s">
        <v>220</v>
      </c>
      <c r="BP55" s="408" t="s">
        <v>567</v>
      </c>
      <c r="BQ55" s="328" t="s">
        <v>21</v>
      </c>
      <c r="BR55" s="415" t="s">
        <v>568</v>
      </c>
      <c r="BS55" s="331"/>
      <c r="BT55" s="327"/>
      <c r="BU55" s="327"/>
      <c r="BV55" s="327"/>
      <c r="BW55" s="331"/>
      <c r="BX55" s="302">
        <v>46113</v>
      </c>
      <c r="BY55" s="302"/>
      <c r="BZ55" s="302"/>
      <c r="CA55" s="295"/>
      <c r="CB55" s="332"/>
      <c r="CC55" s="332"/>
      <c r="CD55" s="332" t="str">
        <f t="shared" si="8"/>
        <v/>
      </c>
      <c r="CE55" s="333">
        <v>45600</v>
      </c>
      <c r="CF55" s="334" t="str">
        <f t="shared" si="10"/>
        <v/>
      </c>
    </row>
    <row r="56" spans="1:84" s="334" customFormat="1" ht="409.5" hidden="1" customHeight="1">
      <c r="A56" s="373">
        <v>42</v>
      </c>
      <c r="B56" s="306" t="s">
        <v>299</v>
      </c>
      <c r="C56" s="307" t="s">
        <v>569</v>
      </c>
      <c r="D56" s="308" t="s">
        <v>570</v>
      </c>
      <c r="E56" s="309" t="str" cm="1">
        <f t="array" ref="E56">IFERROR(LOOKUP(2,1/('[1]Contracts Log'!$F:$F=$D56),'[1]Contracts Log'!$G:$G),"")</f>
        <v>1.TB.01.006.99</v>
      </c>
      <c r="F56" s="309" t="str" cm="1">
        <f t="array" ref="F56">IFERROR(LOOKUP(2,1/('[1]Contracts Log'!$F:$F=$D56),'[1]Contracts Log'!$C:$C),"")</f>
        <v>Village Boutique Hotel</v>
      </c>
      <c r="G56" s="309" t="str" cm="1">
        <f t="array" ref="G56">IFERROR(LOOKUP(2,1/('[1]Contracts Log'!$F:$F=$D56),'[1]Contracts Log'!$K:$K),"")</f>
        <v>Kitchen and Laundry Works for Village Boutique Hotel</v>
      </c>
      <c r="H56" s="309" t="str" cm="1">
        <f t="array" ref="H56">IFERROR(LOOKUP(2,1/('[1]Contracts Log'!$F:$F=$D56),'[1]Contracts Log'!$J:$J),"")</f>
        <v>Abdulaziz Al Raqtan and Partners Company for Trading and Industry Company</v>
      </c>
      <c r="I56" s="310">
        <v>1</v>
      </c>
      <c r="J56" s="310"/>
      <c r="K56" s="310"/>
      <c r="L56" s="310"/>
      <c r="M56" s="310"/>
      <c r="N56" s="310"/>
      <c r="O56" s="240"/>
      <c r="P56" s="335"/>
      <c r="Q56" s="240"/>
      <c r="R56" s="312" t="str">
        <f t="shared" si="9"/>
        <v/>
      </c>
      <c r="S56" s="313"/>
      <c r="T56" s="347"/>
      <c r="U56" s="240"/>
      <c r="V56" s="335" t="s">
        <v>571</v>
      </c>
      <c r="W56" s="240">
        <v>45596</v>
      </c>
      <c r="X56" s="312" t="s">
        <v>351</v>
      </c>
      <c r="Y56" s="313" t="s">
        <v>324</v>
      </c>
      <c r="Z56" s="335" t="s">
        <v>572</v>
      </c>
      <c r="AA56" s="240">
        <v>45613</v>
      </c>
      <c r="AB56" s="240"/>
      <c r="AC56" s="240"/>
      <c r="AD56" s="335" t="s">
        <v>573</v>
      </c>
      <c r="AE56" s="240">
        <v>46258</v>
      </c>
      <c r="AF56" s="315">
        <v>100</v>
      </c>
      <c r="AG56" s="315"/>
      <c r="AH56" s="315"/>
      <c r="AI56" s="315"/>
      <c r="AJ56" s="363"/>
      <c r="AK56" s="311"/>
      <c r="AL56" s="315"/>
      <c r="AM56" s="315"/>
      <c r="AN56" s="363"/>
      <c r="AO56" s="311"/>
      <c r="AP56" s="314"/>
      <c r="AQ56" s="366"/>
      <c r="AR56" s="314"/>
      <c r="AS56" s="311"/>
      <c r="AT56" s="318"/>
      <c r="AU56" s="318"/>
      <c r="AV56" s="321"/>
      <c r="AW56" s="320"/>
      <c r="AX56" s="318"/>
      <c r="AY56" s="321"/>
      <c r="AZ56" s="320"/>
      <c r="BA56" s="318"/>
      <c r="BB56" s="321"/>
      <c r="BC56" s="322"/>
      <c r="BD56" s="299" t="s">
        <v>574</v>
      </c>
      <c r="BE56" s="299"/>
      <c r="BF56" s="323">
        <f t="shared" si="3"/>
        <v>46258</v>
      </c>
      <c r="BG56" s="324">
        <f t="shared" ca="1" si="1"/>
        <v>-28</v>
      </c>
      <c r="BH56" s="375">
        <v>46230</v>
      </c>
      <c r="BI56" s="325">
        <f t="shared" ca="1" si="4"/>
        <v>70</v>
      </c>
      <c r="BJ56" s="299"/>
      <c r="BK56" s="325">
        <f t="shared" ca="1" si="5"/>
        <v>0</v>
      </c>
      <c r="BL56" s="299"/>
      <c r="BM56" s="326"/>
      <c r="BN56" s="360"/>
      <c r="BO56" s="408" t="s">
        <v>437</v>
      </c>
      <c r="BP56" s="408" t="s">
        <v>20</v>
      </c>
      <c r="BQ56" s="328" t="s">
        <v>43</v>
      </c>
      <c r="BR56" s="415" t="s">
        <v>575</v>
      </c>
      <c r="BS56" s="331"/>
      <c r="BT56" s="327"/>
      <c r="BU56" s="327"/>
      <c r="BV56" s="327"/>
      <c r="BW56" s="331"/>
      <c r="BX56" s="302"/>
      <c r="BY56" s="302"/>
      <c r="BZ56" s="302"/>
      <c r="CA56" s="295"/>
      <c r="CB56" s="332"/>
      <c r="CC56" s="332"/>
      <c r="CD56" s="332" t="str">
        <f t="shared" si="8"/>
        <v/>
      </c>
      <c r="CE56" s="333">
        <v>45600</v>
      </c>
      <c r="CF56" s="334" t="str">
        <f t="shared" si="10"/>
        <v/>
      </c>
    </row>
    <row r="57" spans="1:84" s="334" customFormat="1" ht="409.5" hidden="1" customHeight="1">
      <c r="A57" s="373">
        <v>43</v>
      </c>
      <c r="B57" s="306" t="s">
        <v>299</v>
      </c>
      <c r="C57" s="307" t="s">
        <v>576</v>
      </c>
      <c r="D57" s="308" t="s">
        <v>577</v>
      </c>
      <c r="E57" s="309" t="str" cm="1">
        <f t="array" ref="E57">IFERROR(LOOKUP(2,1/('[1]Contracts Log'!$F:$F=$D57),'[1]Contracts Log'!$G:$G),"")</f>
        <v>1.TB.01.003.01</v>
      </c>
      <c r="F57" s="309" t="str" cm="1">
        <f t="array" ref="F57">IFERROR(LOOKUP(2,1/('[1]Contracts Log'!$F:$F=$D57),'[1]Contracts Log'!$C:$C),"")</f>
        <v xml:space="preserve">AMAALA Yacht Club </v>
      </c>
      <c r="G57" s="309" t="str" cm="1">
        <f t="array" ref="G57">IFERROR(LOOKUP(2,1/('[1]Contracts Log'!$F:$F=$D57),'[1]Contracts Log'!$K:$K),"")</f>
        <v>Fit-out works for Amaala Yacht Club</v>
      </c>
      <c r="H57" s="309" t="str" cm="1">
        <f t="array" ref="H57">IFERROR(LOOKUP(2,1/('[1]Contracts Log'!$F:$F=$D57),'[1]Contracts Log'!$J:$J),"")</f>
        <v>DEPA Saudi Arabia for Contracting and Interior Decoration Co. Ltd</v>
      </c>
      <c r="I57" s="310">
        <v>1</v>
      </c>
      <c r="J57" s="310"/>
      <c r="K57" s="310"/>
      <c r="L57" s="310"/>
      <c r="M57" s="310"/>
      <c r="N57" s="310"/>
      <c r="O57" s="240"/>
      <c r="P57" s="335"/>
      <c r="Q57" s="240"/>
      <c r="R57" s="312" t="str">
        <f t="shared" si="9"/>
        <v/>
      </c>
      <c r="S57" s="313"/>
      <c r="T57" s="347"/>
      <c r="U57" s="240"/>
      <c r="V57" s="335" t="s">
        <v>578</v>
      </c>
      <c r="W57" s="240">
        <v>45573</v>
      </c>
      <c r="X57" s="312" t="s">
        <v>351</v>
      </c>
      <c r="Y57" s="313" t="s">
        <v>324</v>
      </c>
      <c r="Z57" s="335" t="s">
        <v>579</v>
      </c>
      <c r="AA57" s="240">
        <v>45601</v>
      </c>
      <c r="AB57" s="240"/>
      <c r="AC57" s="240"/>
      <c r="AD57" s="335" t="s">
        <v>580</v>
      </c>
      <c r="AE57" s="240">
        <v>45687</v>
      </c>
      <c r="AF57" s="315">
        <v>145</v>
      </c>
      <c r="AG57" s="315"/>
      <c r="AH57" s="315"/>
      <c r="AI57" s="315"/>
      <c r="AJ57" s="363"/>
      <c r="AK57" s="311"/>
      <c r="AL57" s="315"/>
      <c r="AM57" s="315"/>
      <c r="AN57" s="365" t="s">
        <v>581</v>
      </c>
      <c r="AO57" s="311">
        <v>45775</v>
      </c>
      <c r="AP57" s="314"/>
      <c r="AQ57" s="366"/>
      <c r="AR57" s="314"/>
      <c r="AS57" s="311"/>
      <c r="AT57" s="318"/>
      <c r="AU57" s="318"/>
      <c r="AV57" s="321"/>
      <c r="AW57" s="320"/>
      <c r="AX57" s="318"/>
      <c r="AY57" s="321"/>
      <c r="AZ57" s="320"/>
      <c r="BA57" s="318"/>
      <c r="BB57" s="321"/>
      <c r="BC57" s="322"/>
      <c r="BD57" s="299" t="s">
        <v>582</v>
      </c>
      <c r="BE57" s="299"/>
      <c r="BF57" s="323">
        <f t="shared" si="3"/>
        <v>45687</v>
      </c>
      <c r="BG57" s="324" t="str">
        <f t="shared" ca="1" si="1"/>
        <v>N/A</v>
      </c>
      <c r="BH57" s="299"/>
      <c r="BI57" s="325">
        <f t="shared" ca="1" si="4"/>
        <v>0</v>
      </c>
      <c r="BJ57" s="299"/>
      <c r="BK57" s="325">
        <f t="shared" ca="1" si="5"/>
        <v>0</v>
      </c>
      <c r="BL57" s="299"/>
      <c r="BM57" s="326"/>
      <c r="BN57" s="408"/>
      <c r="BO57" s="327" t="s">
        <v>220</v>
      </c>
      <c r="BP57" s="327" t="s">
        <v>567</v>
      </c>
      <c r="BQ57" s="328" t="s">
        <v>21</v>
      </c>
      <c r="BR57" s="329" t="s">
        <v>583</v>
      </c>
      <c r="BS57" s="331"/>
      <c r="BT57" s="327"/>
      <c r="BU57" s="327"/>
      <c r="BV57" s="327"/>
      <c r="BW57" s="331"/>
      <c r="BX57" s="302">
        <v>45775</v>
      </c>
      <c r="BY57" s="302"/>
      <c r="BZ57" s="302"/>
      <c r="CA57" s="295"/>
      <c r="CB57" s="332"/>
      <c r="CC57" s="332"/>
      <c r="CD57" s="332" t="str">
        <f t="shared" si="8"/>
        <v/>
      </c>
      <c r="CE57" s="333">
        <v>45613</v>
      </c>
      <c r="CF57" s="334" t="str">
        <f t="shared" si="10"/>
        <v/>
      </c>
    </row>
    <row r="58" spans="1:84" s="334" customFormat="1" ht="378" hidden="1" customHeight="1">
      <c r="A58" s="373">
        <v>44</v>
      </c>
      <c r="B58" s="306" t="s">
        <v>299</v>
      </c>
      <c r="C58" s="307" t="s">
        <v>584</v>
      </c>
      <c r="D58" s="308" t="s">
        <v>358</v>
      </c>
      <c r="E58" s="309" t="str" cm="1">
        <f t="array" ref="E58">IFERROR(LOOKUP(2,1/('[1]Contracts Log'!$F:$F=$D58),'[1]Contracts Log'!$G:$G),"")</f>
        <v>1.TB.01.031.01</v>
      </c>
      <c r="F58" s="309" t="str" cm="1">
        <f t="array" ref="F58">IFERROR(LOOKUP(2,1/('[1]Contracts Log'!$F:$F=$D58),'[1]Contracts Log'!$C:$C),"")</f>
        <v>The Marina</v>
      </c>
      <c r="G58" s="309" t="str" cm="1">
        <f t="array" ref="G58">IFERROR(LOOKUP(2,1/('[1]Contracts Log'!$F:$F=$D58),'[1]Contracts Log'!$K:$K),"")</f>
        <v>Triple Bay Marina Basin - Design and Build Main Contract</v>
      </c>
      <c r="H58" s="309" t="str" cm="1">
        <f t="array" ref="H58">IFERROR(LOOKUP(2,1/('[1]Contracts Log'!$F:$F=$D58),'[1]Contracts Log'!$J:$J),"")</f>
        <v>Alsaad General Contracting Company</v>
      </c>
      <c r="I58" s="310">
        <v>1</v>
      </c>
      <c r="J58" s="310"/>
      <c r="K58" s="310"/>
      <c r="L58" s="310"/>
      <c r="M58" s="310"/>
      <c r="N58" s="310"/>
      <c r="O58" s="240"/>
      <c r="P58" s="335"/>
      <c r="Q58" s="240"/>
      <c r="R58" s="312" t="str">
        <f t="shared" si="9"/>
        <v/>
      </c>
      <c r="S58" s="313"/>
      <c r="T58" s="347"/>
      <c r="U58" s="240"/>
      <c r="V58" s="335" t="s">
        <v>585</v>
      </c>
      <c r="W58" s="240">
        <v>45610</v>
      </c>
      <c r="X58" s="312" t="s">
        <v>351</v>
      </c>
      <c r="Y58" s="313" t="s">
        <v>324</v>
      </c>
      <c r="Z58" s="335" t="s">
        <v>586</v>
      </c>
      <c r="AA58" s="240">
        <v>45732</v>
      </c>
      <c r="AB58" s="240"/>
      <c r="AC58" s="240"/>
      <c r="AD58" s="335"/>
      <c r="AE58" s="240"/>
      <c r="AF58" s="315">
        <v>92</v>
      </c>
      <c r="AG58" s="315"/>
      <c r="AH58" s="315"/>
      <c r="AI58" s="315"/>
      <c r="AJ58" s="363"/>
      <c r="AK58" s="311"/>
      <c r="AL58" s="315"/>
      <c r="AM58" s="315"/>
      <c r="AN58" s="365" t="s">
        <v>305</v>
      </c>
      <c r="AO58" s="365" t="s">
        <v>305</v>
      </c>
      <c r="AP58" s="314"/>
      <c r="AQ58" s="366"/>
      <c r="AR58" s="314"/>
      <c r="AS58" s="311"/>
      <c r="AT58" s="318"/>
      <c r="AU58" s="318"/>
      <c r="AV58" s="321"/>
      <c r="AW58" s="320"/>
      <c r="AX58" s="318"/>
      <c r="AY58" s="321"/>
      <c r="AZ58" s="320"/>
      <c r="BA58" s="318"/>
      <c r="BB58" s="321"/>
      <c r="BC58" s="322"/>
      <c r="BD58" s="299" t="s">
        <v>587</v>
      </c>
      <c r="BE58" s="299"/>
      <c r="BF58" s="323">
        <f t="shared" si="3"/>
        <v>45610</v>
      </c>
      <c r="BG58" s="324" t="str">
        <f t="shared" ca="1" si="1"/>
        <v>N/A</v>
      </c>
      <c r="BH58" s="299"/>
      <c r="BI58" s="325">
        <f t="shared" ca="1" si="4"/>
        <v>0</v>
      </c>
      <c r="BJ58" s="299"/>
      <c r="BK58" s="325">
        <f t="shared" ca="1" si="5"/>
        <v>0</v>
      </c>
      <c r="BL58" s="299"/>
      <c r="BM58" s="326"/>
      <c r="BN58" s="408"/>
      <c r="BO58" s="327" t="s">
        <v>363</v>
      </c>
      <c r="BP58" s="327" t="s">
        <v>354</v>
      </c>
      <c r="BQ58" s="328" t="s">
        <v>21</v>
      </c>
      <c r="BR58" s="329" t="s">
        <v>588</v>
      </c>
      <c r="BS58" s="331"/>
      <c r="BT58" s="327" t="s">
        <v>356</v>
      </c>
      <c r="BU58" s="327"/>
      <c r="BV58" s="327"/>
      <c r="BW58" s="331"/>
      <c r="BX58" s="302">
        <v>45781</v>
      </c>
      <c r="BY58" s="302"/>
      <c r="BZ58" s="302"/>
      <c r="CA58" s="295"/>
      <c r="CB58" s="332"/>
      <c r="CC58" s="332"/>
      <c r="CD58" s="332" t="str">
        <f t="shared" si="8"/>
        <v/>
      </c>
      <c r="CE58" s="333">
        <v>45613</v>
      </c>
      <c r="CF58" s="334" t="str">
        <f t="shared" si="10"/>
        <v/>
      </c>
    </row>
    <row r="59" spans="1:84" s="334" customFormat="1" ht="409.5" hidden="1" customHeight="1">
      <c r="A59" s="373">
        <v>45</v>
      </c>
      <c r="B59" s="306" t="s">
        <v>299</v>
      </c>
      <c r="C59" s="307" t="s">
        <v>589</v>
      </c>
      <c r="D59" s="308" t="s">
        <v>590</v>
      </c>
      <c r="E59" s="309" t="str" cm="1">
        <f t="array" ref="E59">IFERROR(LOOKUP(2,1/('[1]Contracts Log'!$F:$F=$D59),'[1]Contracts Log'!$G:$G),"")</f>
        <v>1.TB.01.031.01</v>
      </c>
      <c r="F59" s="309" t="str" cm="1">
        <f t="array" ref="F59">IFERROR(LOOKUP(2,1/('[1]Contracts Log'!$F:$F=$D59),'[1]Contracts Log'!$C:$C),"")</f>
        <v>The Marina</v>
      </c>
      <c r="G59" s="309" t="str" cm="1">
        <f t="array" ref="G59">IFERROR(LOOKUP(2,1/('[1]Contracts Log'!$F:$F=$D59),'[1]Contracts Log'!$K:$K),"")</f>
        <v xml:space="preserve"> Construction of a Fixed Jetty</v>
      </c>
      <c r="H59" s="309" t="str" cm="1">
        <f t="array" ref="H59">IFERROR(LOOKUP(2,1/('[1]Contracts Log'!$F:$F=$D59),'[1]Contracts Log'!$J:$J),"")</f>
        <v>Alsaad General Contracting Co. Ltd</v>
      </c>
      <c r="I59" s="310">
        <v>1</v>
      </c>
      <c r="J59" s="310"/>
      <c r="K59" s="310"/>
      <c r="L59" s="310"/>
      <c r="M59" s="310"/>
      <c r="N59" s="310"/>
      <c r="O59" s="240"/>
      <c r="P59" s="335"/>
      <c r="Q59" s="240"/>
      <c r="R59" s="312" t="str">
        <f t="shared" si="9"/>
        <v/>
      </c>
      <c r="S59" s="313"/>
      <c r="T59" s="347"/>
      <c r="U59" s="240"/>
      <c r="V59" s="335" t="s">
        <v>591</v>
      </c>
      <c r="W59" s="240">
        <v>45610</v>
      </c>
      <c r="X59" s="312" t="s">
        <v>351</v>
      </c>
      <c r="Y59" s="313" t="s">
        <v>324</v>
      </c>
      <c r="Z59" s="335" t="s">
        <v>592</v>
      </c>
      <c r="AA59" s="240">
        <v>45637</v>
      </c>
      <c r="AB59" s="240"/>
      <c r="AC59" s="240"/>
      <c r="AD59" s="335" t="s">
        <v>593</v>
      </c>
      <c r="AE59" s="240">
        <v>45726</v>
      </c>
      <c r="AF59" s="315">
        <v>45</v>
      </c>
      <c r="AG59" s="315"/>
      <c r="AH59" s="315"/>
      <c r="AI59" s="315"/>
      <c r="AJ59" s="363"/>
      <c r="AK59" s="311"/>
      <c r="AL59" s="315"/>
      <c r="AM59" s="315"/>
      <c r="AN59" s="365"/>
      <c r="AO59" s="311">
        <v>45772</v>
      </c>
      <c r="AP59" s="314"/>
      <c r="AQ59" s="366"/>
      <c r="AR59" s="314"/>
      <c r="AS59" s="311"/>
      <c r="AT59" s="318"/>
      <c r="AU59" s="318"/>
      <c r="AV59" s="321"/>
      <c r="AW59" s="320"/>
      <c r="AX59" s="318"/>
      <c r="AY59" s="321"/>
      <c r="AZ59" s="320"/>
      <c r="BA59" s="318"/>
      <c r="BB59" s="321"/>
      <c r="BC59" s="322"/>
      <c r="BD59" s="299"/>
      <c r="BE59" s="299"/>
      <c r="BF59" s="323">
        <f t="shared" si="3"/>
        <v>45726</v>
      </c>
      <c r="BG59" s="324" t="str">
        <f t="shared" ca="1" si="1"/>
        <v>N/A</v>
      </c>
      <c r="BH59" s="299"/>
      <c r="BI59" s="325">
        <f t="shared" ca="1" si="4"/>
        <v>0</v>
      </c>
      <c r="BJ59" s="299"/>
      <c r="BK59" s="325">
        <f t="shared" ca="1" si="5"/>
        <v>0</v>
      </c>
      <c r="BL59" s="299"/>
      <c r="BM59" s="326"/>
      <c r="BN59" s="408"/>
      <c r="BO59" s="327" t="s">
        <v>354</v>
      </c>
      <c r="BP59" s="327" t="s">
        <v>354</v>
      </c>
      <c r="BQ59" s="328" t="s">
        <v>21</v>
      </c>
      <c r="BR59" s="329" t="s">
        <v>594</v>
      </c>
      <c r="BS59" s="331"/>
      <c r="BT59" s="327" t="s">
        <v>356</v>
      </c>
      <c r="BU59" s="327"/>
      <c r="BV59" s="327"/>
      <c r="BW59" s="331"/>
      <c r="BX59" s="302">
        <v>45772</v>
      </c>
      <c r="BY59" s="302"/>
      <c r="BZ59" s="302"/>
      <c r="CA59" s="295"/>
      <c r="CB59" s="332"/>
      <c r="CC59" s="332"/>
      <c r="CD59" s="332" t="str">
        <f t="shared" si="8"/>
        <v/>
      </c>
      <c r="CE59" s="333">
        <v>45613</v>
      </c>
      <c r="CF59" s="334" t="str">
        <f t="shared" si="10"/>
        <v/>
      </c>
    </row>
    <row r="60" spans="1:84" s="334" customFormat="1" ht="409.5" hidden="1" customHeight="1">
      <c r="A60" s="373">
        <v>46</v>
      </c>
      <c r="B60" s="306" t="s">
        <v>299</v>
      </c>
      <c r="C60" s="307" t="s">
        <v>595</v>
      </c>
      <c r="D60" s="308" t="s">
        <v>596</v>
      </c>
      <c r="E60" s="309" t="str" cm="1">
        <f t="array" ref="E60">IFERROR(LOOKUP(2,1/('[1]Contracts Log'!$F:$F=$D60),'[1]Contracts Log'!$G:$G),"")</f>
        <v>1.TB.01.031.10</v>
      </c>
      <c r="F60" s="309" t="str" cm="1">
        <f t="array" ref="F60">IFERROR(LOOKUP(2,1/('[1]Contracts Log'!$F:$F=$D60),'[1]Contracts Log'!$C:$C),"")</f>
        <v>The Marina</v>
      </c>
      <c r="G60" s="309" t="str" cm="1">
        <f t="array" ref="G60">IFERROR(LOOKUP(2,1/('[1]Contracts Log'!$F:$F=$D60),'[1]Contracts Log'!$K:$K),"")</f>
        <v>Design, Engineering, Procurement and Construction of Floating Pontoons for a The Marina at AMAALA Triple Bay</v>
      </c>
      <c r="H60" s="309" t="str" cm="1">
        <f t="array" ref="H60">IFERROR(LOOKUP(2,1/('[1]Contracts Log'!$F:$F=$D60),'[1]Contracts Log'!$J:$J),"")</f>
        <v xml:space="preserve">MME Marine Engineering LLC </v>
      </c>
      <c r="I60" s="310">
        <v>1</v>
      </c>
      <c r="J60" s="310"/>
      <c r="K60" s="310"/>
      <c r="L60" s="310"/>
      <c r="M60" s="310"/>
      <c r="N60" s="310"/>
      <c r="O60" s="240"/>
      <c r="P60" s="335"/>
      <c r="Q60" s="240"/>
      <c r="R60" s="312" t="str">
        <f t="shared" si="9"/>
        <v/>
      </c>
      <c r="S60" s="313"/>
      <c r="T60" s="347"/>
      <c r="U60" s="240"/>
      <c r="V60" s="335" t="s">
        <v>597</v>
      </c>
      <c r="W60" s="240">
        <v>45616</v>
      </c>
      <c r="X60" s="312" t="s">
        <v>351</v>
      </c>
      <c r="Y60" s="313" t="s">
        <v>324</v>
      </c>
      <c r="Z60" s="335" t="s">
        <v>598</v>
      </c>
      <c r="AA60" s="240">
        <v>45617</v>
      </c>
      <c r="AB60" s="240"/>
      <c r="AC60" s="240"/>
      <c r="AD60" s="335" t="s">
        <v>599</v>
      </c>
      <c r="AE60" s="240">
        <v>45619</v>
      </c>
      <c r="AF60" s="315">
        <v>60</v>
      </c>
      <c r="AG60" s="315"/>
      <c r="AH60" s="315"/>
      <c r="AI60" s="315"/>
      <c r="AJ60" s="363"/>
      <c r="AK60" s="311"/>
      <c r="AL60" s="315">
        <v>57</v>
      </c>
      <c r="AM60" s="315">
        <v>0</v>
      </c>
      <c r="AN60" s="365" t="s">
        <v>600</v>
      </c>
      <c r="AO60" s="311">
        <v>45721</v>
      </c>
      <c r="AP60" s="314">
        <v>57</v>
      </c>
      <c r="AQ60" s="366">
        <v>0</v>
      </c>
      <c r="AR60" s="314" t="s">
        <v>601</v>
      </c>
      <c r="AS60" s="311">
        <v>45787</v>
      </c>
      <c r="AT60" s="318"/>
      <c r="AU60" s="318"/>
      <c r="AV60" s="321"/>
      <c r="AW60" s="320"/>
      <c r="AX60" s="318"/>
      <c r="AY60" s="321"/>
      <c r="AZ60" s="320"/>
      <c r="BA60" s="318"/>
      <c r="BB60" s="321"/>
      <c r="BC60" s="322"/>
      <c r="BD60" s="299"/>
      <c r="BE60" s="299"/>
      <c r="BF60" s="323">
        <f t="shared" si="3"/>
        <v>45619</v>
      </c>
      <c r="BG60" s="324" t="str">
        <f t="shared" ca="1" si="1"/>
        <v>N/A</v>
      </c>
      <c r="BH60" s="299"/>
      <c r="BI60" s="325">
        <f t="shared" ca="1" si="4"/>
        <v>0</v>
      </c>
      <c r="BJ60" s="299"/>
      <c r="BK60" s="325">
        <f t="shared" ca="1" si="5"/>
        <v>0</v>
      </c>
      <c r="BL60" s="299"/>
      <c r="BM60" s="326"/>
      <c r="BN60" s="408"/>
      <c r="BO60" s="327" t="s">
        <v>220</v>
      </c>
      <c r="BP60" s="327" t="s">
        <v>376</v>
      </c>
      <c r="BQ60" s="328" t="s">
        <v>21</v>
      </c>
      <c r="BR60" s="329" t="s">
        <v>602</v>
      </c>
      <c r="BS60" s="331"/>
      <c r="BT60" s="327"/>
      <c r="BU60" s="327"/>
      <c r="BV60" s="327"/>
      <c r="BW60" s="331"/>
      <c r="BX60" s="302">
        <v>45721</v>
      </c>
      <c r="BY60" s="302"/>
      <c r="BZ60" s="302"/>
      <c r="CA60" s="295"/>
      <c r="CB60" s="332"/>
      <c r="CC60" s="332"/>
      <c r="CD60" s="332" t="str">
        <f t="shared" si="8"/>
        <v/>
      </c>
      <c r="CE60" s="333">
        <v>45636</v>
      </c>
      <c r="CF60" s="334" t="str">
        <f t="shared" si="10"/>
        <v/>
      </c>
    </row>
    <row r="61" spans="1:84" s="334" customFormat="1" ht="409.5" hidden="1" customHeight="1">
      <c r="A61" s="373">
        <v>47</v>
      </c>
      <c r="B61" s="306" t="s">
        <v>299</v>
      </c>
      <c r="C61" s="307" t="s">
        <v>603</v>
      </c>
      <c r="D61" s="308" t="s">
        <v>604</v>
      </c>
      <c r="E61" s="309" t="str" cm="1">
        <f t="array" ref="E61">IFERROR(LOOKUP(2,1/('[1]Contracts Log'!$F:$F=$D61),'[1]Contracts Log'!$G:$G),"")</f>
        <v>1.TB.01.009.01</v>
      </c>
      <c r="F61" s="309" t="str" cm="1">
        <f t="array" ref="F61">IFERROR(LOOKUP(2,1/('[1]Contracts Log'!$F:$F=$D61),'[1]Contracts Log'!$C:$C),"")</f>
        <v>Marina Hotel 3</v>
      </c>
      <c r="G61" s="309" t="str" cm="1">
        <f t="array" ref="G61">IFERROR(LOOKUP(2,1/('[1]Contracts Log'!$F:$F=$D61),'[1]Contracts Log'!$K:$K),"")</f>
        <v>Lime Rendering Works for Marina Hotel 3</v>
      </c>
      <c r="H61" s="309" t="str" cm="1">
        <f t="array" ref="H61">IFERROR(LOOKUP(2,1/('[1]Contracts Log'!$F:$F=$D61),'[1]Contracts Log'!$J:$J),"")</f>
        <v>Hassan Allam Construction Saudi Limited</v>
      </c>
      <c r="I61" s="310">
        <v>1</v>
      </c>
      <c r="J61" s="310"/>
      <c r="K61" s="310"/>
      <c r="L61" s="310"/>
      <c r="M61" s="310"/>
      <c r="N61" s="310"/>
      <c r="O61" s="240"/>
      <c r="P61" s="335"/>
      <c r="Q61" s="240"/>
      <c r="R61" s="312" t="str">
        <f t="shared" si="9"/>
        <v/>
      </c>
      <c r="S61" s="313"/>
      <c r="T61" s="347"/>
      <c r="U61" s="240"/>
      <c r="V61" s="335" t="s">
        <v>605</v>
      </c>
      <c r="W61" s="240">
        <v>45675</v>
      </c>
      <c r="X61" s="312" t="s">
        <v>351</v>
      </c>
      <c r="Y61" s="313" t="s">
        <v>324</v>
      </c>
      <c r="Z61" s="335" t="s">
        <v>606</v>
      </c>
      <c r="AA61" s="240">
        <v>45733</v>
      </c>
      <c r="AB61" s="240"/>
      <c r="AC61" s="240"/>
      <c r="AD61" s="335" t="s">
        <v>607</v>
      </c>
      <c r="AE61" s="240">
        <v>46218</v>
      </c>
      <c r="AF61" s="315">
        <v>497</v>
      </c>
      <c r="AG61" s="315"/>
      <c r="AH61" s="315"/>
      <c r="AI61" s="315"/>
      <c r="AJ61" s="363"/>
      <c r="AK61" s="311"/>
      <c r="AL61" s="315"/>
      <c r="AM61" s="315"/>
      <c r="AN61" s="365"/>
      <c r="AO61" s="311"/>
      <c r="AP61" s="314"/>
      <c r="AQ61" s="366"/>
      <c r="AR61" s="314"/>
      <c r="AS61" s="311"/>
      <c r="AT61" s="318"/>
      <c r="AU61" s="318"/>
      <c r="AV61" s="321"/>
      <c r="AW61" s="320"/>
      <c r="AX61" s="318"/>
      <c r="AY61" s="321"/>
      <c r="AZ61" s="320"/>
      <c r="BA61" s="318"/>
      <c r="BB61" s="321"/>
      <c r="BC61" s="322"/>
      <c r="BD61" s="299"/>
      <c r="BE61" s="299"/>
      <c r="BF61" s="323">
        <f t="shared" si="3"/>
        <v>46218</v>
      </c>
      <c r="BG61" s="324">
        <f t="shared" ca="1" si="1"/>
        <v>82</v>
      </c>
      <c r="BH61" s="299"/>
      <c r="BI61" s="325">
        <f t="shared" ca="1" si="4"/>
        <v>0</v>
      </c>
      <c r="BJ61" s="299"/>
      <c r="BK61" s="325">
        <f t="shared" ca="1" si="5"/>
        <v>0</v>
      </c>
      <c r="BL61" s="299"/>
      <c r="BM61" s="326"/>
      <c r="BN61" s="408"/>
      <c r="BO61" s="327" t="s">
        <v>437</v>
      </c>
      <c r="BP61" s="327" t="s">
        <v>20</v>
      </c>
      <c r="BQ61" s="328" t="s">
        <v>43</v>
      </c>
      <c r="BR61" s="329" t="s">
        <v>608</v>
      </c>
      <c r="BS61" s="331"/>
      <c r="BT61" s="327"/>
      <c r="BU61" s="327"/>
      <c r="BV61" s="327"/>
      <c r="BW61" s="331"/>
      <c r="BX61" s="302"/>
      <c r="BY61" s="302"/>
      <c r="BZ61" s="302"/>
      <c r="CA61" s="295"/>
      <c r="CB61" s="332"/>
      <c r="CC61" s="332"/>
      <c r="CD61" s="332" t="str">
        <f t="shared" si="8"/>
        <v/>
      </c>
      <c r="CE61" s="333">
        <v>45641</v>
      </c>
      <c r="CF61" s="334" t="str">
        <f t="shared" si="10"/>
        <v/>
      </c>
    </row>
    <row r="62" spans="1:84" s="334" customFormat="1" ht="409.5" hidden="1" customHeight="1">
      <c r="A62" s="373">
        <v>48</v>
      </c>
      <c r="B62" s="306" t="s">
        <v>299</v>
      </c>
      <c r="C62" s="307" t="s">
        <v>609</v>
      </c>
      <c r="D62" s="308" t="s">
        <v>610</v>
      </c>
      <c r="E62" s="309" t="str" cm="1">
        <f t="array" ref="E62">IFERROR(LOOKUP(2,1/('[1]Contracts Log'!$F:$F=$D62),'[1]Contracts Log'!$G:$G),"")</f>
        <v>1.TB.01.005.01</v>
      </c>
      <c r="F62" s="309" t="str" cm="1">
        <f t="array" ref="F62">IFERROR(LOOKUP(2,1/('[1]Contracts Log'!$F:$F=$D62),'[1]Contracts Log'!$C:$C),"")</f>
        <v>Red Sea Marine Life Institute</v>
      </c>
      <c r="G62" s="309" t="str" cm="1">
        <f t="array" ref="G62">IFERROR(LOOKUP(2,1/('[1]Contracts Log'!$F:$F=$D62),'[1]Contracts Log'!$K:$K),"")</f>
        <v>Grand Reveal Basin Fitout (Rock Theming)</v>
      </c>
      <c r="H62" s="309" t="str" cm="1">
        <f t="array" ref="H62">IFERROR(LOOKUP(2,1/('[1]Contracts Log'!$F:$F=$D62),'[1]Contracts Log'!$J:$J),"")</f>
        <v>Pangea Rocks A/S</v>
      </c>
      <c r="I62" s="310">
        <v>1</v>
      </c>
      <c r="J62" s="310"/>
      <c r="K62" s="310"/>
      <c r="L62" s="310"/>
      <c r="M62" s="310"/>
      <c r="N62" s="310"/>
      <c r="O62" s="240"/>
      <c r="P62" s="335"/>
      <c r="Q62" s="240"/>
      <c r="R62" s="312" t="str">
        <f t="shared" si="9"/>
        <v/>
      </c>
      <c r="S62" s="313"/>
      <c r="T62" s="347"/>
      <c r="U62" s="240"/>
      <c r="V62" s="335" t="s">
        <v>611</v>
      </c>
      <c r="W62" s="240">
        <v>45628</v>
      </c>
      <c r="X62" s="312" t="s">
        <v>351</v>
      </c>
      <c r="Y62" s="313" t="s">
        <v>324</v>
      </c>
      <c r="Z62" s="335" t="s">
        <v>612</v>
      </c>
      <c r="AA62" s="240">
        <v>45642</v>
      </c>
      <c r="AB62" s="240"/>
      <c r="AC62" s="240"/>
      <c r="AD62" s="335" t="s">
        <v>613</v>
      </c>
      <c r="AE62" s="240">
        <v>45851</v>
      </c>
      <c r="AF62" s="315">
        <v>183</v>
      </c>
      <c r="AG62" s="315"/>
      <c r="AH62" s="315"/>
      <c r="AI62" s="315"/>
      <c r="AJ62" s="363"/>
      <c r="AK62" s="311"/>
      <c r="AL62" s="315"/>
      <c r="AM62" s="315"/>
      <c r="AN62" s="365" t="s">
        <v>614</v>
      </c>
      <c r="AO62" s="311">
        <v>46015</v>
      </c>
      <c r="AP62" s="314"/>
      <c r="AQ62" s="366"/>
      <c r="AR62" s="314"/>
      <c r="AS62" s="311"/>
      <c r="AT62" s="318"/>
      <c r="AU62" s="318"/>
      <c r="AV62" s="321"/>
      <c r="AW62" s="320"/>
      <c r="AX62" s="318"/>
      <c r="AY62" s="321"/>
      <c r="AZ62" s="320"/>
      <c r="BA62" s="318"/>
      <c r="BB62" s="321"/>
      <c r="BC62" s="322"/>
      <c r="BD62" s="299"/>
      <c r="BE62" s="299"/>
      <c r="BF62" s="323">
        <f t="shared" si="3"/>
        <v>45851</v>
      </c>
      <c r="BG62" s="324" t="str">
        <f t="shared" ca="1" si="1"/>
        <v>N/A</v>
      </c>
      <c r="BH62" s="299"/>
      <c r="BI62" s="325">
        <f t="shared" ca="1" si="4"/>
        <v>0</v>
      </c>
      <c r="BJ62" s="299"/>
      <c r="BK62" s="325">
        <f t="shared" ca="1" si="5"/>
        <v>0</v>
      </c>
      <c r="BL62" s="299"/>
      <c r="BM62" s="326"/>
      <c r="BN62" s="360"/>
      <c r="BO62" s="327" t="s">
        <v>220</v>
      </c>
      <c r="BP62" s="327" t="s">
        <v>353</v>
      </c>
      <c r="BQ62" s="328" t="s">
        <v>21</v>
      </c>
      <c r="BR62" s="329" t="s">
        <v>615</v>
      </c>
      <c r="BS62" s="331"/>
      <c r="BT62" s="327"/>
      <c r="BU62" s="327"/>
      <c r="BV62" s="327"/>
      <c r="BW62" s="331"/>
      <c r="BX62" s="302">
        <v>46023</v>
      </c>
      <c r="BY62" s="302"/>
      <c r="BZ62" s="302"/>
      <c r="CA62" s="295"/>
      <c r="CB62" s="332"/>
      <c r="CC62" s="332"/>
      <c r="CD62" s="332" t="str">
        <f t="shared" si="8"/>
        <v/>
      </c>
      <c r="CE62" s="333">
        <v>45641</v>
      </c>
      <c r="CF62" s="334" t="str">
        <f t="shared" si="10"/>
        <v/>
      </c>
    </row>
    <row r="63" spans="1:84" s="334" customFormat="1" ht="409.5" hidden="1" customHeight="1">
      <c r="A63" s="373">
        <v>49</v>
      </c>
      <c r="B63" s="306" t="s">
        <v>299</v>
      </c>
      <c r="C63" s="307" t="s">
        <v>603</v>
      </c>
      <c r="D63" s="308" t="s">
        <v>616</v>
      </c>
      <c r="E63" s="309" t="str" cm="1">
        <f t="array" ref="E63">IFERROR(LOOKUP(2,1/('[1]Contracts Log'!$F:$F=$D63),'[1]Contracts Log'!$G:$G),"")</f>
        <v>1.TB.01.005.01</v>
      </c>
      <c r="F63" s="309" t="str" cm="1">
        <f t="array" ref="F63">IFERROR(LOOKUP(2,1/('[1]Contracts Log'!$F:$F=$D63),'[1]Contracts Log'!$C:$C),"")</f>
        <v>Red Sea Marine Life Institute</v>
      </c>
      <c r="G63" s="309" t="str" cm="1">
        <f t="array" ref="G63">IFERROR(LOOKUP(2,1/('[1]Contracts Log'!$F:$F=$D63),'[1]Contracts Log'!$K:$K),"")</f>
        <v>Hard and Soft Landscaping Works</v>
      </c>
      <c r="H63" s="309" t="str" cm="1">
        <f t="array" ref="H63">IFERROR(LOOKUP(2,1/('[1]Contracts Log'!$F:$F=$D63),'[1]Contracts Log'!$J:$J),"")</f>
        <v>Saudi Salco Contracting Company Co.</v>
      </c>
      <c r="I63" s="310">
        <v>1</v>
      </c>
      <c r="J63" s="310"/>
      <c r="K63" s="310"/>
      <c r="L63" s="310"/>
      <c r="M63" s="310"/>
      <c r="N63" s="310"/>
      <c r="O63" s="304"/>
      <c r="P63" s="416"/>
      <c r="Q63" s="304"/>
      <c r="R63" s="416"/>
      <c r="S63" s="417"/>
      <c r="T63" s="416"/>
      <c r="U63" s="304"/>
      <c r="V63" s="335" t="s">
        <v>617</v>
      </c>
      <c r="W63" s="240">
        <v>45637</v>
      </c>
      <c r="X63" s="417"/>
      <c r="Y63" s="417"/>
      <c r="Z63" s="335" t="s">
        <v>618</v>
      </c>
      <c r="AA63" s="240">
        <v>45657</v>
      </c>
      <c r="AB63" s="240"/>
      <c r="AC63" s="240"/>
      <c r="AD63" s="335" t="s">
        <v>619</v>
      </c>
      <c r="AE63" s="240">
        <v>45890</v>
      </c>
      <c r="AF63" s="315">
        <v>694</v>
      </c>
      <c r="AG63" s="315"/>
      <c r="AH63" s="315"/>
      <c r="AI63" s="315"/>
      <c r="AJ63" s="363"/>
      <c r="AK63" s="311"/>
      <c r="AL63" s="315"/>
      <c r="AM63" s="315"/>
      <c r="AN63" s="363" t="s">
        <v>620</v>
      </c>
      <c r="AO63" s="311">
        <v>46014</v>
      </c>
      <c r="AP63" s="314"/>
      <c r="AQ63" s="366"/>
      <c r="AR63" s="314"/>
      <c r="AS63" s="311"/>
      <c r="AT63" s="318"/>
      <c r="AU63" s="318"/>
      <c r="AV63" s="321"/>
      <c r="AW63" s="320"/>
      <c r="AX63" s="318"/>
      <c r="AY63" s="321"/>
      <c r="AZ63" s="320"/>
      <c r="BA63" s="318"/>
      <c r="BB63" s="321"/>
      <c r="BC63" s="322"/>
      <c r="BD63" s="299" t="s">
        <v>621</v>
      </c>
      <c r="BE63" s="299"/>
      <c r="BF63" s="323">
        <f t="shared" si="3"/>
        <v>45890</v>
      </c>
      <c r="BG63" s="324" t="str">
        <f t="shared" ca="1" si="1"/>
        <v>N/A</v>
      </c>
      <c r="BH63" s="299"/>
      <c r="BI63" s="325">
        <f t="shared" ca="1" si="4"/>
        <v>0</v>
      </c>
      <c r="BJ63" s="299"/>
      <c r="BK63" s="325">
        <f t="shared" ca="1" si="5"/>
        <v>0</v>
      </c>
      <c r="BL63" s="299"/>
      <c r="BM63" s="326"/>
      <c r="BN63" s="360"/>
      <c r="BO63" s="327" t="s">
        <v>220</v>
      </c>
      <c r="BP63" s="327" t="s">
        <v>376</v>
      </c>
      <c r="BQ63" s="328" t="s">
        <v>21</v>
      </c>
      <c r="BR63" s="329" t="s">
        <v>622</v>
      </c>
      <c r="BS63" s="331"/>
      <c r="BT63" s="327"/>
      <c r="BU63" s="327"/>
      <c r="BV63" s="327"/>
      <c r="BW63" s="331"/>
      <c r="BX63" s="302">
        <v>46023</v>
      </c>
      <c r="BY63" s="302"/>
      <c r="BZ63" s="302"/>
      <c r="CA63" s="295"/>
      <c r="CB63" s="332"/>
      <c r="CC63" s="332"/>
      <c r="CD63" s="332" t="str">
        <f t="shared" si="8"/>
        <v/>
      </c>
      <c r="CE63" s="333">
        <v>45641</v>
      </c>
      <c r="CF63" s="334" t="str">
        <f t="shared" si="10"/>
        <v/>
      </c>
    </row>
    <row r="64" spans="1:84" s="334" customFormat="1" ht="408.75" hidden="1" customHeight="1">
      <c r="A64" s="373">
        <v>50</v>
      </c>
      <c r="B64" s="306" t="s">
        <v>299</v>
      </c>
      <c r="C64" s="307" t="s">
        <v>623</v>
      </c>
      <c r="D64" s="308" t="s">
        <v>624</v>
      </c>
      <c r="E64" s="309" t="str" cm="1">
        <f t="array" ref="E64">IFERROR(LOOKUP(2,1/('[1]Contracts Log'!$F:$F=$D64),'[1]Contracts Log'!$G:$G),"")</f>
        <v>1.TB.01.006.99</v>
      </c>
      <c r="F64" s="309" t="str" cm="1">
        <f t="array" ref="F64">IFERROR(LOOKUP(2,1/('[1]Contracts Log'!$F:$F=$D64),'[1]Contracts Log'!$C:$C),"")</f>
        <v>Village Boutique Hotel</v>
      </c>
      <c r="G64" s="309" t="str" cm="1">
        <f t="array" ref="G64">IFERROR(LOOKUP(2,1/('[1]Contracts Log'!$F:$F=$D64),'[1]Contracts Log'!$K:$K),"")</f>
        <v>Triple Bay – Village Boutique Hotel – Design &amp; Construction of Reinforced Soil Slope &amp; Coastal Protection Works at Branded Villas.</v>
      </c>
      <c r="H64" s="309" t="str" cm="1">
        <f t="array" ref="H64">IFERROR(LOOKUP(2,1/('[1]Contracts Log'!$F:$F=$D64),'[1]Contracts Log'!$J:$J),"")</f>
        <v>Modern Environmental Geotechnical for Contracting (MEGS)</v>
      </c>
      <c r="I64" s="310">
        <v>1</v>
      </c>
      <c r="J64" s="310"/>
      <c r="K64" s="310"/>
      <c r="L64" s="310"/>
      <c r="M64" s="310"/>
      <c r="N64" s="310"/>
      <c r="O64" s="304"/>
      <c r="P64" s="416"/>
      <c r="Q64" s="304"/>
      <c r="R64" s="416"/>
      <c r="S64" s="417"/>
      <c r="T64" s="416"/>
      <c r="U64" s="304"/>
      <c r="V64" s="335" t="s">
        <v>625</v>
      </c>
      <c r="W64" s="240">
        <v>45647</v>
      </c>
      <c r="X64" s="417"/>
      <c r="Y64" s="417"/>
      <c r="Z64" s="240" t="s">
        <v>305</v>
      </c>
      <c r="AA64" s="240" t="s">
        <v>305</v>
      </c>
      <c r="AB64" s="240"/>
      <c r="AC64" s="240"/>
      <c r="AD64" s="335" t="s">
        <v>626</v>
      </c>
      <c r="AE64" s="240">
        <v>45691</v>
      </c>
      <c r="AF64" s="315">
        <v>59</v>
      </c>
      <c r="AG64" s="315"/>
      <c r="AH64" s="315"/>
      <c r="AI64" s="315"/>
      <c r="AJ64" s="363"/>
      <c r="AK64" s="311"/>
      <c r="AL64" s="315"/>
      <c r="AM64" s="315"/>
      <c r="AN64" s="365" t="s">
        <v>627</v>
      </c>
      <c r="AO64" s="311">
        <v>45801</v>
      </c>
      <c r="AP64" s="314"/>
      <c r="AQ64" s="366"/>
      <c r="AR64" s="314"/>
      <c r="AS64" s="311"/>
      <c r="AT64" s="318"/>
      <c r="AU64" s="318"/>
      <c r="AV64" s="321"/>
      <c r="AW64" s="320"/>
      <c r="AX64" s="318"/>
      <c r="AY64" s="321"/>
      <c r="AZ64" s="320"/>
      <c r="BA64" s="318"/>
      <c r="BB64" s="321"/>
      <c r="BC64" s="322"/>
      <c r="BD64" s="299"/>
      <c r="BE64" s="299"/>
      <c r="BF64" s="323">
        <f t="shared" si="3"/>
        <v>45691</v>
      </c>
      <c r="BG64" s="324" t="str">
        <f t="shared" ca="1" si="1"/>
        <v>N/A</v>
      </c>
      <c r="BH64" s="299"/>
      <c r="BI64" s="325">
        <f t="shared" ca="1" si="4"/>
        <v>0</v>
      </c>
      <c r="BJ64" s="299"/>
      <c r="BK64" s="325">
        <f t="shared" ca="1" si="5"/>
        <v>0</v>
      </c>
      <c r="BL64" s="299"/>
      <c r="BM64" s="326"/>
      <c r="BN64" s="408"/>
      <c r="BO64" s="327" t="s">
        <v>220</v>
      </c>
      <c r="BP64" s="327" t="s">
        <v>376</v>
      </c>
      <c r="BQ64" s="328" t="s">
        <v>21</v>
      </c>
      <c r="BR64" s="329" t="s">
        <v>628</v>
      </c>
      <c r="BS64" s="331"/>
      <c r="BT64" s="327"/>
      <c r="BU64" s="327"/>
      <c r="BV64" s="327"/>
      <c r="BW64" s="331"/>
      <c r="BX64" s="302">
        <v>45801</v>
      </c>
      <c r="BY64" s="302"/>
      <c r="BZ64" s="302"/>
      <c r="CA64" s="295"/>
      <c r="CB64" s="332"/>
      <c r="CC64" s="332"/>
      <c r="CD64" s="332" t="str">
        <f t="shared" si="8"/>
        <v/>
      </c>
      <c r="CE64" s="333">
        <v>45648</v>
      </c>
      <c r="CF64" s="334" t="str">
        <f t="shared" si="10"/>
        <v/>
      </c>
    </row>
    <row r="65" spans="1:84" s="334" customFormat="1" ht="409.5" hidden="1" customHeight="1">
      <c r="A65" s="373">
        <v>51</v>
      </c>
      <c r="B65" s="306" t="s">
        <v>299</v>
      </c>
      <c r="C65" s="307" t="s">
        <v>623</v>
      </c>
      <c r="D65" s="308" t="s">
        <v>629</v>
      </c>
      <c r="E65" s="309" t="str" cm="1">
        <f t="array" ref="E65">IFERROR(LOOKUP(2,1/('[1]Contracts Log'!$F:$F=$D65),'[1]Contracts Log'!$G:$G),"")</f>
        <v>1.TB.01.006.99</v>
      </c>
      <c r="F65" s="309" t="str" cm="1">
        <f t="array" ref="F65">IFERROR(LOOKUP(2,1/('[1]Contracts Log'!$F:$F=$D65),'[1]Contracts Log'!$C:$C),"")</f>
        <v>Village Boutique Hotel</v>
      </c>
      <c r="G65" s="309" t="str" cm="1">
        <f t="array" ref="G65">IFERROR(LOOKUP(2,1/('[1]Contracts Log'!$F:$F=$D65),'[1]Contracts Log'!$K:$K),"")</f>
        <v>Aluminum &amp; Glazing Works for Village Boutique Hotel</v>
      </c>
      <c r="H65" s="309" t="str" cm="1">
        <f t="array" ref="H65">IFERROR(LOOKUP(2,1/('[1]Contracts Log'!$F:$F=$D65),'[1]Contracts Log'!$J:$J),"")</f>
        <v>REEM Emirates Company Limited</v>
      </c>
      <c r="I65" s="310">
        <v>1</v>
      </c>
      <c r="J65" s="310"/>
      <c r="K65" s="310"/>
      <c r="L65" s="310"/>
      <c r="M65" s="310"/>
      <c r="N65" s="310"/>
      <c r="O65" s="304"/>
      <c r="P65" s="416"/>
      <c r="Q65" s="304"/>
      <c r="R65" s="416"/>
      <c r="S65" s="417"/>
      <c r="T65" s="416"/>
      <c r="U65" s="304"/>
      <c r="V65" s="335" t="s">
        <v>630</v>
      </c>
      <c r="W65" s="240">
        <v>45671</v>
      </c>
      <c r="X65" s="417"/>
      <c r="Y65" s="417"/>
      <c r="Z65" s="335" t="s">
        <v>631</v>
      </c>
      <c r="AA65" s="240">
        <v>45707</v>
      </c>
      <c r="AB65" s="240"/>
      <c r="AC65" s="240"/>
      <c r="AD65" s="335" t="s">
        <v>632</v>
      </c>
      <c r="AE65" s="240">
        <v>46216</v>
      </c>
      <c r="AF65" s="315">
        <v>282</v>
      </c>
      <c r="AG65" s="315"/>
      <c r="AH65" s="315"/>
      <c r="AI65" s="315"/>
      <c r="AJ65" s="363"/>
      <c r="AK65" s="311"/>
      <c r="AL65" s="315"/>
      <c r="AM65" s="315"/>
      <c r="AN65" s="365"/>
      <c r="AO65" s="311"/>
      <c r="AP65" s="314"/>
      <c r="AQ65" s="366"/>
      <c r="AR65" s="314"/>
      <c r="AS65" s="311"/>
      <c r="AT65" s="318"/>
      <c r="AU65" s="318"/>
      <c r="AV65" s="321"/>
      <c r="AW65" s="320"/>
      <c r="AX65" s="318"/>
      <c r="AY65" s="321"/>
      <c r="AZ65" s="320"/>
      <c r="BA65" s="318"/>
      <c r="BB65" s="321"/>
      <c r="BC65" s="322"/>
      <c r="BD65" s="299"/>
      <c r="BE65" s="299"/>
      <c r="BF65" s="323">
        <f t="shared" si="3"/>
        <v>46216</v>
      </c>
      <c r="BG65" s="324">
        <f t="shared" ca="1" si="1"/>
        <v>84</v>
      </c>
      <c r="BH65" s="299"/>
      <c r="BI65" s="325">
        <f t="shared" ca="1" si="4"/>
        <v>0</v>
      </c>
      <c r="BJ65" s="299"/>
      <c r="BK65" s="325">
        <f t="shared" ca="1" si="5"/>
        <v>0</v>
      </c>
      <c r="BL65" s="299"/>
      <c r="BM65" s="326"/>
      <c r="BN65" s="408"/>
      <c r="BO65" s="327" t="s">
        <v>437</v>
      </c>
      <c r="BP65" s="327" t="s">
        <v>20</v>
      </c>
      <c r="BQ65" s="328" t="s">
        <v>43</v>
      </c>
      <c r="BR65" s="329" t="s">
        <v>633</v>
      </c>
      <c r="BS65" s="331"/>
      <c r="BT65" s="327"/>
      <c r="BU65" s="327"/>
      <c r="BV65" s="327"/>
      <c r="BW65" s="331"/>
      <c r="BX65" s="302"/>
      <c r="BY65" s="302"/>
      <c r="BZ65" s="302"/>
      <c r="CA65" s="295"/>
      <c r="CB65" s="332"/>
      <c r="CC65" s="332"/>
      <c r="CD65" s="332" t="str">
        <f t="shared" si="8"/>
        <v/>
      </c>
      <c r="CE65" s="333">
        <v>45683</v>
      </c>
      <c r="CF65" s="334" t="str">
        <f t="shared" si="10"/>
        <v/>
      </c>
    </row>
    <row r="66" spans="1:84" s="334" customFormat="1" ht="347.25" hidden="1" customHeight="1">
      <c r="A66" s="373">
        <v>52</v>
      </c>
      <c r="B66" s="306" t="s">
        <v>634</v>
      </c>
      <c r="C66" s="307" t="s">
        <v>623</v>
      </c>
      <c r="D66" s="308" t="s">
        <v>635</v>
      </c>
      <c r="E66" s="309" t="str" cm="1">
        <f t="array" ref="E66">IFERROR(LOOKUP(2,1/('[1]Contracts Log'!$F:$F=$D66),'[1]Contracts Log'!$G:$G),"")</f>
        <v>1.TB.01.002.99</v>
      </c>
      <c r="F66" s="309" t="str" cm="1">
        <f t="array" ref="F66">IFERROR(LOOKUP(2,1/('[1]Contracts Log'!$F:$F=$D66),'[1]Contracts Log'!$C:$C),"")</f>
        <v>Marina Lifestyle Hotel &amp; Village</v>
      </c>
      <c r="G66" s="309" t="str" cm="1">
        <f t="array" ref="G66">IFERROR(LOOKUP(2,1/('[1]Contracts Log'!$F:$F=$D66),'[1]Contracts Log'!$K:$K),"")</f>
        <v>Aluminum &amp; Glazing works for Marina Lifestyle Hotel</v>
      </c>
      <c r="H66" s="309" t="str" cm="1">
        <f t="array" ref="H66">IFERROR(LOOKUP(2,1/('[1]Contracts Log'!$F:$F=$D66),'[1]Contracts Log'!$J:$J),"")</f>
        <v>REEM Emirates Company Limited</v>
      </c>
      <c r="I66" s="310">
        <v>1</v>
      </c>
      <c r="J66" s="310"/>
      <c r="K66" s="310"/>
      <c r="L66" s="310"/>
      <c r="M66" s="310"/>
      <c r="N66" s="310"/>
      <c r="O66" s="304"/>
      <c r="P66" s="416"/>
      <c r="Q66" s="304"/>
      <c r="R66" s="416"/>
      <c r="S66" s="417"/>
      <c r="T66" s="416"/>
      <c r="U66" s="304"/>
      <c r="V66" s="335" t="s">
        <v>636</v>
      </c>
      <c r="W66" s="240">
        <v>45671</v>
      </c>
      <c r="X66" s="417"/>
      <c r="Y66" s="417"/>
      <c r="Z66" s="335" t="s">
        <v>637</v>
      </c>
      <c r="AA66" s="240">
        <v>45697</v>
      </c>
      <c r="AB66" s="317" t="s">
        <v>638</v>
      </c>
      <c r="AC66" s="240">
        <v>46286</v>
      </c>
      <c r="AD66" s="335" t="s">
        <v>639</v>
      </c>
      <c r="AE66" s="240">
        <v>45996</v>
      </c>
      <c r="AF66" s="315">
        <v>182</v>
      </c>
      <c r="AG66" s="315"/>
      <c r="AH66" s="315"/>
      <c r="AI66" s="315"/>
      <c r="AJ66" s="363"/>
      <c r="AK66" s="311"/>
      <c r="AL66" s="315"/>
      <c r="AM66" s="315"/>
      <c r="AN66" s="365"/>
      <c r="AO66" s="311"/>
      <c r="AP66" s="314"/>
      <c r="AQ66" s="366"/>
      <c r="AR66" s="314"/>
      <c r="AS66" s="311"/>
      <c r="AT66" s="318"/>
      <c r="AU66" s="318"/>
      <c r="AV66" s="321"/>
      <c r="AW66" s="320"/>
      <c r="AX66" s="318"/>
      <c r="AY66" s="321"/>
      <c r="AZ66" s="320"/>
      <c r="BA66" s="318"/>
      <c r="BB66" s="321"/>
      <c r="BC66" s="322"/>
      <c r="BD66" s="418" t="s">
        <v>640</v>
      </c>
      <c r="BE66" s="418"/>
      <c r="BF66" s="323">
        <f t="shared" si="3"/>
        <v>46286</v>
      </c>
      <c r="BG66" s="324">
        <f t="shared" ca="1" si="1"/>
        <v>14</v>
      </c>
      <c r="BH66" s="299"/>
      <c r="BI66" s="325">
        <f t="shared" ca="1" si="4"/>
        <v>0</v>
      </c>
      <c r="BJ66" s="299"/>
      <c r="BK66" s="325">
        <f t="shared" ca="1" si="5"/>
        <v>0</v>
      </c>
      <c r="BL66" s="299"/>
      <c r="BM66" s="326"/>
      <c r="BN66" s="360"/>
      <c r="BO66" s="327" t="s">
        <v>437</v>
      </c>
      <c r="BP66" s="327" t="s">
        <v>20</v>
      </c>
      <c r="BQ66" s="328" t="s">
        <v>43</v>
      </c>
      <c r="BR66" s="329" t="s">
        <v>1077</v>
      </c>
      <c r="BS66" s="331"/>
      <c r="BT66" s="327"/>
      <c r="BU66" s="327"/>
      <c r="BV66" s="327"/>
      <c r="BW66" s="331"/>
      <c r="BX66" s="302"/>
      <c r="BY66" s="302"/>
      <c r="BZ66" s="302"/>
      <c r="CA66" s="295"/>
      <c r="CB66" s="332"/>
      <c r="CC66" s="332"/>
      <c r="CD66" s="332" t="str">
        <f t="shared" si="8"/>
        <v/>
      </c>
      <c r="CE66" s="333">
        <v>45683</v>
      </c>
      <c r="CF66" s="334" t="str">
        <f t="shared" si="10"/>
        <v/>
      </c>
    </row>
    <row r="67" spans="1:84" s="334" customFormat="1" ht="409.5" hidden="1" customHeight="1">
      <c r="A67" s="373">
        <v>53</v>
      </c>
      <c r="B67" s="306" t="s">
        <v>299</v>
      </c>
      <c r="C67" s="307" t="s">
        <v>623</v>
      </c>
      <c r="D67" s="308" t="s">
        <v>641</v>
      </c>
      <c r="E67" s="309" t="str" cm="1">
        <f t="array" ref="E67">IFERROR(LOOKUP(2,1/('[1]Contracts Log'!$F:$F=$D67),'[1]Contracts Log'!$G:$G),"")</f>
        <v>1.TB.01.100.00</v>
      </c>
      <c r="F67" s="309" t="str" cm="1">
        <f t="array" ref="F67">IFERROR(LOOKUP(2,1/('[1]Contracts Log'!$F:$F=$D67),'[1]Contracts Log'!$C:$C),"")</f>
        <v>Marina Village - Wide</v>
      </c>
      <c r="G67" s="309" t="str" cm="1">
        <f t="array" ref="G67">IFERROR(LOOKUP(2,1/('[1]Contracts Log'!$F:$F=$D67),'[1]Contracts Log'!$K:$K),"")</f>
        <v>AMAALA  Secondary Infrastructure Concrete Chambers MV Cabling  Dry  Wet Utilities South Corridor Works Package</v>
      </c>
      <c r="H67" s="309" t="str" cm="1">
        <f t="array" ref="H67">IFERROR(LOOKUP(2,1/('[1]Contracts Log'!$F:$F=$D67),'[1]Contracts Log'!$J:$J),"")</f>
        <v>Arab Supply &amp; Trading Co. (ASTRA Construction)</v>
      </c>
      <c r="I67" s="310">
        <v>1</v>
      </c>
      <c r="J67" s="310"/>
      <c r="K67" s="310"/>
      <c r="L67" s="310"/>
      <c r="M67" s="310"/>
      <c r="N67" s="310"/>
      <c r="O67" s="304"/>
      <c r="P67" s="416"/>
      <c r="Q67" s="304"/>
      <c r="R67" s="416"/>
      <c r="S67" s="417"/>
      <c r="T67" s="416"/>
      <c r="U67" s="304"/>
      <c r="V67" s="335" t="s">
        <v>642</v>
      </c>
      <c r="W67" s="240">
        <v>45694</v>
      </c>
      <c r="X67" s="417"/>
      <c r="Y67" s="417"/>
      <c r="Z67" s="335" t="s">
        <v>643</v>
      </c>
      <c r="AA67" s="240">
        <v>45776</v>
      </c>
      <c r="AB67" s="240"/>
      <c r="AC67" s="240"/>
      <c r="AD67" s="335" t="s">
        <v>644</v>
      </c>
      <c r="AE67" s="240">
        <v>45914</v>
      </c>
      <c r="AF67" s="315">
        <v>235</v>
      </c>
      <c r="AG67" s="315"/>
      <c r="AH67" s="315"/>
      <c r="AI67" s="315"/>
      <c r="AJ67" s="363"/>
      <c r="AK67" s="311"/>
      <c r="AL67" s="315"/>
      <c r="AM67" s="315"/>
      <c r="AN67" s="363" t="s">
        <v>645</v>
      </c>
      <c r="AO67" s="311">
        <v>46042</v>
      </c>
      <c r="AP67" s="314"/>
      <c r="AQ67" s="366"/>
      <c r="AR67" s="314"/>
      <c r="AS67" s="311"/>
      <c r="AT67" s="318"/>
      <c r="AU67" s="318"/>
      <c r="AV67" s="321"/>
      <c r="AW67" s="320"/>
      <c r="AX67" s="318"/>
      <c r="AY67" s="321"/>
      <c r="AZ67" s="320"/>
      <c r="BA67" s="318"/>
      <c r="BB67" s="321"/>
      <c r="BC67" s="322"/>
      <c r="BD67" s="299"/>
      <c r="BE67" s="299"/>
      <c r="BF67" s="323">
        <f t="shared" si="3"/>
        <v>45914</v>
      </c>
      <c r="BG67" s="324" t="str">
        <f t="shared" ca="1" si="1"/>
        <v>N/A</v>
      </c>
      <c r="BH67" s="299"/>
      <c r="BI67" s="325">
        <f t="shared" ca="1" si="4"/>
        <v>0</v>
      </c>
      <c r="BJ67" s="299"/>
      <c r="BK67" s="325">
        <f t="shared" ca="1" si="5"/>
        <v>0</v>
      </c>
      <c r="BL67" s="299"/>
      <c r="BM67" s="326"/>
      <c r="BN67" s="408"/>
      <c r="BO67" s="327" t="s">
        <v>220</v>
      </c>
      <c r="BP67" s="327" t="s">
        <v>376</v>
      </c>
      <c r="BQ67" s="328" t="s">
        <v>21</v>
      </c>
      <c r="BR67" s="329" t="s">
        <v>646</v>
      </c>
      <c r="BS67" s="331"/>
      <c r="BT67" s="327"/>
      <c r="BU67" s="327"/>
      <c r="BV67" s="327"/>
      <c r="BW67" s="331"/>
      <c r="BX67" s="302">
        <v>46023</v>
      </c>
      <c r="BY67" s="302"/>
      <c r="BZ67" s="302"/>
      <c r="CA67" s="295"/>
      <c r="CB67" s="332"/>
      <c r="CC67" s="332"/>
      <c r="CD67" s="332" t="str">
        <f t="shared" si="8"/>
        <v/>
      </c>
      <c r="CE67" s="333">
        <v>45699</v>
      </c>
      <c r="CF67" s="334" t="str">
        <f t="shared" si="10"/>
        <v/>
      </c>
    </row>
    <row r="68" spans="1:84" s="334" customFormat="1" ht="409.5" hidden="1" customHeight="1">
      <c r="A68" s="373">
        <v>54</v>
      </c>
      <c r="B68" s="306" t="s">
        <v>299</v>
      </c>
      <c r="C68" s="307" t="s">
        <v>623</v>
      </c>
      <c r="D68" s="308" t="s">
        <v>647</v>
      </c>
      <c r="E68" s="309" t="str" cm="1">
        <f t="array" ref="E68">IFERROR(LOOKUP(2,1/('[1]Contracts Log'!$F:$F=$D68),'[1]Contracts Log'!$G:$G),"")</f>
        <v>1.TB.01.005.01</v>
      </c>
      <c r="F68" s="309" t="str" cm="1">
        <f t="array" ref="F68">IFERROR(LOOKUP(2,1/('[1]Contracts Log'!$F:$F=$D68),'[1]Contracts Log'!$C:$C),"")</f>
        <v>Red Sea Marine Life Institute</v>
      </c>
      <c r="G68" s="309" t="str" cm="1">
        <f t="array" ref="G68">IFERROR(LOOKUP(2,1/('[1]Contracts Log'!$F:$F=$D68),'[1]Contracts Log'!$K:$K),"")</f>
        <v>Relocation and Construction of Marine Life Operational Facility</v>
      </c>
      <c r="H68" s="309" t="str" cm="1">
        <f t="array" ref="H68">IFERROR(LOOKUP(2,1/('[1]Contracts Log'!$F:$F=$D68),'[1]Contracts Log'!$J:$J),"")</f>
        <v>OJEC ARABIA</v>
      </c>
      <c r="I68" s="310">
        <v>1</v>
      </c>
      <c r="J68" s="310"/>
      <c r="K68" s="310"/>
      <c r="L68" s="310"/>
      <c r="M68" s="310"/>
      <c r="N68" s="310"/>
      <c r="O68" s="304"/>
      <c r="P68" s="416"/>
      <c r="Q68" s="304"/>
      <c r="R68" s="416"/>
      <c r="S68" s="417"/>
      <c r="T68" s="416"/>
      <c r="U68" s="304"/>
      <c r="V68" s="335" t="s">
        <v>648</v>
      </c>
      <c r="W68" s="240">
        <v>45694</v>
      </c>
      <c r="X68" s="417"/>
      <c r="Y68" s="417"/>
      <c r="Z68" s="335" t="s">
        <v>305</v>
      </c>
      <c r="AA68" s="335" t="s">
        <v>305</v>
      </c>
      <c r="AB68" s="335"/>
      <c r="AC68" s="335"/>
      <c r="AD68" s="335"/>
      <c r="AE68" s="240"/>
      <c r="AF68" s="315">
        <v>43</v>
      </c>
      <c r="AG68" s="315"/>
      <c r="AH68" s="315"/>
      <c r="AI68" s="315"/>
      <c r="AJ68" s="363"/>
      <c r="AK68" s="311"/>
      <c r="AL68" s="315"/>
      <c r="AM68" s="315"/>
      <c r="AN68" s="365" t="s">
        <v>649</v>
      </c>
      <c r="AO68" s="311">
        <v>45855</v>
      </c>
      <c r="AP68" s="314"/>
      <c r="AQ68" s="366"/>
      <c r="AR68" s="314"/>
      <c r="AS68" s="311"/>
      <c r="AT68" s="318"/>
      <c r="AU68" s="318"/>
      <c r="AV68" s="321"/>
      <c r="AW68" s="320"/>
      <c r="AX68" s="318"/>
      <c r="AY68" s="321"/>
      <c r="AZ68" s="320"/>
      <c r="BA68" s="318"/>
      <c r="BB68" s="321"/>
      <c r="BC68" s="322"/>
      <c r="BD68" s="299"/>
      <c r="BE68" s="299"/>
      <c r="BF68" s="323">
        <f t="shared" si="3"/>
        <v>45694</v>
      </c>
      <c r="BG68" s="324" t="str">
        <f t="shared" ca="1" si="1"/>
        <v>N/A</v>
      </c>
      <c r="BH68" s="299"/>
      <c r="BI68" s="325">
        <f t="shared" ca="1" si="4"/>
        <v>0</v>
      </c>
      <c r="BJ68" s="299"/>
      <c r="BK68" s="325">
        <f t="shared" ca="1" si="5"/>
        <v>0</v>
      </c>
      <c r="BL68" s="299"/>
      <c r="BM68" s="326"/>
      <c r="BN68" s="408"/>
      <c r="BO68" s="327" t="s">
        <v>220</v>
      </c>
      <c r="BP68" s="327" t="s">
        <v>308</v>
      </c>
      <c r="BQ68" s="328" t="s">
        <v>21</v>
      </c>
      <c r="BR68" s="329" t="s">
        <v>650</v>
      </c>
      <c r="BS68" s="331"/>
      <c r="BT68" s="327"/>
      <c r="BU68" s="327"/>
      <c r="BV68" s="327"/>
      <c r="BW68" s="331"/>
      <c r="BX68" s="302">
        <v>45855</v>
      </c>
      <c r="BY68" s="302"/>
      <c r="BZ68" s="302"/>
      <c r="CA68" s="295"/>
      <c r="CB68" s="332"/>
      <c r="CC68" s="332"/>
      <c r="CD68" s="332" t="str">
        <f t="shared" si="8"/>
        <v/>
      </c>
      <c r="CE68" s="333">
        <v>45699</v>
      </c>
      <c r="CF68" s="334" t="str">
        <f t="shared" si="10"/>
        <v/>
      </c>
    </row>
    <row r="69" spans="1:84" s="334" customFormat="1" ht="409.5" hidden="1" customHeight="1">
      <c r="A69" s="373">
        <v>55</v>
      </c>
      <c r="B69" s="306" t="s">
        <v>310</v>
      </c>
      <c r="C69" s="307" t="s">
        <v>623</v>
      </c>
      <c r="D69" s="308" t="s">
        <v>647</v>
      </c>
      <c r="E69" s="309" t="str" cm="1">
        <f t="array" ref="E69">IFERROR(LOOKUP(2,1/('[1]Contracts Log'!$F:$F=$D69),'[1]Contracts Log'!$G:$G),"")</f>
        <v>1.TB.01.005.01</v>
      </c>
      <c r="F69" s="309" t="str" cm="1">
        <f t="array" ref="F69">IFERROR(LOOKUP(2,1/('[1]Contracts Log'!$F:$F=$D69),'[1]Contracts Log'!$C:$C),"")</f>
        <v>Red Sea Marine Life Institute</v>
      </c>
      <c r="G69" s="309" t="str" cm="1">
        <f t="array" ref="G69">IFERROR(LOOKUP(2,1/('[1]Contracts Log'!$F:$F=$D69),'[1]Contracts Log'!$K:$K),"")</f>
        <v>Relocation and Construction of Marine Life Operational Facility</v>
      </c>
      <c r="H69" s="309" t="str" cm="1">
        <f t="array" ref="H69">IFERROR(LOOKUP(2,1/('[1]Contracts Log'!$F:$F=$D69),'[1]Contracts Log'!$J:$J),"")</f>
        <v>OJEC ARABIA</v>
      </c>
      <c r="I69" s="310"/>
      <c r="J69" s="310">
        <v>1</v>
      </c>
      <c r="K69" s="310"/>
      <c r="L69" s="310"/>
      <c r="M69" s="310"/>
      <c r="N69" s="310"/>
      <c r="O69" s="304"/>
      <c r="P69" s="416"/>
      <c r="Q69" s="304"/>
      <c r="R69" s="416"/>
      <c r="S69" s="417"/>
      <c r="T69" s="416"/>
      <c r="U69" s="304"/>
      <c r="V69" s="335" t="s">
        <v>648</v>
      </c>
      <c r="W69" s="240">
        <v>45694</v>
      </c>
      <c r="X69" s="417"/>
      <c r="Y69" s="417"/>
      <c r="Z69" s="335"/>
      <c r="AA69" s="240" t="s">
        <v>305</v>
      </c>
      <c r="AB69" s="240"/>
      <c r="AC69" s="240"/>
      <c r="AD69" s="335"/>
      <c r="AE69" s="240"/>
      <c r="AF69" s="318"/>
      <c r="AG69" s="318"/>
      <c r="AH69" s="318"/>
      <c r="AI69" s="318"/>
      <c r="AJ69" s="318"/>
      <c r="AK69" s="318"/>
      <c r="AL69" s="318"/>
      <c r="AM69" s="318"/>
      <c r="AN69" s="318"/>
      <c r="AO69" s="318"/>
      <c r="AP69" s="318"/>
      <c r="AQ69" s="318"/>
      <c r="AR69" s="318"/>
      <c r="AS69" s="318"/>
      <c r="AT69" s="419">
        <v>2988659.46</v>
      </c>
      <c r="AU69" s="341"/>
      <c r="AV69" s="314"/>
      <c r="AW69" s="311"/>
      <c r="AX69" s="341"/>
      <c r="AY69" s="314" t="s">
        <v>651</v>
      </c>
      <c r="AZ69" s="311">
        <v>46174</v>
      </c>
      <c r="BA69" s="341"/>
      <c r="BB69" s="314"/>
      <c r="BC69" s="364"/>
      <c r="BD69" s="299"/>
      <c r="BE69" s="299"/>
      <c r="BF69" s="323">
        <f t="shared" si="3"/>
        <v>45694</v>
      </c>
      <c r="BG69" s="324" t="str">
        <f t="shared" ca="1" si="1"/>
        <v>N/A</v>
      </c>
      <c r="BH69" s="299"/>
      <c r="BI69" s="325" t="str">
        <f t="shared" ca="1" si="4"/>
        <v>N/A</v>
      </c>
      <c r="BJ69" s="299"/>
      <c r="BK69" s="325">
        <f t="shared" ca="1" si="5"/>
        <v>0</v>
      </c>
      <c r="BL69" s="299"/>
      <c r="BM69" s="326"/>
      <c r="BN69" s="408"/>
      <c r="BO69" s="327" t="s">
        <v>354</v>
      </c>
      <c r="BP69" s="327" t="s">
        <v>317</v>
      </c>
      <c r="BQ69" s="328" t="s">
        <v>21</v>
      </c>
      <c r="BR69" s="329" t="s">
        <v>652</v>
      </c>
      <c r="BS69" s="331"/>
      <c r="BT69" s="327"/>
      <c r="BU69" s="327"/>
      <c r="BV69" s="327"/>
      <c r="BW69" s="331"/>
      <c r="BX69" s="302">
        <v>46235</v>
      </c>
      <c r="BY69" s="302"/>
      <c r="BZ69" s="302">
        <v>46174</v>
      </c>
      <c r="CA69" s="295"/>
      <c r="CB69" s="332"/>
      <c r="CC69" s="332"/>
      <c r="CD69" s="332" t="str">
        <f t="shared" si="8"/>
        <v/>
      </c>
      <c r="CE69" s="333">
        <v>45699</v>
      </c>
      <c r="CF69" s="334" t="str">
        <f t="shared" si="10"/>
        <v/>
      </c>
    </row>
    <row r="70" spans="1:84" s="334" customFormat="1" ht="409.5" hidden="1" customHeight="1">
      <c r="A70" s="373">
        <v>56</v>
      </c>
      <c r="B70" s="306" t="s">
        <v>299</v>
      </c>
      <c r="C70" s="307" t="s">
        <v>653</v>
      </c>
      <c r="D70" s="308" t="s">
        <v>654</v>
      </c>
      <c r="E70" s="309" t="str" cm="1">
        <f t="array" ref="E70">IFERROR(LOOKUP(2,1/('[1]Contracts Log'!$F:$F=$D70),'[1]Contracts Log'!$G:$G),"")</f>
        <v>1.TB.01.003.01</v>
      </c>
      <c r="F70" s="309" t="str" cm="1">
        <f t="array" ref="F70">IFERROR(LOOKUP(2,1/('[1]Contracts Log'!$F:$F=$D70),'[1]Contracts Log'!$C:$C),"")</f>
        <v xml:space="preserve">AMAALA Yacht Club </v>
      </c>
      <c r="G70" s="309" t="str" cm="1">
        <f t="array" ref="G70">IFERROR(LOOKUP(2,1/('[1]Contracts Log'!$F:$F=$D70),'[1]Contracts Log'!$K:$K),"")</f>
        <v>Aluminium &amp; Glazing Works for the AMAALA Yacht Club</v>
      </c>
      <c r="H70" s="309" t="str" cm="1">
        <f t="array" ref="H70">IFERROR(LOOKUP(2,1/('[1]Contracts Log'!$F:$F=$D70),'[1]Contracts Log'!$J:$J),"")</f>
        <v>Aluminium Technology Auxiliary Industries (Alutec) WLL</v>
      </c>
      <c r="I70" s="310">
        <v>1</v>
      </c>
      <c r="J70" s="310"/>
      <c r="K70" s="310"/>
      <c r="L70" s="310"/>
      <c r="M70" s="310"/>
      <c r="N70" s="310"/>
      <c r="O70" s="304"/>
      <c r="P70" s="416"/>
      <c r="Q70" s="304"/>
      <c r="R70" s="416"/>
      <c r="S70" s="417"/>
      <c r="T70" s="416"/>
      <c r="U70" s="304"/>
      <c r="V70" s="335" t="s">
        <v>655</v>
      </c>
      <c r="W70" s="240">
        <v>45691</v>
      </c>
      <c r="X70" s="417"/>
      <c r="Y70" s="417"/>
      <c r="Z70" s="335" t="s">
        <v>656</v>
      </c>
      <c r="AA70" s="240">
        <v>45708</v>
      </c>
      <c r="AB70" s="240"/>
      <c r="AC70" s="240"/>
      <c r="AD70" s="335" t="s">
        <v>657</v>
      </c>
      <c r="AE70" s="240">
        <v>45895</v>
      </c>
      <c r="AF70" s="315">
        <v>76</v>
      </c>
      <c r="AG70" s="315"/>
      <c r="AH70" s="315"/>
      <c r="AI70" s="315"/>
      <c r="AJ70" s="363"/>
      <c r="AK70" s="311"/>
      <c r="AL70" s="315"/>
      <c r="AM70" s="315"/>
      <c r="AN70" s="365"/>
      <c r="AO70" s="311"/>
      <c r="AP70" s="314"/>
      <c r="AQ70" s="366"/>
      <c r="AR70" s="314"/>
      <c r="AS70" s="311"/>
      <c r="AT70" s="318"/>
      <c r="AU70" s="318"/>
      <c r="AV70" s="321"/>
      <c r="AW70" s="320"/>
      <c r="AX70" s="318"/>
      <c r="AY70" s="321"/>
      <c r="AZ70" s="320"/>
      <c r="BA70" s="318"/>
      <c r="BB70" s="321"/>
      <c r="BC70" s="322"/>
      <c r="BD70" s="307" t="s">
        <v>658</v>
      </c>
      <c r="BE70" s="307"/>
      <c r="BF70" s="323">
        <f t="shared" si="3"/>
        <v>45895</v>
      </c>
      <c r="BG70" s="324">
        <f t="shared" ca="1" si="1"/>
        <v>0</v>
      </c>
      <c r="BH70" s="299"/>
      <c r="BI70" s="325">
        <f t="shared" ca="1" si="4"/>
        <v>0</v>
      </c>
      <c r="BJ70" s="299"/>
      <c r="BK70" s="325">
        <f t="shared" ca="1" si="5"/>
        <v>0</v>
      </c>
      <c r="BL70" s="299"/>
      <c r="BM70" s="326"/>
      <c r="BN70" s="408"/>
      <c r="BO70" s="327" t="s">
        <v>437</v>
      </c>
      <c r="BP70" s="327" t="s">
        <v>20</v>
      </c>
      <c r="BQ70" s="328" t="s">
        <v>37</v>
      </c>
      <c r="BR70" s="329" t="s">
        <v>659</v>
      </c>
      <c r="BS70" s="331"/>
      <c r="BT70" s="327" t="s">
        <v>660</v>
      </c>
      <c r="BU70" s="327"/>
      <c r="BV70" s="327"/>
      <c r="BW70" s="331"/>
      <c r="BX70" s="302"/>
      <c r="BY70" s="302"/>
      <c r="BZ70" s="302"/>
      <c r="CA70" s="295"/>
      <c r="CB70" s="332"/>
      <c r="CC70" s="332"/>
      <c r="CD70" s="332" t="str">
        <f t="shared" si="8"/>
        <v/>
      </c>
      <c r="CE70" s="333">
        <v>45699</v>
      </c>
      <c r="CF70" s="334" t="str">
        <f t="shared" si="10"/>
        <v/>
      </c>
    </row>
    <row r="71" spans="1:84" s="334" customFormat="1" ht="408.75" hidden="1" customHeight="1">
      <c r="A71" s="373">
        <v>57</v>
      </c>
      <c r="B71" s="306" t="s">
        <v>299</v>
      </c>
      <c r="C71" s="307" t="s">
        <v>661</v>
      </c>
      <c r="D71" s="308" t="s">
        <v>662</v>
      </c>
      <c r="E71" s="309" t="str" cm="1">
        <f t="array" ref="E71">IFERROR(LOOKUP(2,1/('[1]Contracts Log'!$F:$F=$D71),'[1]Contracts Log'!$G:$G),"")</f>
        <v>1.TB.01.003.01</v>
      </c>
      <c r="F71" s="309" t="str" cm="1">
        <f t="array" ref="F71">IFERROR(LOOKUP(2,1/('[1]Contracts Log'!$F:$F=$D71),'[1]Contracts Log'!$C:$C),"")</f>
        <v xml:space="preserve">AMAALA Yacht Club </v>
      </c>
      <c r="G71" s="309" t="str" cm="1">
        <f t="array" ref="G71">IFERROR(LOOKUP(2,1/('[1]Contracts Log'!$F:$F=$D71),'[1]Contracts Log'!$K:$K),"")</f>
        <v>Vertical Transportation Works</v>
      </c>
      <c r="H71" s="309" t="str" cm="1">
        <f t="array" ref="H71">IFERROR(LOOKUP(2,1/('[1]Contracts Log'!$F:$F=$D71),'[1]Contracts Log'!$J:$J),"")</f>
        <v>Elevator Systems Contracting Company (ESCCO)</v>
      </c>
      <c r="I71" s="310">
        <v>1</v>
      </c>
      <c r="J71" s="310"/>
      <c r="K71" s="310"/>
      <c r="L71" s="310"/>
      <c r="M71" s="310"/>
      <c r="N71" s="310"/>
      <c r="O71" s="304"/>
      <c r="P71" s="416"/>
      <c r="Q71" s="304"/>
      <c r="R71" s="416"/>
      <c r="S71" s="417"/>
      <c r="T71" s="416"/>
      <c r="U71" s="304"/>
      <c r="V71" s="335" t="s">
        <v>663</v>
      </c>
      <c r="W71" s="240">
        <v>45683</v>
      </c>
      <c r="X71" s="417"/>
      <c r="Y71" s="417"/>
      <c r="Z71" s="335" t="s">
        <v>664</v>
      </c>
      <c r="AA71" s="240">
        <v>45690</v>
      </c>
      <c r="AB71" s="240"/>
      <c r="AC71" s="240"/>
      <c r="AD71" s="335" t="s">
        <v>665</v>
      </c>
      <c r="AE71" s="240">
        <v>45693</v>
      </c>
      <c r="AF71" s="315">
        <v>217</v>
      </c>
      <c r="AG71" s="315"/>
      <c r="AH71" s="315"/>
      <c r="AI71" s="315"/>
      <c r="AJ71" s="363"/>
      <c r="AK71" s="311"/>
      <c r="AL71" s="315"/>
      <c r="AM71" s="315"/>
      <c r="AN71" s="365" t="s">
        <v>666</v>
      </c>
      <c r="AO71" s="311">
        <v>45757</v>
      </c>
      <c r="AP71" s="314"/>
      <c r="AQ71" s="366"/>
      <c r="AR71" s="314"/>
      <c r="AS71" s="311"/>
      <c r="AT71" s="318"/>
      <c r="AU71" s="318"/>
      <c r="AV71" s="321"/>
      <c r="AW71" s="320"/>
      <c r="AX71" s="318"/>
      <c r="AY71" s="321"/>
      <c r="AZ71" s="320"/>
      <c r="BA71" s="318"/>
      <c r="BB71" s="321"/>
      <c r="BC71" s="322"/>
      <c r="BD71" s="420" t="s">
        <v>667</v>
      </c>
      <c r="BE71" s="420"/>
      <c r="BF71" s="323">
        <f t="shared" si="3"/>
        <v>45693</v>
      </c>
      <c r="BG71" s="324" t="str">
        <f t="shared" ca="1" si="1"/>
        <v>N/A</v>
      </c>
      <c r="BH71" s="299"/>
      <c r="BI71" s="325">
        <f t="shared" ca="1" si="4"/>
        <v>0</v>
      </c>
      <c r="BJ71" s="299"/>
      <c r="BK71" s="325">
        <f t="shared" ca="1" si="5"/>
        <v>0</v>
      </c>
      <c r="BL71" s="299"/>
      <c r="BM71" s="326"/>
      <c r="BN71" s="408"/>
      <c r="BO71" s="327" t="s">
        <v>220</v>
      </c>
      <c r="BP71" s="327" t="s">
        <v>308</v>
      </c>
      <c r="BQ71" s="328" t="s">
        <v>21</v>
      </c>
      <c r="BR71" s="329" t="s">
        <v>668</v>
      </c>
      <c r="BS71" s="331"/>
      <c r="BT71" s="327"/>
      <c r="BU71" s="327"/>
      <c r="BV71" s="327"/>
      <c r="BW71" s="331"/>
      <c r="BX71" s="302">
        <v>45757</v>
      </c>
      <c r="BY71" s="302"/>
      <c r="BZ71" s="302"/>
      <c r="CA71" s="295"/>
      <c r="CB71" s="332"/>
      <c r="CC71" s="332"/>
      <c r="CD71" s="332" t="str">
        <f t="shared" si="8"/>
        <v/>
      </c>
      <c r="CE71" s="333">
        <v>45699</v>
      </c>
      <c r="CF71" s="334" t="str">
        <f t="shared" si="10"/>
        <v/>
      </c>
    </row>
    <row r="72" spans="1:84" s="334" customFormat="1" ht="409.5" hidden="1" customHeight="1">
      <c r="A72" s="373">
        <v>58</v>
      </c>
      <c r="B72" s="306" t="s">
        <v>299</v>
      </c>
      <c r="C72" s="307" t="s">
        <v>669</v>
      </c>
      <c r="D72" s="308" t="s">
        <v>670</v>
      </c>
      <c r="E72" s="309" t="str" cm="1">
        <f t="array" ref="E72">IFERROR(LOOKUP(2,1/('[1]Contracts Log'!$F:$F=$D72),'[1]Contracts Log'!$G:$G),"")</f>
        <v>1.TB.01.009.01</v>
      </c>
      <c r="F72" s="309" t="s">
        <v>671</v>
      </c>
      <c r="G72" s="309" t="s">
        <v>672</v>
      </c>
      <c r="H72" s="309" t="s">
        <v>673</v>
      </c>
      <c r="I72" s="310">
        <v>1</v>
      </c>
      <c r="J72" s="310"/>
      <c r="K72" s="310"/>
      <c r="L72" s="310"/>
      <c r="M72" s="310"/>
      <c r="N72" s="310"/>
      <c r="O72" s="304"/>
      <c r="P72" s="416"/>
      <c r="Q72" s="304"/>
      <c r="R72" s="416"/>
      <c r="S72" s="417"/>
      <c r="T72" s="416"/>
      <c r="U72" s="304"/>
      <c r="V72" s="335" t="s">
        <v>674</v>
      </c>
      <c r="W72" s="240">
        <v>45718</v>
      </c>
      <c r="X72" s="417"/>
      <c r="Y72" s="417"/>
      <c r="Z72" s="335" t="s">
        <v>675</v>
      </c>
      <c r="AA72" s="240">
        <v>45790</v>
      </c>
      <c r="AB72" s="240"/>
      <c r="AC72" s="240"/>
      <c r="AD72" s="335" t="s">
        <v>676</v>
      </c>
      <c r="AE72" s="240">
        <v>45991</v>
      </c>
      <c r="AF72" s="315">
        <v>146</v>
      </c>
      <c r="AG72" s="315"/>
      <c r="AH72" s="315"/>
      <c r="AI72" s="315"/>
      <c r="AJ72" s="363"/>
      <c r="AK72" s="311"/>
      <c r="AL72" s="315"/>
      <c r="AM72" s="315"/>
      <c r="AN72" s="365" t="s">
        <v>305</v>
      </c>
      <c r="AO72" s="365" t="s">
        <v>305</v>
      </c>
      <c r="AP72" s="314"/>
      <c r="AQ72" s="366"/>
      <c r="AR72" s="314"/>
      <c r="AS72" s="311"/>
      <c r="AT72" s="341"/>
      <c r="AU72" s="341"/>
      <c r="AV72" s="314"/>
      <c r="AW72" s="311"/>
      <c r="AX72" s="341"/>
      <c r="AY72" s="314"/>
      <c r="AZ72" s="311"/>
      <c r="BA72" s="341"/>
      <c r="BB72" s="314"/>
      <c r="BC72" s="364"/>
      <c r="BD72" s="299"/>
      <c r="BE72" s="299"/>
      <c r="BF72" s="323">
        <f t="shared" si="3"/>
        <v>45991</v>
      </c>
      <c r="BG72" s="324" t="str">
        <f t="shared" ca="1" si="1"/>
        <v>N/A</v>
      </c>
      <c r="BH72" s="299"/>
      <c r="BI72" s="325">
        <f t="shared" ca="1" si="4"/>
        <v>0</v>
      </c>
      <c r="BJ72" s="299"/>
      <c r="BK72" s="325">
        <f t="shared" ca="1" si="5"/>
        <v>0</v>
      </c>
      <c r="BL72" s="299"/>
      <c r="BM72" s="326"/>
      <c r="BN72" s="408"/>
      <c r="BO72" s="327" t="s">
        <v>354</v>
      </c>
      <c r="BP72" s="327" t="s">
        <v>221</v>
      </c>
      <c r="BQ72" s="328" t="s">
        <v>21</v>
      </c>
      <c r="BR72" s="329" t="s">
        <v>677</v>
      </c>
      <c r="BS72" s="331"/>
      <c r="BT72" s="327"/>
      <c r="BU72" s="327"/>
      <c r="BV72" s="327"/>
      <c r="BW72" s="331"/>
      <c r="BX72" s="302">
        <v>46204</v>
      </c>
      <c r="BY72" s="302"/>
      <c r="BZ72" s="302"/>
      <c r="CA72" s="295"/>
      <c r="CB72" s="332"/>
      <c r="CC72" s="332"/>
      <c r="CD72" s="332" t="str">
        <f t="shared" si="8"/>
        <v/>
      </c>
      <c r="CE72" s="333">
        <v>45725</v>
      </c>
      <c r="CF72" s="334" t="str">
        <f t="shared" si="10"/>
        <v/>
      </c>
    </row>
    <row r="73" spans="1:84" s="334" customFormat="1" ht="409.5" hidden="1" customHeight="1">
      <c r="A73" s="373">
        <v>59</v>
      </c>
      <c r="B73" s="306" t="s">
        <v>299</v>
      </c>
      <c r="C73" s="307" t="s">
        <v>678</v>
      </c>
      <c r="D73" s="308" t="s">
        <v>411</v>
      </c>
      <c r="E73" s="309" t="str" cm="1">
        <f t="array" ref="E73">IFERROR(LOOKUP(2,1/('[1]Contracts Log'!$F:$F=$D73),'[1]Contracts Log'!$G:$G),"")</f>
        <v>1.TB.01.009.01</v>
      </c>
      <c r="F73" s="309" t="str" cm="1">
        <f t="array" ref="F73">IFERROR(LOOKUP(2,1/('[1]Contracts Log'!$F:$F=$D73),'[1]Contracts Log'!$C:$C),"")</f>
        <v>Marina Hotel 3</v>
      </c>
      <c r="G73" s="309" t="str" cm="1">
        <f t="array" ref="G73">IFERROR(LOOKUP(2,1/('[1]Contracts Log'!$F:$F=$D73),'[1]Contracts Log'!$K:$K),"")</f>
        <v>Concrete, Civil, Structural Steel and Builders Works - Phase 2</v>
      </c>
      <c r="H73" s="309" t="str" cm="1">
        <f t="array" ref="H73">IFERROR(LOOKUP(2,1/('[1]Contracts Log'!$F:$F=$D73),'[1]Contracts Log'!$J:$J),"")</f>
        <v>Hassan Allam Construction Saudi Limited</v>
      </c>
      <c r="I73" s="310">
        <v>1</v>
      </c>
      <c r="J73" s="310"/>
      <c r="K73" s="310"/>
      <c r="L73" s="310"/>
      <c r="M73" s="310"/>
      <c r="N73" s="310"/>
      <c r="O73" s="304"/>
      <c r="P73" s="416"/>
      <c r="Q73" s="304"/>
      <c r="R73" s="416"/>
      <c r="S73" s="417"/>
      <c r="T73" s="416"/>
      <c r="U73" s="304"/>
      <c r="V73" s="335" t="s">
        <v>679</v>
      </c>
      <c r="W73" s="240">
        <v>45729</v>
      </c>
      <c r="X73" s="417"/>
      <c r="Y73" s="417"/>
      <c r="Z73" s="335" t="s">
        <v>680</v>
      </c>
      <c r="AA73" s="240">
        <v>45818</v>
      </c>
      <c r="AB73" s="240"/>
      <c r="AC73" s="240"/>
      <c r="AD73" s="421" t="s">
        <v>681</v>
      </c>
      <c r="AE73" s="422">
        <v>46042</v>
      </c>
      <c r="AF73" s="315">
        <v>108</v>
      </c>
      <c r="AG73" s="315"/>
      <c r="AH73" s="315"/>
      <c r="AI73" s="315"/>
      <c r="AJ73" s="363"/>
      <c r="AK73" s="311"/>
      <c r="AL73" s="315"/>
      <c r="AM73" s="315"/>
      <c r="AN73" s="365"/>
      <c r="AO73" s="311"/>
      <c r="AP73" s="314"/>
      <c r="AQ73" s="366"/>
      <c r="AR73" s="314"/>
      <c r="AS73" s="311"/>
      <c r="AT73" s="318"/>
      <c r="AU73" s="318"/>
      <c r="AV73" s="321"/>
      <c r="AW73" s="320"/>
      <c r="AX73" s="318"/>
      <c r="AY73" s="321"/>
      <c r="AZ73" s="320"/>
      <c r="BA73" s="318"/>
      <c r="BB73" s="321"/>
      <c r="BC73" s="322"/>
      <c r="BD73" s="299"/>
      <c r="BE73" s="299"/>
      <c r="BF73" s="323">
        <f t="shared" si="3"/>
        <v>46042</v>
      </c>
      <c r="BG73" s="324">
        <f t="shared" ca="1" si="1"/>
        <v>0</v>
      </c>
      <c r="BH73" s="299"/>
      <c r="BI73" s="325">
        <f t="shared" ca="1" si="4"/>
        <v>0</v>
      </c>
      <c r="BJ73" s="299"/>
      <c r="BK73" s="325">
        <f t="shared" ca="1" si="5"/>
        <v>0</v>
      </c>
      <c r="BL73" s="299"/>
      <c r="BM73" s="326"/>
      <c r="BN73" s="408"/>
      <c r="BO73" s="327" t="s">
        <v>437</v>
      </c>
      <c r="BP73" s="327" t="s">
        <v>20</v>
      </c>
      <c r="BQ73" s="328" t="s">
        <v>37</v>
      </c>
      <c r="BR73" s="329" t="s">
        <v>682</v>
      </c>
      <c r="BS73" s="331"/>
      <c r="BT73" s="327" t="s">
        <v>660</v>
      </c>
      <c r="BU73" s="327"/>
      <c r="BV73" s="327"/>
      <c r="BW73" s="331"/>
      <c r="BX73" s="302"/>
      <c r="BY73" s="302"/>
      <c r="BZ73" s="302"/>
      <c r="CA73" s="295"/>
      <c r="CB73" s="332"/>
      <c r="CC73" s="332"/>
      <c r="CD73" s="332" t="str">
        <f t="shared" si="8"/>
        <v/>
      </c>
      <c r="CE73" s="333">
        <v>45740</v>
      </c>
      <c r="CF73" s="334" t="str">
        <f t="shared" si="10"/>
        <v/>
      </c>
    </row>
    <row r="74" spans="1:84" s="334" customFormat="1" ht="378" hidden="1" customHeight="1">
      <c r="A74" s="373">
        <v>60</v>
      </c>
      <c r="B74" s="306" t="s">
        <v>299</v>
      </c>
      <c r="C74" s="307" t="s">
        <v>683</v>
      </c>
      <c r="D74" s="308" t="s">
        <v>684</v>
      </c>
      <c r="E74" s="309" t="str" cm="1">
        <f t="array" ref="E74">IFERROR(LOOKUP(2,1/('[1]Contracts Log'!$F:$F=$D74),'[1]Contracts Log'!$G:$G),"")</f>
        <v>1.TB.01.006.99</v>
      </c>
      <c r="F74" s="309" t="str" cm="1">
        <f t="array" ref="F74">IFERROR(LOOKUP(2,1/('[1]Contracts Log'!$F:$F=$D74),'[1]Contracts Log'!$C:$C),"")</f>
        <v>Village Boutique Hotel</v>
      </c>
      <c r="G74" s="309" t="str" cm="1">
        <f t="array" ref="G74">IFERROR(LOOKUP(2,1/('[1]Contracts Log'!$F:$F=$D74),'[1]Contracts Log'!$K:$K),"")</f>
        <v>Construction of Amaala Triple Bay Marina - Village Boutique Hotel Fit-Out Package 2</v>
      </c>
      <c r="H74" s="309" t="str" cm="1">
        <f t="array" ref="H74">IFERROR(LOOKUP(2,1/('[1]Contracts Log'!$F:$F=$D74),'[1]Contracts Log'!$J:$J),"")</f>
        <v>Havelock One Interiors Company</v>
      </c>
      <c r="I74" s="310">
        <v>1</v>
      </c>
      <c r="J74" s="310"/>
      <c r="K74" s="310"/>
      <c r="L74" s="310"/>
      <c r="M74" s="310"/>
      <c r="N74" s="310"/>
      <c r="O74" s="304"/>
      <c r="P74" s="416"/>
      <c r="Q74" s="304"/>
      <c r="R74" s="416"/>
      <c r="S74" s="417"/>
      <c r="T74" s="416"/>
      <c r="U74" s="304"/>
      <c r="V74" s="335" t="s">
        <v>685</v>
      </c>
      <c r="W74" s="240">
        <v>45742</v>
      </c>
      <c r="X74" s="417"/>
      <c r="Y74" s="417"/>
      <c r="Z74" s="335" t="s">
        <v>686</v>
      </c>
      <c r="AA74" s="240">
        <v>45767</v>
      </c>
      <c r="AB74" s="240"/>
      <c r="AC74" s="240"/>
      <c r="AD74" s="335" t="s">
        <v>687</v>
      </c>
      <c r="AE74" s="240">
        <v>45847</v>
      </c>
      <c r="AF74" s="315">
        <v>61</v>
      </c>
      <c r="AG74" s="315"/>
      <c r="AH74" s="315"/>
      <c r="AI74" s="315"/>
      <c r="AJ74" s="365" t="s">
        <v>305</v>
      </c>
      <c r="AK74" s="365" t="s">
        <v>305</v>
      </c>
      <c r="AL74" s="315"/>
      <c r="AM74" s="315"/>
      <c r="AN74" s="365" t="s">
        <v>305</v>
      </c>
      <c r="AO74" s="365" t="s">
        <v>305</v>
      </c>
      <c r="AP74" s="314"/>
      <c r="AQ74" s="366"/>
      <c r="AR74" s="314"/>
      <c r="AS74" s="311"/>
      <c r="AT74" s="318"/>
      <c r="AU74" s="318"/>
      <c r="AV74" s="321"/>
      <c r="AW74" s="320"/>
      <c r="AX74" s="318"/>
      <c r="AY74" s="321"/>
      <c r="AZ74" s="320"/>
      <c r="BA74" s="318"/>
      <c r="BB74" s="321"/>
      <c r="BC74" s="322"/>
      <c r="BD74" s="299"/>
      <c r="BE74" s="299"/>
      <c r="BF74" s="323">
        <f t="shared" si="3"/>
        <v>45847</v>
      </c>
      <c r="BG74" s="324" t="str">
        <f t="shared" ca="1" si="1"/>
        <v>N/A</v>
      </c>
      <c r="BH74" s="299"/>
      <c r="BI74" s="325">
        <f t="shared" ca="1" si="4"/>
        <v>0</v>
      </c>
      <c r="BJ74" s="299"/>
      <c r="BK74" s="325">
        <f t="shared" ca="1" si="5"/>
        <v>0</v>
      </c>
      <c r="BL74" s="299"/>
      <c r="BM74" s="326"/>
      <c r="BN74" s="408"/>
      <c r="BO74" s="327" t="s">
        <v>363</v>
      </c>
      <c r="BP74" s="327" t="s">
        <v>221</v>
      </c>
      <c r="BQ74" s="328" t="s">
        <v>21</v>
      </c>
      <c r="BR74" s="329" t="s">
        <v>688</v>
      </c>
      <c r="BS74" s="331"/>
      <c r="BT74" s="327"/>
      <c r="BU74" s="327"/>
      <c r="BV74" s="327"/>
      <c r="BW74" s="331"/>
      <c r="BX74" s="302">
        <v>45953</v>
      </c>
      <c r="BY74" s="302"/>
      <c r="BZ74" s="302"/>
      <c r="CA74" s="295"/>
      <c r="CB74" s="332"/>
      <c r="CC74" s="332"/>
      <c r="CD74" s="332" t="str">
        <f t="shared" si="8"/>
        <v/>
      </c>
      <c r="CE74" s="333">
        <v>45762</v>
      </c>
      <c r="CF74" s="334" t="str">
        <f t="shared" si="10"/>
        <v/>
      </c>
    </row>
    <row r="75" spans="1:84" s="334" customFormat="1" ht="409.5" hidden="1" customHeight="1">
      <c r="A75" s="373">
        <v>61</v>
      </c>
      <c r="B75" s="306" t="s">
        <v>299</v>
      </c>
      <c r="C75" s="307" t="s">
        <v>689</v>
      </c>
      <c r="D75" s="308" t="s">
        <v>596</v>
      </c>
      <c r="E75" s="309" t="str" cm="1">
        <f t="array" ref="E75">IFERROR(LOOKUP(2,1/('[1]Contracts Log'!$F:$F=$D75),'[1]Contracts Log'!$G:$G),"")</f>
        <v>1.TB.01.031.10</v>
      </c>
      <c r="F75" s="309" t="str" cm="1">
        <f t="array" ref="F75">IFERROR(LOOKUP(2,1/('[1]Contracts Log'!$F:$F=$D75),'[1]Contracts Log'!$C:$C),"")</f>
        <v>The Marina</v>
      </c>
      <c r="G75" s="309" t="str" cm="1">
        <f t="array" ref="G75">IFERROR(LOOKUP(2,1/('[1]Contracts Log'!$F:$F=$D75),'[1]Contracts Log'!$K:$K),"")</f>
        <v>Design, Engineering, Procurement and Construction of Floating Pontoons for a The Marina at AMAALA Triple Bay</v>
      </c>
      <c r="H75" s="309" t="str" cm="1">
        <f t="array" ref="H75">IFERROR(LOOKUP(2,1/('[1]Contracts Log'!$F:$F=$D75),'[1]Contracts Log'!$J:$J),"")</f>
        <v xml:space="preserve">MME Marine Engineering LLC </v>
      </c>
      <c r="I75" s="310">
        <v>1</v>
      </c>
      <c r="J75" s="310"/>
      <c r="K75" s="310"/>
      <c r="L75" s="310"/>
      <c r="M75" s="310"/>
      <c r="N75" s="310"/>
      <c r="O75" s="304"/>
      <c r="P75" s="416"/>
      <c r="Q75" s="304"/>
      <c r="R75" s="416"/>
      <c r="S75" s="417"/>
      <c r="T75" s="416"/>
      <c r="U75" s="304"/>
      <c r="V75" s="335" t="s">
        <v>690</v>
      </c>
      <c r="W75" s="240">
        <v>45773</v>
      </c>
      <c r="X75" s="417"/>
      <c r="Y75" s="417"/>
      <c r="Z75" s="423" t="s">
        <v>691</v>
      </c>
      <c r="AA75" s="424">
        <v>45787</v>
      </c>
      <c r="AB75" s="424"/>
      <c r="AC75" s="424"/>
      <c r="AD75" s="335" t="s">
        <v>692</v>
      </c>
      <c r="AE75" s="240">
        <v>45799</v>
      </c>
      <c r="AF75" s="315">
        <v>122</v>
      </c>
      <c r="AG75" s="315"/>
      <c r="AH75" s="315"/>
      <c r="AI75" s="315"/>
      <c r="AJ75" s="363"/>
      <c r="AK75" s="311"/>
      <c r="AL75" s="315"/>
      <c r="AM75" s="315"/>
      <c r="AN75" s="365" t="s">
        <v>693</v>
      </c>
      <c r="AO75" s="311">
        <v>46028</v>
      </c>
      <c r="AP75" s="314"/>
      <c r="AQ75" s="366"/>
      <c r="AR75" s="314"/>
      <c r="AS75" s="311"/>
      <c r="AT75" s="318"/>
      <c r="AU75" s="318"/>
      <c r="AV75" s="321"/>
      <c r="AW75" s="320"/>
      <c r="AX75" s="318"/>
      <c r="AY75" s="321"/>
      <c r="AZ75" s="320"/>
      <c r="BA75" s="318"/>
      <c r="BB75" s="321"/>
      <c r="BC75" s="322"/>
      <c r="BD75" s="299"/>
      <c r="BE75" s="299"/>
      <c r="BF75" s="323">
        <f t="shared" si="3"/>
        <v>45799</v>
      </c>
      <c r="BG75" s="324" t="str">
        <f t="shared" ca="1" si="1"/>
        <v>N/A</v>
      </c>
      <c r="BH75" s="299"/>
      <c r="BI75" s="325">
        <f t="shared" ca="1" si="4"/>
        <v>0</v>
      </c>
      <c r="BJ75" s="299"/>
      <c r="BK75" s="325">
        <f t="shared" ca="1" si="5"/>
        <v>0</v>
      </c>
      <c r="BL75" s="299"/>
      <c r="BM75" s="326"/>
      <c r="BN75" s="408"/>
      <c r="BO75" s="327" t="s">
        <v>220</v>
      </c>
      <c r="BP75" s="327" t="s">
        <v>376</v>
      </c>
      <c r="BQ75" s="328" t="s">
        <v>21</v>
      </c>
      <c r="BR75" s="329" t="s">
        <v>694</v>
      </c>
      <c r="BS75" s="331"/>
      <c r="BT75" s="327"/>
      <c r="BU75" s="327"/>
      <c r="BV75" s="327"/>
      <c r="BW75" s="331"/>
      <c r="BX75" s="302">
        <v>46023</v>
      </c>
      <c r="BY75" s="302"/>
      <c r="BZ75" s="302"/>
      <c r="CA75" s="295"/>
      <c r="CB75" s="332"/>
      <c r="CC75" s="332"/>
      <c r="CD75" s="332" t="str">
        <f t="shared" si="8"/>
        <v/>
      </c>
      <c r="CE75" s="333">
        <v>45767</v>
      </c>
      <c r="CF75" s="334" t="str">
        <f t="shared" si="10"/>
        <v/>
      </c>
    </row>
    <row r="76" spans="1:84" s="334" customFormat="1" ht="264" hidden="1" customHeight="1">
      <c r="A76" s="373">
        <v>62</v>
      </c>
      <c r="B76" s="306" t="s">
        <v>299</v>
      </c>
      <c r="C76" s="307" t="s">
        <v>683</v>
      </c>
      <c r="D76" s="308" t="s">
        <v>695</v>
      </c>
      <c r="E76" s="309" t="str" cm="1">
        <f t="array" ref="E76">IFERROR(LOOKUP(2,1/('[1]Contracts Log'!$F:$F=$D76),'[1]Contracts Log'!$G:$G),"")</f>
        <v>1.TB.01.002.99</v>
      </c>
      <c r="F76" s="309" t="str" cm="1">
        <f t="array" ref="F76">IFERROR(LOOKUP(2,1/('[1]Contracts Log'!$F:$F=$D76),'[1]Contracts Log'!$C:$C),"")</f>
        <v>Marina Lifestyle Hotel &amp; Village</v>
      </c>
      <c r="G76" s="309" t="str" cm="1">
        <f t="array" ref="G76">IFERROR(LOOKUP(2,1/('[1]Contracts Log'!$F:$F=$D76),'[1]Contracts Log'!$K:$K),"")</f>
        <v>Building Envelope Works for Marina Lifestyle Hotel</v>
      </c>
      <c r="H76" s="309" t="str" cm="1">
        <f t="array" ref="H76">IFERROR(LOOKUP(2,1/('[1]Contracts Log'!$F:$F=$D76),'[1]Contracts Log'!$J:$J),"")</f>
        <v>DOHA Extraco</v>
      </c>
      <c r="I76" s="310">
        <v>1</v>
      </c>
      <c r="J76" s="310"/>
      <c r="K76" s="310"/>
      <c r="L76" s="310"/>
      <c r="M76" s="310"/>
      <c r="N76" s="310"/>
      <c r="O76" s="304"/>
      <c r="P76" s="416"/>
      <c r="Q76" s="304"/>
      <c r="R76" s="416"/>
      <c r="S76" s="417"/>
      <c r="T76" s="416"/>
      <c r="U76" s="304"/>
      <c r="V76" s="335" t="s">
        <v>696</v>
      </c>
      <c r="W76" s="240">
        <v>45747</v>
      </c>
      <c r="X76" s="417"/>
      <c r="Y76" s="417"/>
      <c r="Z76" s="335"/>
      <c r="AA76" s="240" t="s">
        <v>305</v>
      </c>
      <c r="AB76" s="240"/>
      <c r="AC76" s="240"/>
      <c r="AD76" s="335"/>
      <c r="AE76" s="240"/>
      <c r="AF76" s="315"/>
      <c r="AG76" s="315"/>
      <c r="AH76" s="315"/>
      <c r="AI76" s="315"/>
      <c r="AJ76" s="363"/>
      <c r="AK76" s="311"/>
      <c r="AL76" s="315"/>
      <c r="AM76" s="315"/>
      <c r="AN76" s="365"/>
      <c r="AO76" s="311">
        <v>45833</v>
      </c>
      <c r="AP76" s="314"/>
      <c r="AQ76" s="366"/>
      <c r="AR76" s="314"/>
      <c r="AS76" s="311"/>
      <c r="AT76" s="318"/>
      <c r="AU76" s="318"/>
      <c r="AV76" s="321"/>
      <c r="AW76" s="320"/>
      <c r="AX76" s="318"/>
      <c r="AY76" s="321"/>
      <c r="AZ76" s="320"/>
      <c r="BA76" s="318"/>
      <c r="BB76" s="321"/>
      <c r="BC76" s="322"/>
      <c r="BD76" s="299"/>
      <c r="BE76" s="299"/>
      <c r="BF76" s="323">
        <f t="shared" si="3"/>
        <v>45747</v>
      </c>
      <c r="BG76" s="324" t="str">
        <f t="shared" ca="1" si="1"/>
        <v>N/A</v>
      </c>
      <c r="BH76" s="299"/>
      <c r="BI76" s="325">
        <f t="shared" ca="1" si="4"/>
        <v>0</v>
      </c>
      <c r="BJ76" s="299"/>
      <c r="BK76" s="325">
        <f t="shared" ca="1" si="5"/>
        <v>0</v>
      </c>
      <c r="BL76" s="299"/>
      <c r="BM76" s="326"/>
      <c r="BN76" s="408"/>
      <c r="BO76" s="327" t="s">
        <v>354</v>
      </c>
      <c r="BP76" s="327" t="s">
        <v>354</v>
      </c>
      <c r="BQ76" s="328" t="s">
        <v>21</v>
      </c>
      <c r="BR76" s="329" t="s">
        <v>697</v>
      </c>
      <c r="BS76" s="331"/>
      <c r="BT76" s="327"/>
      <c r="BU76" s="327"/>
      <c r="BV76" s="327"/>
      <c r="BW76" s="331"/>
      <c r="BX76" s="311">
        <v>45833</v>
      </c>
      <c r="BY76" s="302"/>
      <c r="BZ76" s="302"/>
      <c r="CA76" s="295"/>
      <c r="CB76" s="332"/>
      <c r="CC76" s="332"/>
      <c r="CD76" s="332" t="str">
        <f t="shared" si="8"/>
        <v/>
      </c>
      <c r="CE76" s="333">
        <v>45747</v>
      </c>
      <c r="CF76" s="334" t="str">
        <f t="shared" si="10"/>
        <v/>
      </c>
    </row>
    <row r="77" spans="1:84" s="334" customFormat="1" ht="165.75" hidden="1" customHeight="1">
      <c r="A77" s="373">
        <v>63</v>
      </c>
      <c r="B77" s="306" t="s">
        <v>299</v>
      </c>
      <c r="C77" s="307" t="s">
        <v>698</v>
      </c>
      <c r="D77" s="308" t="s">
        <v>699</v>
      </c>
      <c r="E77" s="309" t="str" cm="1">
        <f t="array" ref="E77">IFERROR(LOOKUP(2,1/('[1]Contracts Log'!$F:$F=$D77),'[1]Contracts Log'!$G:$G),"")</f>
        <v>1.TB.01.005.01</v>
      </c>
      <c r="F77" s="309" t="str" cm="1">
        <f t="array" ref="F77">IFERROR(LOOKUP(2,1/('[1]Contracts Log'!$F:$F=$D77),'[1]Contracts Log'!$C:$C),"")</f>
        <v>Red Sea Marine Life Institute</v>
      </c>
      <c r="G77" s="309" t="str" cm="1">
        <f t="array" ref="G77">IFERROR(LOOKUP(2,1/('[1]Contracts Log'!$F:$F=$D77),'[1]Contracts Log'!$K:$K),"")</f>
        <v>Façade and Cladding Works</v>
      </c>
      <c r="H77" s="309" t="str" cm="1">
        <f t="array" ref="H77">IFERROR(LOOKUP(2,1/('[1]Contracts Log'!$F:$F=$D77),'[1]Contracts Log'!$J:$J),"")</f>
        <v>Fibrex LLC</v>
      </c>
      <c r="I77" s="310">
        <v>1</v>
      </c>
      <c r="J77" s="310"/>
      <c r="K77" s="310"/>
      <c r="L77" s="310"/>
      <c r="M77" s="310"/>
      <c r="N77" s="310"/>
      <c r="O77" s="304"/>
      <c r="P77" s="416"/>
      <c r="Q77" s="304"/>
      <c r="R77" s="416"/>
      <c r="S77" s="417"/>
      <c r="T77" s="416"/>
      <c r="U77" s="304"/>
      <c r="V77" s="335" t="s">
        <v>700</v>
      </c>
      <c r="W77" s="240">
        <v>45768</v>
      </c>
      <c r="X77" s="417"/>
      <c r="Y77" s="417"/>
      <c r="Z77" s="335"/>
      <c r="AA77" s="240" t="s">
        <v>305</v>
      </c>
      <c r="AB77" s="240"/>
      <c r="AC77" s="240"/>
      <c r="AD77" s="335"/>
      <c r="AE77" s="240"/>
      <c r="AF77" s="315"/>
      <c r="AG77" s="315"/>
      <c r="AH77" s="315"/>
      <c r="AI77" s="315"/>
      <c r="AJ77" s="363"/>
      <c r="AK77" s="311"/>
      <c r="AL77" s="315">
        <v>54</v>
      </c>
      <c r="AM77" s="315"/>
      <c r="AN77" s="365" t="s">
        <v>701</v>
      </c>
      <c r="AO77" s="311">
        <v>45768</v>
      </c>
      <c r="AP77" s="314"/>
      <c r="AQ77" s="366"/>
      <c r="AR77" s="314"/>
      <c r="AS77" s="311"/>
      <c r="AT77" s="318"/>
      <c r="AU77" s="318"/>
      <c r="AV77" s="321"/>
      <c r="AW77" s="320"/>
      <c r="AX77" s="318"/>
      <c r="AY77" s="321"/>
      <c r="AZ77" s="320"/>
      <c r="BA77" s="318"/>
      <c r="BB77" s="321"/>
      <c r="BC77" s="322"/>
      <c r="BD77" s="299"/>
      <c r="BE77" s="299"/>
      <c r="BF77" s="323">
        <f t="shared" si="3"/>
        <v>45768</v>
      </c>
      <c r="BG77" s="324" t="str">
        <f t="shared" ca="1" si="1"/>
        <v>N/A</v>
      </c>
      <c r="BH77" s="299"/>
      <c r="BI77" s="325">
        <f t="shared" ca="1" si="4"/>
        <v>0</v>
      </c>
      <c r="BJ77" s="299"/>
      <c r="BK77" s="325">
        <f t="shared" ca="1" si="5"/>
        <v>0</v>
      </c>
      <c r="BL77" s="299"/>
      <c r="BM77" s="326"/>
      <c r="BN77" s="360" t="s">
        <v>702</v>
      </c>
      <c r="BO77" s="408" t="s">
        <v>363</v>
      </c>
      <c r="BP77" s="408" t="s">
        <v>376</v>
      </c>
      <c r="BQ77" s="328" t="s">
        <v>21</v>
      </c>
      <c r="BR77" s="329" t="s">
        <v>703</v>
      </c>
      <c r="BS77" s="331"/>
      <c r="BT77" s="327"/>
      <c r="BU77" s="327"/>
      <c r="BV77" s="327"/>
      <c r="BW77" s="331"/>
      <c r="BX77" s="302"/>
      <c r="BY77" s="302">
        <v>45768</v>
      </c>
      <c r="BZ77" s="302"/>
      <c r="CA77" s="295"/>
      <c r="CB77" s="332"/>
      <c r="CC77" s="332"/>
      <c r="CD77" s="332" t="str">
        <f t="shared" si="8"/>
        <v/>
      </c>
      <c r="CE77" s="333">
        <v>45768</v>
      </c>
      <c r="CF77" s="334" t="str">
        <f t="shared" si="10"/>
        <v/>
      </c>
    </row>
    <row r="78" spans="1:84" s="334" customFormat="1" ht="409.5" hidden="1" customHeight="1">
      <c r="A78" s="373">
        <v>64</v>
      </c>
      <c r="B78" s="306" t="s">
        <v>299</v>
      </c>
      <c r="C78" s="307" t="s">
        <v>704</v>
      </c>
      <c r="D78" s="308" t="s">
        <v>647</v>
      </c>
      <c r="E78" s="309" t="str" cm="1">
        <f t="array" ref="E78">IFERROR(LOOKUP(2,1/('[1]Contracts Log'!$F:$F=$D78),'[1]Contracts Log'!$G:$G),"")</f>
        <v>1.TB.01.005.01</v>
      </c>
      <c r="F78" s="309" t="str" cm="1">
        <f t="array" ref="F78">IFERROR(LOOKUP(2,1/('[1]Contracts Log'!$F:$F=$D78),'[1]Contracts Log'!$C:$C),"")</f>
        <v>Red Sea Marine Life Institute</v>
      </c>
      <c r="G78" s="309" t="str" cm="1">
        <f t="array" ref="G78">IFERROR(LOOKUP(2,1/('[1]Contracts Log'!$F:$F=$D78),'[1]Contracts Log'!$K:$K),"")</f>
        <v>Relocation and Construction of Marine Life Operational Facility</v>
      </c>
      <c r="H78" s="309" t="str" cm="1">
        <f t="array" ref="H78">IFERROR(LOOKUP(2,1/('[1]Contracts Log'!$F:$F=$D78),'[1]Contracts Log'!$J:$J),"")</f>
        <v>OJEC ARABIA</v>
      </c>
      <c r="I78" s="310">
        <v>1</v>
      </c>
      <c r="J78" s="310"/>
      <c r="K78" s="310"/>
      <c r="L78" s="310"/>
      <c r="M78" s="310"/>
      <c r="N78" s="310"/>
      <c r="O78" s="304"/>
      <c r="P78" s="416"/>
      <c r="Q78" s="304"/>
      <c r="R78" s="416"/>
      <c r="S78" s="417"/>
      <c r="T78" s="416"/>
      <c r="U78" s="304"/>
      <c r="V78" s="335" t="s">
        <v>705</v>
      </c>
      <c r="W78" s="240">
        <v>45774</v>
      </c>
      <c r="X78" s="417"/>
      <c r="Y78" s="417"/>
      <c r="Z78" s="335" t="s">
        <v>706</v>
      </c>
      <c r="AA78" s="240">
        <v>45833</v>
      </c>
      <c r="AB78" s="240"/>
      <c r="AC78" s="240"/>
      <c r="AD78" s="335" t="s">
        <v>707</v>
      </c>
      <c r="AE78" s="240">
        <v>45965</v>
      </c>
      <c r="AF78" s="315"/>
      <c r="AG78" s="315"/>
      <c r="AH78" s="315"/>
      <c r="AI78" s="315"/>
      <c r="AJ78" s="363"/>
      <c r="AK78" s="311"/>
      <c r="AL78" s="315">
        <v>105</v>
      </c>
      <c r="AM78" s="315"/>
      <c r="AN78" s="307" t="s">
        <v>708</v>
      </c>
      <c r="AO78" s="240">
        <f>DATE(2026,3,15)+7</f>
        <v>46103</v>
      </c>
      <c r="AP78" s="314"/>
      <c r="AQ78" s="366"/>
      <c r="AR78" s="314"/>
      <c r="AS78" s="311"/>
      <c r="AT78" s="318"/>
      <c r="AU78" s="318"/>
      <c r="AV78" s="321"/>
      <c r="AW78" s="320"/>
      <c r="AX78" s="318"/>
      <c r="AY78" s="321"/>
      <c r="AZ78" s="320"/>
      <c r="BA78" s="318"/>
      <c r="BB78" s="321"/>
      <c r="BC78" s="322"/>
      <c r="BD78" s="299"/>
      <c r="BE78" s="299"/>
      <c r="BF78" s="323">
        <f t="shared" si="3"/>
        <v>45965</v>
      </c>
      <c r="BG78" s="324" t="str">
        <f t="shared" ca="1" si="1"/>
        <v>N/A</v>
      </c>
      <c r="BH78" s="323">
        <v>46061</v>
      </c>
      <c r="BI78" s="325">
        <f t="shared" ca="1" si="4"/>
        <v>23</v>
      </c>
      <c r="BJ78" s="323">
        <v>46084</v>
      </c>
      <c r="BK78" s="325">
        <f t="shared" ca="1" si="5"/>
        <v>12</v>
      </c>
      <c r="BL78" s="323">
        <v>46096</v>
      </c>
      <c r="BM78" s="326"/>
      <c r="BN78" s="408"/>
      <c r="BO78" s="327" t="s">
        <v>220</v>
      </c>
      <c r="BP78" s="327" t="s">
        <v>376</v>
      </c>
      <c r="BQ78" s="328" t="s">
        <v>21</v>
      </c>
      <c r="BR78" s="329" t="s">
        <v>709</v>
      </c>
      <c r="BS78" s="331"/>
      <c r="BT78" s="327"/>
      <c r="BU78" s="327"/>
      <c r="BV78" s="327"/>
      <c r="BW78" s="331"/>
      <c r="BX78" s="302">
        <v>46113</v>
      </c>
      <c r="BY78" s="302"/>
      <c r="BZ78" s="302"/>
      <c r="CA78" s="295"/>
      <c r="CB78" s="332"/>
      <c r="CC78" s="332"/>
      <c r="CD78" s="332" t="str">
        <f t="shared" si="8"/>
        <v/>
      </c>
      <c r="CE78" s="333">
        <v>45777</v>
      </c>
      <c r="CF78" s="334" t="str">
        <f t="shared" si="10"/>
        <v/>
      </c>
    </row>
    <row r="79" spans="1:84" s="334" customFormat="1" ht="372" hidden="1" customHeight="1">
      <c r="A79" s="373">
        <v>65</v>
      </c>
      <c r="B79" s="306" t="s">
        <v>634</v>
      </c>
      <c r="C79" s="307" t="s">
        <v>710</v>
      </c>
      <c r="D79" s="308" t="s">
        <v>711</v>
      </c>
      <c r="E79" s="309" t="str" cm="1">
        <f t="array" ref="E79">IFERROR(LOOKUP(2,1/('[1]Contracts Log'!$F:$F=$D79),'[1]Contracts Log'!$G:$G),"")</f>
        <v>1.TB.01.005.01</v>
      </c>
      <c r="F79" s="309" t="str" cm="1">
        <f t="array" ref="F79">IFERROR(LOOKUP(2,1/('[1]Contracts Log'!$F:$F=$D79),'[1]Contracts Log'!$C:$C),"")</f>
        <v>Red Sea Marine Life Institute</v>
      </c>
      <c r="G79" s="309" t="str" cm="1">
        <f t="array" ref="G79">IFERROR(LOOKUP(2,1/('[1]Contracts Log'!$F:$F=$D79),'[1]Contracts Log'!$K:$K),"")</f>
        <v>Specialist Acrylic Glazing</v>
      </c>
      <c r="H79" s="309" t="str" cm="1">
        <f t="array" ref="H79">IFERROR(LOOKUP(2,1/('[1]Contracts Log'!$F:$F=$D79),'[1]Contracts Log'!$J:$J),"")</f>
        <v>Reynolds Polymer Technology Inc</v>
      </c>
      <c r="I79" s="310">
        <v>1</v>
      </c>
      <c r="J79" s="310"/>
      <c r="K79" s="310"/>
      <c r="L79" s="310"/>
      <c r="M79" s="310"/>
      <c r="N79" s="310"/>
      <c r="O79" s="304"/>
      <c r="P79" s="416"/>
      <c r="Q79" s="304"/>
      <c r="R79" s="416"/>
      <c r="S79" s="417"/>
      <c r="T79" s="416"/>
      <c r="U79" s="304"/>
      <c r="V79" s="335" t="s">
        <v>712</v>
      </c>
      <c r="W79" s="240">
        <v>45759</v>
      </c>
      <c r="X79" s="417"/>
      <c r="Y79" s="417"/>
      <c r="Z79" s="335" t="s">
        <v>713</v>
      </c>
      <c r="AA79" s="240">
        <v>45784</v>
      </c>
      <c r="AB79" s="317" t="s">
        <v>714</v>
      </c>
      <c r="AC79" s="240">
        <v>46231</v>
      </c>
      <c r="AD79" s="335"/>
      <c r="AE79" s="240"/>
      <c r="AF79" s="315" t="s">
        <v>715</v>
      </c>
      <c r="AG79" s="315"/>
      <c r="AH79" s="315"/>
      <c r="AI79" s="315"/>
      <c r="AJ79" s="363"/>
      <c r="AK79" s="311"/>
      <c r="AL79" s="315"/>
      <c r="AM79" s="315"/>
      <c r="AN79" s="365"/>
      <c r="AO79" s="311"/>
      <c r="AP79" s="314"/>
      <c r="AQ79" s="366"/>
      <c r="AR79" s="314"/>
      <c r="AS79" s="311"/>
      <c r="AT79" s="318"/>
      <c r="AU79" s="318"/>
      <c r="AV79" s="321"/>
      <c r="AW79" s="320"/>
      <c r="AX79" s="318"/>
      <c r="AY79" s="321"/>
      <c r="AZ79" s="320"/>
      <c r="BA79" s="318"/>
      <c r="BB79" s="321"/>
      <c r="BC79" s="322"/>
      <c r="BD79" s="418" t="s">
        <v>716</v>
      </c>
      <c r="BE79" s="418"/>
      <c r="BF79" s="323">
        <f t="shared" si="3"/>
        <v>46231</v>
      </c>
      <c r="BG79" s="324">
        <f t="shared" ref="BG79:BG142" ca="1" si="11">IF(OR(B79="",B79="DEOT"),"",IF(AND($BQ79="Closed",$BF79&lt;DATE(2025,12,31)),"N/A",IF(AND($BO79&lt;&gt;"Pending",$BO79&lt;&gt;"Assessment Report Issued"),"N/A",IF(OR($BQ79="Awaiting conclusion of EOT",BT79="Revise &amp; resubmit"),0,IFERROR(IF(BH79="",TODAY()-BF79,BH79-BF79),"")))))</f>
        <v>49</v>
      </c>
      <c r="BH79" s="375">
        <v>46280</v>
      </c>
      <c r="BI79" s="325">
        <f t="shared" ca="1" si="4"/>
        <v>20</v>
      </c>
      <c r="BJ79" s="299"/>
      <c r="BK79" s="325">
        <f t="shared" ca="1" si="5"/>
        <v>0</v>
      </c>
      <c r="BL79" s="299"/>
      <c r="BM79" s="326"/>
      <c r="BN79" s="408"/>
      <c r="BO79" s="327" t="s">
        <v>437</v>
      </c>
      <c r="BP79" s="327" t="s">
        <v>20</v>
      </c>
      <c r="BQ79" s="328" t="s">
        <v>45</v>
      </c>
      <c r="BR79" s="329" t="s">
        <v>717</v>
      </c>
      <c r="BS79" s="331"/>
      <c r="BT79" s="327"/>
      <c r="BU79" s="327"/>
      <c r="BV79" s="327"/>
      <c r="BW79" s="331"/>
      <c r="BX79" s="302"/>
      <c r="BY79" s="302"/>
      <c r="BZ79" s="302"/>
      <c r="CA79" s="295"/>
      <c r="CB79" s="332"/>
      <c r="CC79" s="332"/>
      <c r="CD79" s="332" t="str">
        <f t="shared" si="8"/>
        <v/>
      </c>
      <c r="CE79" s="333">
        <v>45781</v>
      </c>
      <c r="CF79" s="334" t="str">
        <f t="shared" si="10"/>
        <v/>
      </c>
    </row>
    <row r="80" spans="1:84" s="334" customFormat="1" ht="113.25" hidden="1" customHeight="1">
      <c r="A80" s="373">
        <v>66</v>
      </c>
      <c r="B80" s="306" t="s">
        <v>310</v>
      </c>
      <c r="C80" s="307" t="s">
        <v>710</v>
      </c>
      <c r="D80" s="308" t="s">
        <v>711</v>
      </c>
      <c r="E80" s="309" t="str" cm="1">
        <f t="array" ref="E80">IFERROR(LOOKUP(2,1/('[1]Contracts Log'!$F:$F=$D80),'[1]Contracts Log'!$G:$G),"")</f>
        <v>1.TB.01.005.01</v>
      </c>
      <c r="F80" s="309" t="str" cm="1">
        <f t="array" ref="F80">IFERROR(LOOKUP(2,1/('[1]Contracts Log'!$F:$F=$D80),'[1]Contracts Log'!$C:$C),"")</f>
        <v>Red Sea Marine Life Institute</v>
      </c>
      <c r="G80" s="309" t="str" cm="1">
        <f t="array" ref="G80">IFERROR(LOOKUP(2,1/('[1]Contracts Log'!$F:$F=$D80),'[1]Contracts Log'!$K:$K),"")</f>
        <v>Specialist Acrylic Glazing</v>
      </c>
      <c r="H80" s="309" t="str" cm="1">
        <f t="array" ref="H80">IFERROR(LOOKUP(2,1/('[1]Contracts Log'!$F:$F=$D80),'[1]Contracts Log'!$J:$J),"")</f>
        <v>Reynolds Polymer Technology Inc</v>
      </c>
      <c r="I80" s="310"/>
      <c r="J80" s="310"/>
      <c r="K80" s="310"/>
      <c r="L80" s="310"/>
      <c r="M80" s="310"/>
      <c r="N80" s="310">
        <v>1</v>
      </c>
      <c r="O80" s="304"/>
      <c r="P80" s="416"/>
      <c r="Q80" s="304"/>
      <c r="R80" s="416"/>
      <c r="S80" s="417"/>
      <c r="T80" s="416"/>
      <c r="U80" s="304"/>
      <c r="V80" s="335" t="s">
        <v>712</v>
      </c>
      <c r="W80" s="240">
        <v>45759</v>
      </c>
      <c r="X80" s="417"/>
      <c r="Y80" s="417"/>
      <c r="Z80" s="335" t="s">
        <v>713</v>
      </c>
      <c r="AA80" s="240">
        <v>45784</v>
      </c>
      <c r="AB80" s="240"/>
      <c r="AC80" s="240"/>
      <c r="AD80" s="335"/>
      <c r="AE80" s="240"/>
      <c r="AF80" s="313"/>
      <c r="AG80" s="313"/>
      <c r="AH80" s="313"/>
      <c r="AI80" s="313"/>
      <c r="AJ80" s="336"/>
      <c r="AK80" s="320"/>
      <c r="AL80" s="313"/>
      <c r="AM80" s="313"/>
      <c r="AN80" s="351"/>
      <c r="AO80" s="320"/>
      <c r="AP80" s="321"/>
      <c r="AQ80" s="352"/>
      <c r="AR80" s="321"/>
      <c r="AS80" s="320"/>
      <c r="AT80" s="341">
        <v>1312425</v>
      </c>
      <c r="AU80" s="341"/>
      <c r="AV80" s="314"/>
      <c r="AW80" s="311"/>
      <c r="AX80" s="341">
        <v>95887</v>
      </c>
      <c r="AY80" s="314" t="s">
        <v>718</v>
      </c>
      <c r="AZ80" s="311">
        <v>45951</v>
      </c>
      <c r="BA80" s="341"/>
      <c r="BB80" s="314"/>
      <c r="BC80" s="364"/>
      <c r="BD80" s="299"/>
      <c r="BE80" s="299"/>
      <c r="BF80" s="323">
        <f t="shared" ref="BF80:BF82" si="12">IF(B80="","",IF(OR(B80="DEOT",B80="N/A"),"N/A",IF(OR(B80="FULL TIA EAR",B80="COST EAR",B80="HLEAR"),MAX(W80+0,AE80,AC80))))</f>
        <v>45759</v>
      </c>
      <c r="BG80" s="324" t="str">
        <f t="shared" ca="1" si="11"/>
        <v>N/A</v>
      </c>
      <c r="BH80" s="299"/>
      <c r="BI80" s="325" t="str">
        <f t="shared" ref="BI80:BI143" ca="1" si="13">IF($B80="DEOT","",IFERROR(IF($B80="COST EAR","N/A",IF(BH80="",0,IF(BJ80="",TODAY()-BH80,BJ80-BH80))),""))</f>
        <v>N/A</v>
      </c>
      <c r="BJ80" s="299"/>
      <c r="BK80" s="325">
        <f t="shared" ref="BK80:BK143" ca="1" si="14">IF($B80="DEOT","",IFERROR(IF(BJ80="",0,IF(BL80="",TODAY()-BJ80,BL80-BJ80)),""))</f>
        <v>0</v>
      </c>
      <c r="BL80" s="299"/>
      <c r="BM80" s="326"/>
      <c r="BN80" s="408"/>
      <c r="BO80" s="327" t="s">
        <v>363</v>
      </c>
      <c r="BP80" s="327" t="s">
        <v>317</v>
      </c>
      <c r="BQ80" s="328" t="s">
        <v>21</v>
      </c>
      <c r="BR80" s="329" t="s">
        <v>719</v>
      </c>
      <c r="BS80" s="331"/>
      <c r="BT80" s="327"/>
      <c r="BU80" s="327"/>
      <c r="BV80" s="327"/>
      <c r="BW80" s="331"/>
      <c r="BX80" s="302">
        <v>45992</v>
      </c>
      <c r="BY80" s="302"/>
      <c r="BZ80" s="302"/>
      <c r="CA80" s="295"/>
      <c r="CB80" s="332"/>
      <c r="CC80" s="332"/>
      <c r="CD80" s="332" t="str">
        <f t="shared" si="8"/>
        <v/>
      </c>
      <c r="CE80" s="333">
        <v>45781</v>
      </c>
      <c r="CF80" s="334" t="str">
        <f t="shared" si="10"/>
        <v/>
      </c>
    </row>
    <row r="81" spans="1:84" s="334" customFormat="1" ht="65.5" hidden="1" customHeight="1">
      <c r="A81" s="373">
        <v>67</v>
      </c>
      <c r="B81" s="306" t="s">
        <v>299</v>
      </c>
      <c r="C81" s="307" t="s">
        <v>720</v>
      </c>
      <c r="D81" s="308" t="s">
        <v>721</v>
      </c>
      <c r="E81" s="309" t="str" cm="1">
        <f t="array" ref="E81">IFERROR(LOOKUP(2,1/('[1]Contracts Log'!$F:$F=$D81),'[1]Contracts Log'!$G:$G),"")</f>
        <v>1.TB.01.005.01</v>
      </c>
      <c r="F81" s="309" t="str" cm="1">
        <f t="array" ref="F81">IFERROR(LOOKUP(2,1/('[1]Contracts Log'!$F:$F=$D81),'[1]Contracts Log'!$C:$C),"")</f>
        <v>Red Sea Marine Life Institute</v>
      </c>
      <c r="G81" s="309" t="str" cm="1">
        <f t="array" ref="G81">IFERROR(LOOKUP(2,1/('[1]Contracts Log'!$F:$F=$D81),'[1]Contracts Log'!$K:$K),"")</f>
        <v>Fit Out Works for Red Sea Marine Life Institute</v>
      </c>
      <c r="H81" s="309" t="str" cm="1">
        <f t="array" ref="H81">IFERROR(LOOKUP(2,1/('[1]Contracts Log'!$F:$F=$D81),'[1]Contracts Log'!$J:$J),"")</f>
        <v>Alec Saudi Engineering and Contracting Company</v>
      </c>
      <c r="I81" s="310">
        <v>1</v>
      </c>
      <c r="J81" s="310"/>
      <c r="K81" s="310"/>
      <c r="L81" s="310"/>
      <c r="M81" s="310"/>
      <c r="N81" s="310"/>
      <c r="O81" s="304"/>
      <c r="P81" s="416"/>
      <c r="Q81" s="304"/>
      <c r="R81" s="416"/>
      <c r="S81" s="417"/>
      <c r="T81" s="416"/>
      <c r="U81" s="304"/>
      <c r="V81" s="335" t="s">
        <v>722</v>
      </c>
      <c r="W81" s="240">
        <v>45770</v>
      </c>
      <c r="X81" s="417"/>
      <c r="Y81" s="417"/>
      <c r="Z81" s="335" t="s">
        <v>723</v>
      </c>
      <c r="AA81" s="240">
        <v>45805</v>
      </c>
      <c r="AB81" s="240"/>
      <c r="AC81" s="240"/>
      <c r="AD81" s="335" t="s">
        <v>724</v>
      </c>
      <c r="AE81" s="240">
        <v>45883</v>
      </c>
      <c r="AF81" s="315">
        <v>154</v>
      </c>
      <c r="AG81" s="315"/>
      <c r="AH81" s="315"/>
      <c r="AI81" s="315"/>
      <c r="AJ81" s="363"/>
      <c r="AK81" s="311"/>
      <c r="AL81" s="315"/>
      <c r="AM81" s="315"/>
      <c r="AN81" s="365" t="s">
        <v>725</v>
      </c>
      <c r="AO81" s="311">
        <v>46002</v>
      </c>
      <c r="AP81" s="314"/>
      <c r="AQ81" s="366"/>
      <c r="AR81" s="314"/>
      <c r="AS81" s="311"/>
      <c r="AT81" s="318"/>
      <c r="AU81" s="318"/>
      <c r="AV81" s="321"/>
      <c r="AW81" s="320"/>
      <c r="AX81" s="318"/>
      <c r="AY81" s="321"/>
      <c r="AZ81" s="320"/>
      <c r="BA81" s="318"/>
      <c r="BB81" s="321"/>
      <c r="BC81" s="322"/>
      <c r="BD81" s="299"/>
      <c r="BE81" s="299"/>
      <c r="BF81" s="323">
        <f t="shared" si="12"/>
        <v>45883</v>
      </c>
      <c r="BG81" s="324" t="str">
        <f t="shared" ca="1" si="11"/>
        <v>N/A</v>
      </c>
      <c r="BH81" s="299"/>
      <c r="BI81" s="325">
        <f t="shared" ca="1" si="13"/>
        <v>0</v>
      </c>
      <c r="BJ81" s="299"/>
      <c r="BK81" s="325">
        <f t="shared" ca="1" si="14"/>
        <v>0</v>
      </c>
      <c r="BL81" s="299"/>
      <c r="BM81" s="326"/>
      <c r="BN81" s="408"/>
      <c r="BO81" s="327" t="s">
        <v>220</v>
      </c>
      <c r="BP81" s="327" t="s">
        <v>376</v>
      </c>
      <c r="BQ81" s="328" t="s">
        <v>21</v>
      </c>
      <c r="BR81" s="329" t="s">
        <v>726</v>
      </c>
      <c r="BS81" s="331"/>
      <c r="BT81" s="327"/>
      <c r="BU81" s="327"/>
      <c r="BV81" s="327"/>
      <c r="BW81" s="331"/>
      <c r="BX81" s="302">
        <v>46002</v>
      </c>
      <c r="BY81" s="302"/>
      <c r="BZ81" s="302"/>
      <c r="CA81" s="295"/>
      <c r="CB81" s="332"/>
      <c r="CC81" s="332"/>
      <c r="CD81" s="332" t="str">
        <f t="shared" si="8"/>
        <v/>
      </c>
      <c r="CE81" s="333">
        <v>45781</v>
      </c>
      <c r="CF81" s="334" t="str">
        <f t="shared" si="10"/>
        <v/>
      </c>
    </row>
    <row r="82" spans="1:84" s="334" customFormat="1" ht="63.75" hidden="1" customHeight="1">
      <c r="A82" s="373">
        <v>68</v>
      </c>
      <c r="B82" s="306" t="s">
        <v>299</v>
      </c>
      <c r="C82" s="307" t="s">
        <v>727</v>
      </c>
      <c r="D82" s="308" t="s">
        <v>728</v>
      </c>
      <c r="E82" s="309" t="str" cm="1">
        <f t="array" ref="E82">IFERROR(LOOKUP(2,1/('[1]Contracts Log'!$F:$F=$D82),'[1]Contracts Log'!$G:$G),"")</f>
        <v>1.TB.01.009.01</v>
      </c>
      <c r="F82" s="309" t="str" cm="1">
        <f t="array" ref="F82">IFERROR(LOOKUP(2,1/('[1]Contracts Log'!$F:$F=$D82),'[1]Contracts Log'!$C:$C),"")</f>
        <v>Marina Hotel 3</v>
      </c>
      <c r="G82" s="309" t="str" cm="1">
        <f t="array" ref="G82">IFERROR(LOOKUP(2,1/('[1]Contracts Log'!$F:$F=$D82),'[1]Contracts Log'!$K:$K),"")</f>
        <v>Building Envelope GRC Works Package for Marina Hotel 3</v>
      </c>
      <c r="H82" s="309" t="str" cm="1">
        <f t="array" ref="H82">IFERROR(LOOKUP(2,1/('[1]Contracts Log'!$F:$F=$D82),'[1]Contracts Log'!$J:$J),"")</f>
        <v>Arabian Tile Company</v>
      </c>
      <c r="I82" s="310">
        <v>1</v>
      </c>
      <c r="J82" s="310"/>
      <c r="K82" s="310"/>
      <c r="L82" s="310"/>
      <c r="M82" s="310"/>
      <c r="N82" s="310"/>
      <c r="O82" s="304"/>
      <c r="P82" s="416"/>
      <c r="Q82" s="304"/>
      <c r="R82" s="416"/>
      <c r="S82" s="417"/>
      <c r="T82" s="416"/>
      <c r="U82" s="304"/>
      <c r="V82" s="335" t="s">
        <v>729</v>
      </c>
      <c r="W82" s="240">
        <v>45778</v>
      </c>
      <c r="X82" s="417"/>
      <c r="Y82" s="417"/>
      <c r="Z82" s="418" t="s">
        <v>730</v>
      </c>
      <c r="AA82" s="240">
        <v>45782</v>
      </c>
      <c r="AB82" s="240"/>
      <c r="AC82" s="240"/>
      <c r="AD82" s="335" t="s">
        <v>731</v>
      </c>
      <c r="AE82" s="240">
        <v>46182</v>
      </c>
      <c r="AF82" s="315">
        <v>156</v>
      </c>
      <c r="AG82" s="315"/>
      <c r="AH82" s="315"/>
      <c r="AI82" s="315"/>
      <c r="AJ82" s="363"/>
      <c r="AK82" s="311"/>
      <c r="AL82" s="315"/>
      <c r="AM82" s="315"/>
      <c r="AN82" s="365"/>
      <c r="AO82" s="311"/>
      <c r="AP82" s="314"/>
      <c r="AQ82" s="366"/>
      <c r="AR82" s="314"/>
      <c r="AS82" s="311"/>
      <c r="AT82" s="318"/>
      <c r="AU82" s="318"/>
      <c r="AV82" s="321"/>
      <c r="AW82" s="320"/>
      <c r="AX82" s="318"/>
      <c r="AY82" s="321"/>
      <c r="AZ82" s="320"/>
      <c r="BA82" s="318"/>
      <c r="BB82" s="321"/>
      <c r="BC82" s="322"/>
      <c r="BD82" s="299"/>
      <c r="BE82" s="299"/>
      <c r="BF82" s="323">
        <f t="shared" si="12"/>
        <v>46182</v>
      </c>
      <c r="BG82" s="324">
        <f t="shared" ca="1" si="11"/>
        <v>118</v>
      </c>
      <c r="BH82" s="299"/>
      <c r="BI82" s="325">
        <f t="shared" ca="1" si="13"/>
        <v>0</v>
      </c>
      <c r="BJ82" s="299"/>
      <c r="BK82" s="325">
        <f t="shared" ca="1" si="14"/>
        <v>0</v>
      </c>
      <c r="BL82" s="299"/>
      <c r="BM82" s="326"/>
      <c r="BN82" s="408"/>
      <c r="BO82" s="327" t="s">
        <v>437</v>
      </c>
      <c r="BP82" s="327" t="s">
        <v>20</v>
      </c>
      <c r="BQ82" s="328" t="s">
        <v>43</v>
      </c>
      <c r="BR82" s="329" t="s">
        <v>732</v>
      </c>
      <c r="BS82" s="331"/>
      <c r="BT82" s="327"/>
      <c r="BU82" s="327"/>
      <c r="BV82" s="327"/>
      <c r="BW82" s="331"/>
      <c r="BX82" s="302"/>
      <c r="BY82" s="302"/>
      <c r="BZ82" s="302"/>
      <c r="CA82" s="295"/>
      <c r="CB82" s="332"/>
      <c r="CC82" s="332"/>
      <c r="CD82" s="332" t="str">
        <f t="shared" si="8"/>
        <v/>
      </c>
      <c r="CE82" s="333">
        <v>45781</v>
      </c>
      <c r="CF82" s="334" t="str">
        <f t="shared" si="10"/>
        <v/>
      </c>
    </row>
    <row r="83" spans="1:84" s="334" customFormat="1" ht="409" hidden="1" customHeight="1">
      <c r="A83" s="373">
        <f t="shared" ref="A83:A94" si="15">+A82+1</f>
        <v>69</v>
      </c>
      <c r="B83" s="306" t="s">
        <v>310</v>
      </c>
      <c r="C83" s="307" t="s">
        <v>733</v>
      </c>
      <c r="D83" s="308" t="s">
        <v>596</v>
      </c>
      <c r="E83" s="309" t="str" cm="1">
        <f t="array" ref="E83">IFERROR(LOOKUP(2,1/('[1]Contracts Log'!$F:$F=$D83),'[1]Contracts Log'!$G:$G),"")</f>
        <v>1.TB.01.031.10</v>
      </c>
      <c r="F83" s="309" t="str" cm="1">
        <f t="array" ref="F83">IFERROR(LOOKUP(2,1/('[1]Contracts Log'!$F:$F=$D83),'[1]Contracts Log'!$C:$C),"")</f>
        <v>The Marina</v>
      </c>
      <c r="G83" s="309" t="str" cm="1">
        <f t="array" ref="G83">IFERROR(LOOKUP(2,1/('[1]Contracts Log'!$F:$F=$D83),'[1]Contracts Log'!$K:$K),"")</f>
        <v>Design, Engineering, Procurement and Construction of Floating Pontoons for a The Marina at AMAALA Triple Bay</v>
      </c>
      <c r="H83" s="309" t="str" cm="1">
        <f t="array" ref="H83">IFERROR(LOOKUP(2,1/('[1]Contracts Log'!$F:$F=$D83),'[1]Contracts Log'!$J:$J),"")</f>
        <v xml:space="preserve">MME Marine Engineering LLC </v>
      </c>
      <c r="I83" s="310"/>
      <c r="J83" s="310">
        <v>1</v>
      </c>
      <c r="K83" s="310"/>
      <c r="L83" s="310"/>
      <c r="M83" s="310"/>
      <c r="N83" s="310"/>
      <c r="O83" s="304"/>
      <c r="P83" s="416"/>
      <c r="Q83" s="304"/>
      <c r="R83" s="416"/>
      <c r="S83" s="417"/>
      <c r="T83" s="416"/>
      <c r="U83" s="304"/>
      <c r="V83" s="335" t="s">
        <v>734</v>
      </c>
      <c r="W83" s="240">
        <v>45810</v>
      </c>
      <c r="X83" s="417"/>
      <c r="Y83" s="417"/>
      <c r="Z83" s="335" t="s">
        <v>735</v>
      </c>
      <c r="AA83" s="240">
        <v>45818</v>
      </c>
      <c r="AB83" s="240"/>
      <c r="AC83" s="240"/>
      <c r="AD83" s="335" t="s">
        <v>736</v>
      </c>
      <c r="AE83" s="240">
        <v>46277</v>
      </c>
      <c r="AF83" s="313"/>
      <c r="AG83" s="313"/>
      <c r="AH83" s="313"/>
      <c r="AI83" s="313"/>
      <c r="AJ83" s="336"/>
      <c r="AK83" s="320"/>
      <c r="AL83" s="313"/>
      <c r="AM83" s="313"/>
      <c r="AN83" s="351"/>
      <c r="AO83" s="320"/>
      <c r="AP83" s="321"/>
      <c r="AQ83" s="352"/>
      <c r="AR83" s="321"/>
      <c r="AS83" s="320"/>
      <c r="AT83" s="340">
        <v>5155062.34</v>
      </c>
      <c r="AU83" s="341"/>
      <c r="AV83" s="314"/>
      <c r="AW83" s="311"/>
      <c r="AX83" s="341"/>
      <c r="AY83" s="314"/>
      <c r="AZ83" s="311"/>
      <c r="BA83" s="341"/>
      <c r="BB83" s="314"/>
      <c r="BC83" s="364"/>
      <c r="BD83" s="299"/>
      <c r="BE83" s="299"/>
      <c r="BF83" s="323">
        <f>IF(B83="","",IF(OR(B83="DEOT",B83="N/A"),"N/A",IF(OR(B83="FULL TIA EAR",B83="COST EAR",B83="HLEAR"),MAX(W83+0,AE83,AC83))))</f>
        <v>46277</v>
      </c>
      <c r="BG83" s="324">
        <f t="shared" ca="1" si="11"/>
        <v>23</v>
      </c>
      <c r="BH83" s="299"/>
      <c r="BI83" s="325" t="str">
        <f t="shared" ca="1" si="13"/>
        <v>N/A</v>
      </c>
      <c r="BJ83" s="299"/>
      <c r="BK83" s="325">
        <f t="shared" ca="1" si="14"/>
        <v>0</v>
      </c>
      <c r="BL83" s="299"/>
      <c r="BM83" s="326"/>
      <c r="BN83" s="408"/>
      <c r="BO83" s="327" t="s">
        <v>437</v>
      </c>
      <c r="BP83" s="327" t="s">
        <v>20</v>
      </c>
      <c r="BQ83" s="328" t="s">
        <v>43</v>
      </c>
      <c r="BR83" s="329" t="s">
        <v>1098</v>
      </c>
      <c r="BS83" s="331"/>
      <c r="BT83" s="327"/>
      <c r="BU83" s="327"/>
      <c r="BV83" s="327"/>
      <c r="BW83" s="331"/>
      <c r="BX83" s="302"/>
      <c r="BY83" s="302"/>
      <c r="BZ83" s="302"/>
      <c r="CA83" s="295"/>
      <c r="CB83" s="332"/>
      <c r="CC83" s="332"/>
      <c r="CD83" s="332" t="str">
        <f>IF(CC83="","",IF(AND(CC83&lt;&gt;"",AP83=""),CC83,IF(AND(CC83&lt;&gt;"",AP83&lt;&gt;""),AP83+CC83)))</f>
        <v/>
      </c>
      <c r="CE83" s="333">
        <v>45818</v>
      </c>
      <c r="CF83" s="334" t="str">
        <f t="shared" si="10"/>
        <v/>
      </c>
    </row>
    <row r="84" spans="1:84" s="334" customFormat="1" ht="340" hidden="1">
      <c r="A84" s="373">
        <f t="shared" si="15"/>
        <v>70</v>
      </c>
      <c r="B84" s="306" t="s">
        <v>299</v>
      </c>
      <c r="C84" s="307" t="s">
        <v>569</v>
      </c>
      <c r="D84" s="308" t="s">
        <v>570</v>
      </c>
      <c r="E84" s="309" t="str" cm="1">
        <f t="array" ref="E84">IFERROR(LOOKUP(2,1/('[1]Contracts Log'!$F:$F=$D84),'[1]Contracts Log'!$G:$G),"")</f>
        <v>1.TB.01.006.99</v>
      </c>
      <c r="F84" s="309" t="str" cm="1">
        <f t="array" ref="F84">IFERROR(LOOKUP(2,1/('[1]Contracts Log'!$F:$F=$D84),'[1]Contracts Log'!$C:$C),"")</f>
        <v>Village Boutique Hotel</v>
      </c>
      <c r="G84" s="309" t="str" cm="1">
        <f t="array" ref="G84">IFERROR(LOOKUP(2,1/('[1]Contracts Log'!$F:$F=$D84),'[1]Contracts Log'!$K:$K),"")</f>
        <v>Kitchen and Laundry Works for Village Boutique Hotel</v>
      </c>
      <c r="H84" s="309" t="str" cm="1">
        <f t="array" ref="H84">IFERROR(LOOKUP(2,1/('[1]Contracts Log'!$F:$F=$D84),'[1]Contracts Log'!$J:$J),"")</f>
        <v>Abdulaziz Al Raqtan and Partners Company for Trading and Industry Company</v>
      </c>
      <c r="I84" s="310">
        <v>1</v>
      </c>
      <c r="J84" s="310"/>
      <c r="K84" s="310"/>
      <c r="L84" s="310"/>
      <c r="M84" s="310"/>
      <c r="N84" s="310"/>
      <c r="O84" s="240"/>
      <c r="P84" s="335"/>
      <c r="Q84" s="240"/>
      <c r="R84" s="312" t="str">
        <f>IF(AND(Q84&lt;&gt;0, O84&lt;&gt;0),NETWORKDAYS(O84,Q84),"")</f>
        <v/>
      </c>
      <c r="S84" s="313"/>
      <c r="T84" s="347"/>
      <c r="U84" s="240"/>
      <c r="V84" s="335" t="s">
        <v>571</v>
      </c>
      <c r="W84" s="240">
        <v>45596</v>
      </c>
      <c r="X84" s="312" t="s">
        <v>351</v>
      </c>
      <c r="Y84" s="313" t="s">
        <v>324</v>
      </c>
      <c r="Z84" s="335" t="s">
        <v>572</v>
      </c>
      <c r="AA84" s="240">
        <v>45613</v>
      </c>
      <c r="AB84" s="240"/>
      <c r="AC84" s="240"/>
      <c r="AD84" s="335" t="s">
        <v>737</v>
      </c>
      <c r="AE84" s="240">
        <v>45687</v>
      </c>
      <c r="AF84" s="315">
        <v>100</v>
      </c>
      <c r="AG84" s="315"/>
      <c r="AH84" s="315"/>
      <c r="AI84" s="315"/>
      <c r="AJ84" s="363"/>
      <c r="AK84" s="311"/>
      <c r="AL84" s="315"/>
      <c r="AM84" s="315"/>
      <c r="AN84" s="363" t="s">
        <v>738</v>
      </c>
      <c r="AO84" s="311">
        <v>45823</v>
      </c>
      <c r="AP84" s="314"/>
      <c r="AQ84" s="366"/>
      <c r="AR84" s="314"/>
      <c r="AS84" s="311"/>
      <c r="AT84" s="318"/>
      <c r="AU84" s="318"/>
      <c r="AV84" s="321"/>
      <c r="AW84" s="320"/>
      <c r="AX84" s="318"/>
      <c r="AY84" s="321"/>
      <c r="AZ84" s="320"/>
      <c r="BA84" s="318"/>
      <c r="BB84" s="321"/>
      <c r="BC84" s="322"/>
      <c r="BD84" s="299" t="s">
        <v>574</v>
      </c>
      <c r="BE84" s="299"/>
      <c r="BF84" s="323">
        <f t="shared" ref="BF84:BF147" si="16">IF(B84="","",IF(OR(B84="DEOT",B84="N/A"),"N/A",IF(OR(B84="FULL TIA EAR",B84="COST EAR",B84="HLEAR"),MAX(W84+0,AE84,AC84))))</f>
        <v>45687</v>
      </c>
      <c r="BG84" s="324" t="str">
        <f t="shared" ca="1" si="11"/>
        <v>N/A</v>
      </c>
      <c r="BH84" s="299"/>
      <c r="BI84" s="325">
        <f t="shared" ca="1" si="13"/>
        <v>0</v>
      </c>
      <c r="BJ84" s="299"/>
      <c r="BK84" s="325">
        <f t="shared" ca="1" si="14"/>
        <v>0</v>
      </c>
      <c r="BL84" s="299"/>
      <c r="BM84" s="326"/>
      <c r="BN84" s="360" t="s">
        <v>702</v>
      </c>
      <c r="BO84" s="408" t="s">
        <v>363</v>
      </c>
      <c r="BP84" s="408" t="s">
        <v>376</v>
      </c>
      <c r="BQ84" s="328" t="s">
        <v>21</v>
      </c>
      <c r="BR84" s="415" t="s">
        <v>739</v>
      </c>
      <c r="BS84" s="331"/>
      <c r="BT84" s="327"/>
      <c r="BU84" s="327"/>
      <c r="BV84" s="327"/>
      <c r="BW84" s="331"/>
      <c r="BX84" s="302"/>
      <c r="BY84" s="302">
        <v>45823</v>
      </c>
      <c r="BZ84" s="302"/>
      <c r="CA84" s="295"/>
      <c r="CB84" s="332"/>
      <c r="CC84" s="332"/>
      <c r="CD84" s="332" t="str">
        <f t="shared" ref="CD84:CD85" si="17">IF(CC84="","",IF(AND(CC84&lt;&gt;"",AP84=""),CC84,IF(AND(CC84&lt;&gt;"",AP84&lt;&gt;""),AP84+CC84)))</f>
        <v/>
      </c>
      <c r="CE84" s="333">
        <v>45823</v>
      </c>
      <c r="CF84" s="334" t="str">
        <f t="shared" si="10"/>
        <v/>
      </c>
    </row>
    <row r="85" spans="1:84" s="334" customFormat="1" ht="289" hidden="1">
      <c r="A85" s="373">
        <f t="shared" si="15"/>
        <v>71</v>
      </c>
      <c r="B85" s="306" t="s">
        <v>299</v>
      </c>
      <c r="C85" s="307" t="s">
        <v>603</v>
      </c>
      <c r="D85" s="308" t="s">
        <v>610</v>
      </c>
      <c r="E85" s="309" t="str" cm="1">
        <f t="array" ref="E85">IFERROR(LOOKUP(2,1/('[1]Contracts Log'!$F:$F=$D85),'[1]Contracts Log'!$G:$G),"")</f>
        <v>1.TB.01.005.01</v>
      </c>
      <c r="F85" s="309" t="str" cm="1">
        <f t="array" ref="F85">IFERROR(LOOKUP(2,1/('[1]Contracts Log'!$F:$F=$D85),'[1]Contracts Log'!$C:$C),"")</f>
        <v>Red Sea Marine Life Institute</v>
      </c>
      <c r="G85" s="309" t="str" cm="1">
        <f t="array" ref="G85">IFERROR(LOOKUP(2,1/('[1]Contracts Log'!$F:$F=$D85),'[1]Contracts Log'!$K:$K),"")</f>
        <v>Grand Reveal Basin Fitout (Rock Theming)</v>
      </c>
      <c r="H85" s="309" t="str" cm="1">
        <f t="array" ref="H85">IFERROR(LOOKUP(2,1/('[1]Contracts Log'!$F:$F=$D85),'[1]Contracts Log'!$J:$J),"")</f>
        <v>Pangea Rocks A/S</v>
      </c>
      <c r="I85" s="310">
        <v>1</v>
      </c>
      <c r="J85" s="310"/>
      <c r="K85" s="310"/>
      <c r="L85" s="310"/>
      <c r="M85" s="310"/>
      <c r="N85" s="310"/>
      <c r="O85" s="240"/>
      <c r="P85" s="335"/>
      <c r="Q85" s="240"/>
      <c r="R85" s="312" t="str">
        <f>IF(AND(Q85&lt;&gt;0, O85&lt;&gt;0),NETWORKDAYS(O85,Q85),"")</f>
        <v/>
      </c>
      <c r="S85" s="313"/>
      <c r="T85" s="347"/>
      <c r="U85" s="240"/>
      <c r="V85" s="335" t="s">
        <v>611</v>
      </c>
      <c r="W85" s="240">
        <v>45628</v>
      </c>
      <c r="X85" s="312" t="s">
        <v>351</v>
      </c>
      <c r="Y85" s="313" t="s">
        <v>324</v>
      </c>
      <c r="Z85" s="335" t="s">
        <v>612</v>
      </c>
      <c r="AA85" s="240">
        <v>45642</v>
      </c>
      <c r="AB85" s="240"/>
      <c r="AC85" s="240"/>
      <c r="AD85" s="335" t="s">
        <v>740</v>
      </c>
      <c r="AE85" s="240">
        <v>45752</v>
      </c>
      <c r="AF85" s="315">
        <v>183</v>
      </c>
      <c r="AG85" s="315"/>
      <c r="AH85" s="315"/>
      <c r="AI85" s="315"/>
      <c r="AJ85" s="363"/>
      <c r="AK85" s="311"/>
      <c r="AL85" s="315"/>
      <c r="AM85" s="315"/>
      <c r="AN85" s="365" t="s">
        <v>741</v>
      </c>
      <c r="AO85" s="311">
        <v>45823</v>
      </c>
      <c r="AP85" s="314"/>
      <c r="AQ85" s="366"/>
      <c r="AR85" s="314"/>
      <c r="AS85" s="311"/>
      <c r="AT85" s="318"/>
      <c r="AU85" s="318"/>
      <c r="AV85" s="321"/>
      <c r="AW85" s="320"/>
      <c r="AX85" s="318"/>
      <c r="AY85" s="321"/>
      <c r="AZ85" s="320"/>
      <c r="BA85" s="318"/>
      <c r="BB85" s="321"/>
      <c r="BC85" s="322"/>
      <c r="BD85" s="299"/>
      <c r="BE85" s="299"/>
      <c r="BF85" s="323">
        <f t="shared" si="16"/>
        <v>45752</v>
      </c>
      <c r="BG85" s="324" t="str">
        <f t="shared" ca="1" si="11"/>
        <v>N/A</v>
      </c>
      <c r="BH85" s="299"/>
      <c r="BI85" s="325">
        <f t="shared" ca="1" si="13"/>
        <v>0</v>
      </c>
      <c r="BJ85" s="299"/>
      <c r="BK85" s="325">
        <f t="shared" ca="1" si="14"/>
        <v>0</v>
      </c>
      <c r="BL85" s="299"/>
      <c r="BM85" s="326"/>
      <c r="BN85" s="360" t="s">
        <v>702</v>
      </c>
      <c r="BO85" s="408" t="s">
        <v>363</v>
      </c>
      <c r="BP85" s="408" t="s">
        <v>376</v>
      </c>
      <c r="BQ85" s="328" t="s">
        <v>21</v>
      </c>
      <c r="BR85" s="329" t="s">
        <v>742</v>
      </c>
      <c r="BS85" s="331"/>
      <c r="BT85" s="327"/>
      <c r="BU85" s="327"/>
      <c r="BV85" s="327"/>
      <c r="BW85" s="331"/>
      <c r="BX85" s="302"/>
      <c r="BY85" s="302">
        <v>45823</v>
      </c>
      <c r="BZ85" s="302"/>
      <c r="CA85" s="295"/>
      <c r="CB85" s="332"/>
      <c r="CC85" s="332"/>
      <c r="CD85" s="332" t="str">
        <f t="shared" si="17"/>
        <v/>
      </c>
      <c r="CE85" s="333">
        <v>45823</v>
      </c>
      <c r="CF85" s="334" t="str">
        <f t="shared" si="10"/>
        <v/>
      </c>
    </row>
    <row r="86" spans="1:84" s="334" customFormat="1" ht="136" hidden="1">
      <c r="A86" s="373">
        <f t="shared" si="15"/>
        <v>72</v>
      </c>
      <c r="B86" s="306" t="s">
        <v>299</v>
      </c>
      <c r="C86" s="307" t="s">
        <v>370</v>
      </c>
      <c r="D86" s="308" t="s">
        <v>339</v>
      </c>
      <c r="E86" s="309" t="str" cm="1">
        <f t="array" ref="E86">IFERROR(LOOKUP(2,1/('[1]Contracts Log'!$F:$F=$D86),'[1]Contracts Log'!$G:$G),"")</f>
        <v>1.TB.01.006.99</v>
      </c>
      <c r="F86" s="309" t="str" cm="1">
        <f t="array" ref="F86">IFERROR(LOOKUP(2,1/('[1]Contracts Log'!$F:$F=$D86),'[1]Contracts Log'!$C:$C),"")</f>
        <v>Village Boutique Hotel</v>
      </c>
      <c r="G86" s="309" t="str" cm="1">
        <f t="array" ref="G86">IFERROR(LOOKUP(2,1/('[1]Contracts Log'!$F:$F=$D86),'[1]Contracts Log'!$K:$K),"")</f>
        <v>Concrete Structure and Civil Works for Village Boutique Hotel</v>
      </c>
      <c r="H86" s="309" t="str" cm="1">
        <f t="array" ref="H86">IFERROR(LOOKUP(2,1/('[1]Contracts Log'!$F:$F=$D86),'[1]Contracts Log'!$J:$J),"")</f>
        <v>Mounes Mohamed Al Shayeb and Partners for Civil Construction - MOBCO</v>
      </c>
      <c r="I86" s="310">
        <v>1</v>
      </c>
      <c r="J86" s="310"/>
      <c r="K86" s="310"/>
      <c r="L86" s="310"/>
      <c r="M86" s="310"/>
      <c r="N86" s="310"/>
      <c r="O86" s="304"/>
      <c r="P86" s="416"/>
      <c r="Q86" s="304"/>
      <c r="R86" s="416"/>
      <c r="S86" s="417"/>
      <c r="T86" s="416"/>
      <c r="U86" s="304"/>
      <c r="V86" s="335" t="s">
        <v>743</v>
      </c>
      <c r="W86" s="240">
        <v>45686</v>
      </c>
      <c r="X86" s="417"/>
      <c r="Y86" s="417"/>
      <c r="Z86" s="335"/>
      <c r="AA86" s="240" t="s">
        <v>305</v>
      </c>
      <c r="AB86" s="240"/>
      <c r="AC86" s="240"/>
      <c r="AD86" s="335"/>
      <c r="AE86" s="240"/>
      <c r="AF86" s="315"/>
      <c r="AG86" s="315"/>
      <c r="AH86" s="315"/>
      <c r="AI86" s="315"/>
      <c r="AJ86" s="363"/>
      <c r="AK86" s="311"/>
      <c r="AL86" s="315"/>
      <c r="AM86" s="315"/>
      <c r="AN86" s="363" t="s">
        <v>744</v>
      </c>
      <c r="AO86" s="302">
        <v>45763</v>
      </c>
      <c r="AP86" s="314"/>
      <c r="AQ86" s="366"/>
      <c r="AR86" s="314"/>
      <c r="AS86" s="311"/>
      <c r="AT86" s="318"/>
      <c r="AU86" s="318"/>
      <c r="AV86" s="321"/>
      <c r="AW86" s="320"/>
      <c r="AX86" s="318"/>
      <c r="AY86" s="321"/>
      <c r="AZ86" s="320"/>
      <c r="BA86" s="318"/>
      <c r="BB86" s="321"/>
      <c r="BC86" s="322"/>
      <c r="BD86" s="299"/>
      <c r="BE86" s="299"/>
      <c r="BF86" s="323">
        <f t="shared" si="16"/>
        <v>45686</v>
      </c>
      <c r="BG86" s="324" t="str">
        <f t="shared" ca="1" si="11"/>
        <v>N/A</v>
      </c>
      <c r="BH86" s="299"/>
      <c r="BI86" s="325">
        <f t="shared" ca="1" si="13"/>
        <v>0</v>
      </c>
      <c r="BJ86" s="299"/>
      <c r="BK86" s="325">
        <f t="shared" ca="1" si="14"/>
        <v>0</v>
      </c>
      <c r="BL86" s="299"/>
      <c r="BM86" s="326"/>
      <c r="BN86" s="360" t="s">
        <v>702</v>
      </c>
      <c r="BO86" s="408" t="s">
        <v>363</v>
      </c>
      <c r="BP86" s="408" t="s">
        <v>376</v>
      </c>
      <c r="BQ86" s="328" t="s">
        <v>21</v>
      </c>
      <c r="BR86" s="329" t="s">
        <v>745</v>
      </c>
      <c r="BS86" s="331"/>
      <c r="BT86" s="327"/>
      <c r="BU86" s="327"/>
      <c r="BV86" s="327"/>
      <c r="BW86" s="331"/>
      <c r="BX86" s="302"/>
      <c r="BY86" s="302">
        <v>45763</v>
      </c>
      <c r="BZ86" s="302"/>
      <c r="CA86" s="295"/>
      <c r="CB86" s="332"/>
      <c r="CC86" s="332"/>
      <c r="CD86" s="332"/>
      <c r="CE86" s="333">
        <v>45763</v>
      </c>
      <c r="CF86" s="334" t="str">
        <f t="shared" si="10"/>
        <v/>
      </c>
    </row>
    <row r="87" spans="1:84" s="334" customFormat="1" ht="68" hidden="1">
      <c r="A87" s="373">
        <f t="shared" si="15"/>
        <v>73</v>
      </c>
      <c r="B87" s="306" t="s">
        <v>299</v>
      </c>
      <c r="C87" s="307" t="s">
        <v>431</v>
      </c>
      <c r="D87" s="308" t="s">
        <v>432</v>
      </c>
      <c r="E87" s="309" t="str" cm="1">
        <f t="array" ref="E87">IFERROR(LOOKUP(2,1/('[1]Contracts Log'!$F:$F=$D87),'[1]Contracts Log'!$G:$G),"")</f>
        <v>1.TB.01.002.99</v>
      </c>
      <c r="F87" s="309" t="str" cm="1">
        <f t="array" ref="F87">IFERROR(LOOKUP(2,1/('[1]Contracts Log'!$F:$F=$D87),'[1]Contracts Log'!$C:$C),"")</f>
        <v>Marina Lifestyle Hotel &amp; Village</v>
      </c>
      <c r="G87" s="309" t="str" cm="1">
        <f t="array" ref="G87">IFERROR(LOOKUP(2,1/('[1]Contracts Log'!$F:$F=$D87),'[1]Contracts Log'!$K:$K),"")</f>
        <v>Builders Works Package for Marina Lifestyle Hotel</v>
      </c>
      <c r="H87" s="309" t="str" cm="1">
        <f t="array" ref="H87">IFERROR(LOOKUP(2,1/('[1]Contracts Log'!$F:$F=$D87),'[1]Contracts Log'!$J:$J),"")</f>
        <v>Shandong Tiejun Electric Power Engineering Co. LTD. Branch</v>
      </c>
      <c r="I87" s="310">
        <v>1</v>
      </c>
      <c r="J87" s="310"/>
      <c r="K87" s="310"/>
      <c r="L87" s="310"/>
      <c r="M87" s="310"/>
      <c r="N87" s="310"/>
      <c r="O87" s="304"/>
      <c r="P87" s="416"/>
      <c r="Q87" s="304"/>
      <c r="R87" s="416"/>
      <c r="S87" s="417"/>
      <c r="T87" s="416"/>
      <c r="U87" s="304"/>
      <c r="V87" s="335" t="s">
        <v>743</v>
      </c>
      <c r="W87" s="240">
        <v>45686</v>
      </c>
      <c r="X87" s="417"/>
      <c r="Y87" s="417"/>
      <c r="Z87" s="335"/>
      <c r="AA87" s="240" t="s">
        <v>305</v>
      </c>
      <c r="AB87" s="240"/>
      <c r="AC87" s="240"/>
      <c r="AD87" s="335"/>
      <c r="AE87" s="240"/>
      <c r="AF87" s="315"/>
      <c r="AG87" s="315"/>
      <c r="AH87" s="315"/>
      <c r="AI87" s="315"/>
      <c r="AJ87" s="363"/>
      <c r="AK87" s="311"/>
      <c r="AL87" s="315"/>
      <c r="AM87" s="315"/>
      <c r="AN87" s="374" t="s">
        <v>746</v>
      </c>
      <c r="AO87" s="302">
        <v>45761</v>
      </c>
      <c r="AP87" s="314"/>
      <c r="AQ87" s="366"/>
      <c r="AR87" s="314"/>
      <c r="AS87" s="311"/>
      <c r="AT87" s="318"/>
      <c r="AU87" s="318"/>
      <c r="AV87" s="321"/>
      <c r="AW87" s="320"/>
      <c r="AX87" s="318"/>
      <c r="AY87" s="321"/>
      <c r="AZ87" s="320"/>
      <c r="BA87" s="318"/>
      <c r="BB87" s="321"/>
      <c r="BC87" s="322"/>
      <c r="BD87" s="299"/>
      <c r="BE87" s="299"/>
      <c r="BF87" s="323">
        <f t="shared" si="16"/>
        <v>45686</v>
      </c>
      <c r="BG87" s="324" t="str">
        <f t="shared" ca="1" si="11"/>
        <v>N/A</v>
      </c>
      <c r="BH87" s="299"/>
      <c r="BI87" s="325">
        <f t="shared" ca="1" si="13"/>
        <v>0</v>
      </c>
      <c r="BJ87" s="299"/>
      <c r="BK87" s="325">
        <f t="shared" ca="1" si="14"/>
        <v>0</v>
      </c>
      <c r="BL87" s="299"/>
      <c r="BM87" s="326"/>
      <c r="BN87" s="360" t="s">
        <v>702</v>
      </c>
      <c r="BO87" s="408" t="s">
        <v>363</v>
      </c>
      <c r="BP87" s="408" t="s">
        <v>376</v>
      </c>
      <c r="BQ87" s="328" t="s">
        <v>21</v>
      </c>
      <c r="BR87" s="329" t="s">
        <v>745</v>
      </c>
      <c r="BS87" s="331"/>
      <c r="BT87" s="327"/>
      <c r="BU87" s="327"/>
      <c r="BV87" s="327"/>
      <c r="BW87" s="331"/>
      <c r="BX87" s="302"/>
      <c r="BY87" s="302">
        <v>45761</v>
      </c>
      <c r="BZ87" s="302"/>
      <c r="CA87" s="295"/>
      <c r="CB87" s="332"/>
      <c r="CC87" s="332"/>
      <c r="CD87" s="332"/>
      <c r="CE87" s="333">
        <v>45761</v>
      </c>
      <c r="CF87" s="334" t="str">
        <f t="shared" si="10"/>
        <v/>
      </c>
    </row>
    <row r="88" spans="1:84" s="334" customFormat="1" ht="68" hidden="1">
      <c r="A88" s="373">
        <f t="shared" si="15"/>
        <v>74</v>
      </c>
      <c r="B88" s="306" t="s">
        <v>299</v>
      </c>
      <c r="C88" s="307" t="s">
        <v>438</v>
      </c>
      <c r="D88" s="308" t="s">
        <v>465</v>
      </c>
      <c r="E88" s="309" t="str" cm="1">
        <f t="array" ref="E88">IFERROR(LOOKUP(2,1/('[1]Contracts Log'!$F:$F=$D88),'[1]Contracts Log'!$G:$G),"")</f>
        <v>1.TB.01.006.99</v>
      </c>
      <c r="F88" s="309" t="str" cm="1">
        <f t="array" ref="F88">IFERROR(LOOKUP(2,1/('[1]Contracts Log'!$F:$F=$D88),'[1]Contracts Log'!$C:$C),"")</f>
        <v>Village Boutique Hotel</v>
      </c>
      <c r="G88" s="309" t="str" cm="1">
        <f t="array" ref="G88">IFERROR(LOOKUP(2,1/('[1]Contracts Log'!$F:$F=$D88),'[1]Contracts Log'!$K:$K),"")</f>
        <v>Builders Works Package for Marina Lifestyle Hotel</v>
      </c>
      <c r="H88" s="309" t="str" cm="1">
        <f t="array" ref="H88">IFERROR(LOOKUP(2,1/('[1]Contracts Log'!$F:$F=$D88),'[1]Contracts Log'!$J:$J),"")</f>
        <v>Shandong Tiejun Electric Power Engineering Co. LTD. Branch</v>
      </c>
      <c r="I88" s="310">
        <v>1</v>
      </c>
      <c r="J88" s="310"/>
      <c r="K88" s="310"/>
      <c r="L88" s="310"/>
      <c r="M88" s="310"/>
      <c r="N88" s="310"/>
      <c r="O88" s="304"/>
      <c r="P88" s="416"/>
      <c r="Q88" s="304"/>
      <c r="R88" s="416"/>
      <c r="S88" s="417"/>
      <c r="T88" s="416"/>
      <c r="U88" s="304"/>
      <c r="V88" s="335" t="s">
        <v>743</v>
      </c>
      <c r="W88" s="240">
        <v>45686</v>
      </c>
      <c r="X88" s="417"/>
      <c r="Y88" s="417"/>
      <c r="Z88" s="335"/>
      <c r="AA88" s="240" t="s">
        <v>305</v>
      </c>
      <c r="AB88" s="240"/>
      <c r="AC88" s="240"/>
      <c r="AD88" s="335"/>
      <c r="AE88" s="240"/>
      <c r="AF88" s="315"/>
      <c r="AG88" s="315"/>
      <c r="AH88" s="315"/>
      <c r="AI88" s="315"/>
      <c r="AJ88" s="363"/>
      <c r="AK88" s="311"/>
      <c r="AL88" s="315"/>
      <c r="AM88" s="315"/>
      <c r="AN88" s="374" t="s">
        <v>747</v>
      </c>
      <c r="AO88" s="302">
        <v>45763</v>
      </c>
      <c r="AP88" s="314"/>
      <c r="AQ88" s="366"/>
      <c r="AR88" s="314"/>
      <c r="AS88" s="311"/>
      <c r="AT88" s="318"/>
      <c r="AU88" s="318"/>
      <c r="AV88" s="321"/>
      <c r="AW88" s="320"/>
      <c r="AX88" s="318"/>
      <c r="AY88" s="321"/>
      <c r="AZ88" s="320"/>
      <c r="BA88" s="318"/>
      <c r="BB88" s="321"/>
      <c r="BC88" s="322"/>
      <c r="BD88" s="299"/>
      <c r="BE88" s="299"/>
      <c r="BF88" s="323">
        <f t="shared" si="16"/>
        <v>45686</v>
      </c>
      <c r="BG88" s="324" t="str">
        <f t="shared" ca="1" si="11"/>
        <v>N/A</v>
      </c>
      <c r="BH88" s="299"/>
      <c r="BI88" s="325">
        <f t="shared" ca="1" si="13"/>
        <v>0</v>
      </c>
      <c r="BJ88" s="299"/>
      <c r="BK88" s="325">
        <f t="shared" ca="1" si="14"/>
        <v>0</v>
      </c>
      <c r="BL88" s="299"/>
      <c r="BM88" s="326"/>
      <c r="BN88" s="360" t="s">
        <v>702</v>
      </c>
      <c r="BO88" s="408" t="s">
        <v>363</v>
      </c>
      <c r="BP88" s="408" t="s">
        <v>376</v>
      </c>
      <c r="BQ88" s="328" t="s">
        <v>21</v>
      </c>
      <c r="BR88" s="329" t="s">
        <v>745</v>
      </c>
      <c r="BS88" s="331"/>
      <c r="BT88" s="327"/>
      <c r="BU88" s="327"/>
      <c r="BV88" s="327"/>
      <c r="BW88" s="331"/>
      <c r="BX88" s="302"/>
      <c r="BY88" s="302">
        <v>45763</v>
      </c>
      <c r="BZ88" s="302"/>
      <c r="CA88" s="295"/>
      <c r="CB88" s="332"/>
      <c r="CC88" s="332"/>
      <c r="CD88" s="332"/>
      <c r="CE88" s="333">
        <v>45763</v>
      </c>
      <c r="CF88" s="334" t="str">
        <f t="shared" si="10"/>
        <v/>
      </c>
    </row>
    <row r="89" spans="1:84" s="334" customFormat="1" ht="51" hidden="1">
      <c r="A89" s="373">
        <f t="shared" si="15"/>
        <v>75</v>
      </c>
      <c r="B89" s="306" t="s">
        <v>299</v>
      </c>
      <c r="C89" s="307" t="s">
        <v>524</v>
      </c>
      <c r="D89" s="308" t="s">
        <v>525</v>
      </c>
      <c r="E89" s="309" t="str" cm="1">
        <f t="array" ref="E89">IFERROR(LOOKUP(2,1/('[1]Contracts Log'!$F:$F=$D89),'[1]Contracts Log'!$G:$G),"")</f>
        <v>1.TB.01.005.01</v>
      </c>
      <c r="F89" s="309" t="str" cm="1">
        <f t="array" ref="F89">IFERROR(LOOKUP(2,1/('[1]Contracts Log'!$F:$F=$D89),'[1]Contracts Log'!$C:$C),"")</f>
        <v>Red Sea Marine Life Institute</v>
      </c>
      <c r="G89" s="309" t="str" cm="1">
        <f t="array" ref="G89">IFERROR(LOOKUP(2,1/('[1]Contracts Log'!$F:$F=$D89),'[1]Contracts Log'!$K:$K),"")</f>
        <v>Primary Steel Structure Contract</v>
      </c>
      <c r="H89" s="309" t="str" cm="1">
        <f t="array" ref="H89">IFERROR(LOOKUP(2,1/('[1]Contracts Log'!$F:$F=$D89),'[1]Contracts Log'!$J:$J),"")</f>
        <v>Zamil Structural Steel Company (LTD)</v>
      </c>
      <c r="I89" s="310">
        <v>1</v>
      </c>
      <c r="J89" s="310"/>
      <c r="K89" s="310"/>
      <c r="L89" s="310"/>
      <c r="M89" s="310"/>
      <c r="N89" s="310"/>
      <c r="O89" s="304"/>
      <c r="P89" s="416"/>
      <c r="Q89" s="304"/>
      <c r="R89" s="416"/>
      <c r="S89" s="417"/>
      <c r="T89" s="416"/>
      <c r="U89" s="304"/>
      <c r="V89" s="335" t="s">
        <v>743</v>
      </c>
      <c r="W89" s="240">
        <v>45686</v>
      </c>
      <c r="X89" s="417"/>
      <c r="Y89" s="417"/>
      <c r="Z89" s="335"/>
      <c r="AA89" s="240" t="s">
        <v>305</v>
      </c>
      <c r="AB89" s="240"/>
      <c r="AC89" s="240"/>
      <c r="AD89" s="335"/>
      <c r="AE89" s="240"/>
      <c r="AF89" s="315"/>
      <c r="AG89" s="315"/>
      <c r="AH89" s="315"/>
      <c r="AI89" s="315"/>
      <c r="AJ89" s="363"/>
      <c r="AK89" s="311"/>
      <c r="AL89" s="315"/>
      <c r="AM89" s="315"/>
      <c r="AN89" s="374" t="s">
        <v>748</v>
      </c>
      <c r="AO89" s="302">
        <v>45768</v>
      </c>
      <c r="AP89" s="314"/>
      <c r="AQ89" s="366"/>
      <c r="AR89" s="314"/>
      <c r="AS89" s="311"/>
      <c r="AT89" s="318"/>
      <c r="AU89" s="318"/>
      <c r="AV89" s="321"/>
      <c r="AW89" s="320"/>
      <c r="AX89" s="318"/>
      <c r="AY89" s="321"/>
      <c r="AZ89" s="320"/>
      <c r="BA89" s="318"/>
      <c r="BB89" s="321"/>
      <c r="BC89" s="322"/>
      <c r="BD89" s="299"/>
      <c r="BE89" s="299"/>
      <c r="BF89" s="323">
        <f t="shared" si="16"/>
        <v>45686</v>
      </c>
      <c r="BG89" s="324" t="str">
        <f t="shared" ca="1" si="11"/>
        <v>N/A</v>
      </c>
      <c r="BH89" s="299"/>
      <c r="BI89" s="325">
        <f t="shared" ca="1" si="13"/>
        <v>0</v>
      </c>
      <c r="BJ89" s="299"/>
      <c r="BK89" s="325">
        <f t="shared" ca="1" si="14"/>
        <v>0</v>
      </c>
      <c r="BL89" s="299"/>
      <c r="BM89" s="326"/>
      <c r="BN89" s="360" t="s">
        <v>702</v>
      </c>
      <c r="BO89" s="408" t="s">
        <v>363</v>
      </c>
      <c r="BP89" s="408" t="s">
        <v>376</v>
      </c>
      <c r="BQ89" s="328" t="s">
        <v>21</v>
      </c>
      <c r="BR89" s="329" t="s">
        <v>745</v>
      </c>
      <c r="BS89" s="331"/>
      <c r="BT89" s="327"/>
      <c r="BU89" s="327"/>
      <c r="BV89" s="327"/>
      <c r="BW89" s="331"/>
      <c r="BX89" s="302"/>
      <c r="BY89" s="302">
        <v>45768</v>
      </c>
      <c r="BZ89" s="302"/>
      <c r="CA89" s="295"/>
      <c r="CB89" s="332"/>
      <c r="CC89" s="332"/>
      <c r="CD89" s="332"/>
      <c r="CE89" s="333">
        <v>45768</v>
      </c>
      <c r="CF89" s="334" t="str">
        <f t="shared" si="10"/>
        <v/>
      </c>
    </row>
    <row r="90" spans="1:84" s="334" customFormat="1" ht="51" hidden="1">
      <c r="A90" s="373">
        <f t="shared" si="15"/>
        <v>76</v>
      </c>
      <c r="B90" s="306" t="s">
        <v>299</v>
      </c>
      <c r="C90" s="307" t="s">
        <v>749</v>
      </c>
      <c r="D90" s="308" t="s">
        <v>540</v>
      </c>
      <c r="E90" s="309" t="str" cm="1">
        <f t="array" ref="E90">IFERROR(LOOKUP(2,1/('[1]Contracts Log'!$F:$F=$D90),'[1]Contracts Log'!$G:$G),"")</f>
        <v>1.TB.01.002.99</v>
      </c>
      <c r="F90" s="309" t="str" cm="1">
        <f t="array" ref="F90">IFERROR(LOOKUP(2,1/('[1]Contracts Log'!$F:$F=$D90),'[1]Contracts Log'!$C:$C),"")</f>
        <v>Marina Lifestyle Hotel &amp; Village</v>
      </c>
      <c r="G90" s="309" t="str" cm="1">
        <f t="array" ref="G90">IFERROR(LOOKUP(2,1/('[1]Contracts Log'!$F:$F=$D90),'[1]Contracts Log'!$K:$K),"")</f>
        <v>Structural Steel Works</v>
      </c>
      <c r="H90" s="309" t="str" cm="1">
        <f t="array" ref="H90">IFERROR(LOOKUP(2,1/('[1]Contracts Log'!$F:$F=$D90),'[1]Contracts Log'!$J:$J),"")</f>
        <v>Cleveland Bridge Steel Co. LTD</v>
      </c>
      <c r="I90" s="310">
        <v>1</v>
      </c>
      <c r="J90" s="310"/>
      <c r="K90" s="310"/>
      <c r="L90" s="310"/>
      <c r="M90" s="310"/>
      <c r="N90" s="310"/>
      <c r="O90" s="304"/>
      <c r="P90" s="416"/>
      <c r="Q90" s="304"/>
      <c r="R90" s="416"/>
      <c r="S90" s="417"/>
      <c r="T90" s="416"/>
      <c r="U90" s="304"/>
      <c r="V90" s="335" t="s">
        <v>743</v>
      </c>
      <c r="W90" s="240">
        <v>45686</v>
      </c>
      <c r="X90" s="417"/>
      <c r="Y90" s="417"/>
      <c r="Z90" s="335"/>
      <c r="AA90" s="240" t="s">
        <v>305</v>
      </c>
      <c r="AB90" s="240"/>
      <c r="AC90" s="240"/>
      <c r="AD90" s="335"/>
      <c r="AE90" s="240"/>
      <c r="AF90" s="315"/>
      <c r="AG90" s="315"/>
      <c r="AH90" s="315"/>
      <c r="AI90" s="315"/>
      <c r="AJ90" s="363"/>
      <c r="AK90" s="311"/>
      <c r="AL90" s="315"/>
      <c r="AM90" s="315"/>
      <c r="AN90" s="374" t="s">
        <v>750</v>
      </c>
      <c r="AO90" s="302">
        <v>45761</v>
      </c>
      <c r="AP90" s="314"/>
      <c r="AQ90" s="366"/>
      <c r="AR90" s="314"/>
      <c r="AS90" s="311"/>
      <c r="AT90" s="318"/>
      <c r="AU90" s="318"/>
      <c r="AV90" s="321"/>
      <c r="AW90" s="320"/>
      <c r="AX90" s="318"/>
      <c r="AY90" s="321"/>
      <c r="AZ90" s="320"/>
      <c r="BA90" s="318"/>
      <c r="BB90" s="321"/>
      <c r="BC90" s="322"/>
      <c r="BD90" s="299"/>
      <c r="BE90" s="299"/>
      <c r="BF90" s="323">
        <f t="shared" si="16"/>
        <v>45686</v>
      </c>
      <c r="BG90" s="324" t="str">
        <f t="shared" ca="1" si="11"/>
        <v>N/A</v>
      </c>
      <c r="BH90" s="299"/>
      <c r="BI90" s="325">
        <f t="shared" ca="1" si="13"/>
        <v>0</v>
      </c>
      <c r="BJ90" s="299"/>
      <c r="BK90" s="325">
        <f t="shared" ca="1" si="14"/>
        <v>0</v>
      </c>
      <c r="BL90" s="299"/>
      <c r="BM90" s="326"/>
      <c r="BN90" s="360" t="s">
        <v>702</v>
      </c>
      <c r="BO90" s="408" t="s">
        <v>363</v>
      </c>
      <c r="BP90" s="408" t="s">
        <v>376</v>
      </c>
      <c r="BQ90" s="328" t="s">
        <v>21</v>
      </c>
      <c r="BR90" s="329" t="s">
        <v>745</v>
      </c>
      <c r="BS90" s="331"/>
      <c r="BT90" s="327"/>
      <c r="BU90" s="327"/>
      <c r="BV90" s="327"/>
      <c r="BW90" s="331"/>
      <c r="BX90" s="302"/>
      <c r="BY90" s="302">
        <v>45761</v>
      </c>
      <c r="BZ90" s="302"/>
      <c r="CA90" s="295"/>
      <c r="CB90" s="332"/>
      <c r="CC90" s="332"/>
      <c r="CD90" s="332"/>
      <c r="CE90" s="333">
        <v>45761</v>
      </c>
      <c r="CF90" s="334" t="str">
        <f t="shared" si="10"/>
        <v/>
      </c>
    </row>
    <row r="91" spans="1:84" s="334" customFormat="1" ht="51" hidden="1">
      <c r="A91" s="373">
        <f t="shared" si="15"/>
        <v>77</v>
      </c>
      <c r="B91" s="306" t="s">
        <v>299</v>
      </c>
      <c r="C91" s="307" t="s">
        <v>532</v>
      </c>
      <c r="D91" s="308" t="s">
        <v>555</v>
      </c>
      <c r="E91" s="309" t="str" cm="1">
        <f t="array" ref="E91">IFERROR(LOOKUP(2,1/('[1]Contracts Log'!$F:$F=$D91),'[1]Contracts Log'!$G:$G),"")</f>
        <v>1.TB.01.002.99</v>
      </c>
      <c r="F91" s="309" t="str" cm="1">
        <f t="array" ref="F91">IFERROR(LOOKUP(2,1/('[1]Contracts Log'!$F:$F=$D91),'[1]Contracts Log'!$C:$C),"")</f>
        <v>Marina Lifestyle Hotel &amp; Village</v>
      </c>
      <c r="G91" s="309" t="str" cm="1">
        <f t="array" ref="G91">IFERROR(LOOKUP(2,1/('[1]Contracts Log'!$F:$F=$D91),'[1]Contracts Log'!$K:$K),"")</f>
        <v>MEP &amp; ICT / ELV Works for Marina Lifestyle Hotel</v>
      </c>
      <c r="H91" s="309" t="str" cm="1">
        <f t="array" ref="H91">IFERROR(LOOKUP(2,1/('[1]Contracts Log'!$F:$F=$D91),'[1]Contracts Log'!$J:$J),"")</f>
        <v>Shapoorji Pallonji Mideast LLC</v>
      </c>
      <c r="I91" s="310">
        <v>1</v>
      </c>
      <c r="J91" s="310"/>
      <c r="K91" s="310"/>
      <c r="L91" s="310"/>
      <c r="M91" s="310"/>
      <c r="N91" s="310"/>
      <c r="O91" s="304"/>
      <c r="P91" s="416"/>
      <c r="Q91" s="304"/>
      <c r="R91" s="416"/>
      <c r="S91" s="417"/>
      <c r="T91" s="416"/>
      <c r="U91" s="304"/>
      <c r="V91" s="335" t="s">
        <v>743</v>
      </c>
      <c r="W91" s="240">
        <v>45686</v>
      </c>
      <c r="X91" s="417"/>
      <c r="Y91" s="417"/>
      <c r="Z91" s="335"/>
      <c r="AA91" s="240" t="s">
        <v>305</v>
      </c>
      <c r="AB91" s="240"/>
      <c r="AC91" s="240"/>
      <c r="AD91" s="335"/>
      <c r="AE91" s="240"/>
      <c r="AF91" s="315"/>
      <c r="AG91" s="315"/>
      <c r="AH91" s="315"/>
      <c r="AI91" s="315"/>
      <c r="AJ91" s="363"/>
      <c r="AK91" s="311"/>
      <c r="AL91" s="315"/>
      <c r="AM91" s="315"/>
      <c r="AN91" s="365" t="s">
        <v>751</v>
      </c>
      <c r="AO91" s="311">
        <v>45790</v>
      </c>
      <c r="AP91" s="314"/>
      <c r="AQ91" s="366"/>
      <c r="AR91" s="314"/>
      <c r="AS91" s="311"/>
      <c r="AT91" s="318"/>
      <c r="AU91" s="318"/>
      <c r="AV91" s="321"/>
      <c r="AW91" s="320"/>
      <c r="AX91" s="318"/>
      <c r="AY91" s="321"/>
      <c r="AZ91" s="320"/>
      <c r="BA91" s="318"/>
      <c r="BB91" s="321"/>
      <c r="BC91" s="322"/>
      <c r="BD91" s="299"/>
      <c r="BE91" s="299"/>
      <c r="BF91" s="323">
        <f t="shared" si="16"/>
        <v>45686</v>
      </c>
      <c r="BG91" s="324" t="str">
        <f t="shared" ca="1" si="11"/>
        <v>N/A</v>
      </c>
      <c r="BH91" s="299"/>
      <c r="BI91" s="325">
        <f t="shared" ca="1" si="13"/>
        <v>0</v>
      </c>
      <c r="BJ91" s="299"/>
      <c r="BK91" s="325">
        <f t="shared" ca="1" si="14"/>
        <v>0</v>
      </c>
      <c r="BL91" s="299"/>
      <c r="BM91" s="326"/>
      <c r="BN91" s="360" t="s">
        <v>702</v>
      </c>
      <c r="BO91" s="408" t="s">
        <v>363</v>
      </c>
      <c r="BP91" s="408" t="s">
        <v>376</v>
      </c>
      <c r="BQ91" s="328" t="s">
        <v>21</v>
      </c>
      <c r="BR91" s="329" t="s">
        <v>745</v>
      </c>
      <c r="BS91" s="331"/>
      <c r="BT91" s="327"/>
      <c r="BU91" s="327"/>
      <c r="BV91" s="327"/>
      <c r="BW91" s="331"/>
      <c r="BX91" s="302"/>
      <c r="BY91" s="302">
        <v>45788</v>
      </c>
      <c r="BZ91" s="302"/>
      <c r="CA91" s="295"/>
      <c r="CB91" s="332"/>
      <c r="CC91" s="332"/>
      <c r="CD91" s="332"/>
      <c r="CE91" s="333">
        <v>45788</v>
      </c>
      <c r="CF91" s="334" t="str">
        <f t="shared" si="10"/>
        <v/>
      </c>
    </row>
    <row r="92" spans="1:84" s="334" customFormat="1" ht="51" hidden="1">
      <c r="A92" s="373">
        <f t="shared" si="15"/>
        <v>78</v>
      </c>
      <c r="B92" s="306" t="s">
        <v>299</v>
      </c>
      <c r="C92" s="307" t="s">
        <v>561</v>
      </c>
      <c r="D92" s="308" t="s">
        <v>562</v>
      </c>
      <c r="E92" s="309" t="str" cm="1">
        <f t="array" ref="E92">IFERROR(LOOKUP(2,1/('[1]Contracts Log'!$F:$F=$D92),'[1]Contracts Log'!$G:$G),"")</f>
        <v>1.TB.01.006.99</v>
      </c>
      <c r="F92" s="309" t="str" cm="1">
        <f t="array" ref="F92">IFERROR(LOOKUP(2,1/('[1]Contracts Log'!$F:$F=$D92),'[1]Contracts Log'!$C:$C),"")</f>
        <v>Village Boutique Hotel</v>
      </c>
      <c r="G92" s="309" t="str" cm="1">
        <f t="array" ref="G92">IFERROR(LOOKUP(2,1/('[1]Contracts Log'!$F:$F=$D92),'[1]Contracts Log'!$K:$K),"")</f>
        <v>MEP &amp; ICT / ELV Works for Village Boutique Hotel</v>
      </c>
      <c r="H92" s="309" t="str" cm="1">
        <f t="array" ref="H92">IFERROR(LOOKUP(2,1/('[1]Contracts Log'!$F:$F=$D92),'[1]Contracts Log'!$J:$J),"")</f>
        <v>Shapoorji Pallonji Mideast LLC</v>
      </c>
      <c r="I92" s="310">
        <v>1</v>
      </c>
      <c r="J92" s="310"/>
      <c r="K92" s="310"/>
      <c r="L92" s="310"/>
      <c r="M92" s="310"/>
      <c r="N92" s="310"/>
      <c r="O92" s="304"/>
      <c r="P92" s="416"/>
      <c r="Q92" s="304"/>
      <c r="R92" s="416"/>
      <c r="S92" s="417"/>
      <c r="T92" s="416"/>
      <c r="U92" s="304"/>
      <c r="V92" s="335" t="s">
        <v>743</v>
      </c>
      <c r="W92" s="240">
        <v>45686</v>
      </c>
      <c r="X92" s="417"/>
      <c r="Y92" s="417"/>
      <c r="Z92" s="335"/>
      <c r="AA92" s="240" t="s">
        <v>305</v>
      </c>
      <c r="AB92" s="240"/>
      <c r="AC92" s="240"/>
      <c r="AD92" s="335"/>
      <c r="AE92" s="240"/>
      <c r="AF92" s="315"/>
      <c r="AG92" s="315"/>
      <c r="AH92" s="315"/>
      <c r="AI92" s="315"/>
      <c r="AJ92" s="363"/>
      <c r="AK92" s="311"/>
      <c r="AL92" s="315"/>
      <c r="AM92" s="315"/>
      <c r="AN92" s="365" t="s">
        <v>752</v>
      </c>
      <c r="AO92" s="311">
        <v>45788</v>
      </c>
      <c r="AP92" s="314"/>
      <c r="AQ92" s="366"/>
      <c r="AR92" s="314"/>
      <c r="AS92" s="311"/>
      <c r="AT92" s="318"/>
      <c r="AU92" s="318"/>
      <c r="AV92" s="321"/>
      <c r="AW92" s="320"/>
      <c r="AX92" s="318"/>
      <c r="AY92" s="321"/>
      <c r="AZ92" s="320"/>
      <c r="BA92" s="318"/>
      <c r="BB92" s="321"/>
      <c r="BC92" s="322"/>
      <c r="BD92" s="299"/>
      <c r="BE92" s="299"/>
      <c r="BF92" s="323">
        <f t="shared" si="16"/>
        <v>45686</v>
      </c>
      <c r="BG92" s="324" t="str">
        <f t="shared" ca="1" si="11"/>
        <v>N/A</v>
      </c>
      <c r="BH92" s="299"/>
      <c r="BI92" s="325">
        <f t="shared" ca="1" si="13"/>
        <v>0</v>
      </c>
      <c r="BJ92" s="299"/>
      <c r="BK92" s="325">
        <f t="shared" ca="1" si="14"/>
        <v>0</v>
      </c>
      <c r="BL92" s="299"/>
      <c r="BM92" s="326"/>
      <c r="BN92" s="360" t="s">
        <v>702</v>
      </c>
      <c r="BO92" s="408" t="s">
        <v>363</v>
      </c>
      <c r="BP92" s="408" t="s">
        <v>376</v>
      </c>
      <c r="BQ92" s="328" t="s">
        <v>21</v>
      </c>
      <c r="BR92" s="329" t="s">
        <v>745</v>
      </c>
      <c r="BS92" s="331"/>
      <c r="BT92" s="327"/>
      <c r="BU92" s="327"/>
      <c r="BV92" s="327"/>
      <c r="BW92" s="331"/>
      <c r="BX92" s="302"/>
      <c r="BY92" s="302">
        <v>45784</v>
      </c>
      <c r="BZ92" s="302"/>
      <c r="CA92" s="295"/>
      <c r="CB92" s="332"/>
      <c r="CC92" s="332"/>
      <c r="CD92" s="332"/>
      <c r="CE92" s="333">
        <v>45784</v>
      </c>
      <c r="CF92" s="334" t="str">
        <f t="shared" si="10"/>
        <v/>
      </c>
    </row>
    <row r="93" spans="1:84" s="334" customFormat="1" ht="68" hidden="1">
      <c r="A93" s="373">
        <f t="shared" si="15"/>
        <v>79</v>
      </c>
      <c r="B93" s="306" t="s">
        <v>299</v>
      </c>
      <c r="C93" s="307" t="s">
        <v>603</v>
      </c>
      <c r="D93" s="308" t="s">
        <v>616</v>
      </c>
      <c r="E93" s="309" t="str" cm="1">
        <f t="array" ref="E93">IFERROR(LOOKUP(2,1/('[1]Contracts Log'!$F:$F=$D93),'[1]Contracts Log'!$G:$G),"")</f>
        <v>1.TB.01.005.01</v>
      </c>
      <c r="F93" s="309" t="str" cm="1">
        <f t="array" ref="F93">IFERROR(LOOKUP(2,1/('[1]Contracts Log'!$F:$F=$D93),'[1]Contracts Log'!$C:$C),"")</f>
        <v>Red Sea Marine Life Institute</v>
      </c>
      <c r="G93" s="309" t="str" cm="1">
        <f t="array" ref="G93">IFERROR(LOOKUP(2,1/('[1]Contracts Log'!$F:$F=$D93),'[1]Contracts Log'!$K:$K),"")</f>
        <v>Hard and Soft Landscaping Works</v>
      </c>
      <c r="H93" s="309" t="str" cm="1">
        <f t="array" ref="H93">IFERROR(LOOKUP(2,1/('[1]Contracts Log'!$F:$F=$D93),'[1]Contracts Log'!$J:$J),"")</f>
        <v>Saudi Salco Contracting Company Co.</v>
      </c>
      <c r="I93" s="310">
        <v>1</v>
      </c>
      <c r="J93" s="310"/>
      <c r="K93" s="310"/>
      <c r="L93" s="310"/>
      <c r="M93" s="310"/>
      <c r="N93" s="310"/>
      <c r="O93" s="304"/>
      <c r="P93" s="416"/>
      <c r="Q93" s="304"/>
      <c r="R93" s="416"/>
      <c r="S93" s="417"/>
      <c r="T93" s="416"/>
      <c r="U93" s="304"/>
      <c r="V93" s="335" t="s">
        <v>743</v>
      </c>
      <c r="W93" s="240">
        <v>45686</v>
      </c>
      <c r="X93" s="417"/>
      <c r="Y93" s="417"/>
      <c r="Z93" s="335"/>
      <c r="AA93" s="240" t="s">
        <v>305</v>
      </c>
      <c r="AB93" s="240"/>
      <c r="AC93" s="240"/>
      <c r="AD93" s="335"/>
      <c r="AE93" s="240"/>
      <c r="AF93" s="315"/>
      <c r="AG93" s="315"/>
      <c r="AH93" s="315"/>
      <c r="AI93" s="315"/>
      <c r="AJ93" s="363"/>
      <c r="AK93" s="311"/>
      <c r="AL93" s="315"/>
      <c r="AM93" s="315"/>
      <c r="AN93" s="363" t="s">
        <v>753</v>
      </c>
      <c r="AO93" s="311">
        <v>45784</v>
      </c>
      <c r="AP93" s="314"/>
      <c r="AQ93" s="366"/>
      <c r="AR93" s="314"/>
      <c r="AS93" s="311"/>
      <c r="AT93" s="318"/>
      <c r="AU93" s="318"/>
      <c r="AV93" s="321"/>
      <c r="AW93" s="320"/>
      <c r="AX93" s="318"/>
      <c r="AY93" s="321"/>
      <c r="AZ93" s="320"/>
      <c r="BA93" s="318"/>
      <c r="BB93" s="321"/>
      <c r="BC93" s="322"/>
      <c r="BD93" s="299"/>
      <c r="BE93" s="299"/>
      <c r="BF93" s="323">
        <f t="shared" si="16"/>
        <v>45686</v>
      </c>
      <c r="BG93" s="324" t="str">
        <f t="shared" ca="1" si="11"/>
        <v>N/A</v>
      </c>
      <c r="BH93" s="299"/>
      <c r="BI93" s="325">
        <f t="shared" ca="1" si="13"/>
        <v>0</v>
      </c>
      <c r="BJ93" s="299"/>
      <c r="BK93" s="325">
        <f t="shared" ca="1" si="14"/>
        <v>0</v>
      </c>
      <c r="BL93" s="299"/>
      <c r="BM93" s="326"/>
      <c r="BN93" s="360" t="s">
        <v>702</v>
      </c>
      <c r="BO93" s="408" t="s">
        <v>363</v>
      </c>
      <c r="BP93" s="408" t="s">
        <v>376</v>
      </c>
      <c r="BQ93" s="328" t="s">
        <v>21</v>
      </c>
      <c r="BR93" s="329" t="s">
        <v>745</v>
      </c>
      <c r="BS93" s="331"/>
      <c r="BT93" s="327"/>
      <c r="BU93" s="327"/>
      <c r="BV93" s="327"/>
      <c r="BW93" s="331"/>
      <c r="BX93" s="302"/>
      <c r="BY93" s="302">
        <v>45792</v>
      </c>
      <c r="BZ93" s="302"/>
      <c r="CA93" s="295"/>
      <c r="CB93" s="332"/>
      <c r="CC93" s="332"/>
      <c r="CD93" s="332"/>
      <c r="CE93" s="333">
        <v>45792</v>
      </c>
      <c r="CF93" s="334" t="str">
        <f t="shared" si="10"/>
        <v/>
      </c>
    </row>
    <row r="94" spans="1:84" s="334" customFormat="1" ht="51" hidden="1">
      <c r="A94" s="373">
        <f t="shared" si="15"/>
        <v>80</v>
      </c>
      <c r="B94" s="306" t="s">
        <v>299</v>
      </c>
      <c r="C94" s="307" t="s">
        <v>623</v>
      </c>
      <c r="D94" s="308" t="s">
        <v>635</v>
      </c>
      <c r="E94" s="309" t="str" cm="1">
        <f t="array" ref="E94">IFERROR(LOOKUP(2,1/('[1]Contracts Log'!$F:$F=$D94),'[1]Contracts Log'!$G:$G),"")</f>
        <v>1.TB.01.002.99</v>
      </c>
      <c r="F94" s="309" t="str" cm="1">
        <f t="array" ref="F94">IFERROR(LOOKUP(2,1/('[1]Contracts Log'!$F:$F=$D94),'[1]Contracts Log'!$C:$C),"")</f>
        <v>Marina Lifestyle Hotel &amp; Village</v>
      </c>
      <c r="G94" s="309" t="str" cm="1">
        <f t="array" ref="G94">IFERROR(LOOKUP(2,1/('[1]Contracts Log'!$F:$F=$D94),'[1]Contracts Log'!$K:$K),"")</f>
        <v>Aluminum &amp; Glazing works for Marina Lifestyle Hotel</v>
      </c>
      <c r="H94" s="309" t="str" cm="1">
        <f t="array" ref="H94">IFERROR(LOOKUP(2,1/('[1]Contracts Log'!$F:$F=$D94),'[1]Contracts Log'!$J:$J),"")</f>
        <v>REEM Emirates Company Limited</v>
      </c>
      <c r="I94" s="310">
        <v>1</v>
      </c>
      <c r="J94" s="310"/>
      <c r="K94" s="310"/>
      <c r="L94" s="310"/>
      <c r="M94" s="310"/>
      <c r="N94" s="310"/>
      <c r="O94" s="304"/>
      <c r="P94" s="416"/>
      <c r="Q94" s="304"/>
      <c r="R94" s="416"/>
      <c r="S94" s="417"/>
      <c r="T94" s="416"/>
      <c r="U94" s="304"/>
      <c r="V94" s="335" t="s">
        <v>743</v>
      </c>
      <c r="W94" s="240">
        <v>45686</v>
      </c>
      <c r="X94" s="417"/>
      <c r="Y94" s="417"/>
      <c r="Z94" s="335"/>
      <c r="AA94" s="240" t="s">
        <v>305</v>
      </c>
      <c r="AB94" s="240"/>
      <c r="AC94" s="240"/>
      <c r="AD94" s="335"/>
      <c r="AE94" s="240"/>
      <c r="AF94" s="315"/>
      <c r="AG94" s="315"/>
      <c r="AH94" s="315"/>
      <c r="AI94" s="315"/>
      <c r="AJ94" s="363"/>
      <c r="AK94" s="311"/>
      <c r="AL94" s="315"/>
      <c r="AM94" s="315"/>
      <c r="AN94" s="365" t="s">
        <v>754</v>
      </c>
      <c r="AO94" s="311">
        <v>45792</v>
      </c>
      <c r="AP94" s="314"/>
      <c r="AQ94" s="366"/>
      <c r="AR94" s="314"/>
      <c r="AS94" s="311"/>
      <c r="AT94" s="318"/>
      <c r="AU94" s="318"/>
      <c r="AV94" s="321"/>
      <c r="AW94" s="320"/>
      <c r="AX94" s="318"/>
      <c r="AY94" s="321"/>
      <c r="AZ94" s="320"/>
      <c r="BA94" s="318"/>
      <c r="BB94" s="321"/>
      <c r="BC94" s="322"/>
      <c r="BD94" s="299"/>
      <c r="BE94" s="299"/>
      <c r="BF94" s="323">
        <f t="shared" si="16"/>
        <v>45686</v>
      </c>
      <c r="BG94" s="324" t="str">
        <f t="shared" ca="1" si="11"/>
        <v>N/A</v>
      </c>
      <c r="BH94" s="299"/>
      <c r="BI94" s="325">
        <f t="shared" ca="1" si="13"/>
        <v>0</v>
      </c>
      <c r="BJ94" s="299"/>
      <c r="BK94" s="325">
        <f t="shared" ca="1" si="14"/>
        <v>0</v>
      </c>
      <c r="BL94" s="299"/>
      <c r="BM94" s="326"/>
      <c r="BN94" s="360" t="s">
        <v>702</v>
      </c>
      <c r="BO94" s="408" t="s">
        <v>363</v>
      </c>
      <c r="BP94" s="408" t="s">
        <v>376</v>
      </c>
      <c r="BQ94" s="328" t="s">
        <v>21</v>
      </c>
      <c r="BR94" s="329" t="s">
        <v>745</v>
      </c>
      <c r="BS94" s="331"/>
      <c r="BT94" s="327"/>
      <c r="BU94" s="327"/>
      <c r="BV94" s="327"/>
      <c r="BW94" s="331"/>
      <c r="BX94" s="302"/>
      <c r="BY94" s="302">
        <v>45792</v>
      </c>
      <c r="BZ94" s="302"/>
      <c r="CA94" s="295"/>
      <c r="CB94" s="332"/>
      <c r="CC94" s="332"/>
      <c r="CD94" s="332"/>
      <c r="CE94" s="333">
        <v>45792</v>
      </c>
      <c r="CF94" s="334" t="str">
        <f t="shared" si="10"/>
        <v/>
      </c>
    </row>
    <row r="95" spans="1:84" s="334" customFormat="1" ht="408.75" hidden="1" customHeight="1">
      <c r="A95" s="373">
        <v>81</v>
      </c>
      <c r="B95" s="306" t="s">
        <v>299</v>
      </c>
      <c r="C95" s="307" t="s">
        <v>755</v>
      </c>
      <c r="D95" s="308" t="s">
        <v>756</v>
      </c>
      <c r="E95" s="309" t="str" cm="1">
        <f t="array" ref="E95">IFERROR(LOOKUP(2,1/('[1]Contracts Log'!$F:$F=$D95),'[1]Contracts Log'!$G:$G),"")</f>
        <v>1TB.01.002.99</v>
      </c>
      <c r="F95" s="309" t="str" cm="1">
        <f t="array" ref="F95">IFERROR(LOOKUP(2,1/('[1]Contracts Log'!$F:$F=$D95),'[1]Contracts Log'!$C:$C),"")</f>
        <v>Marina Lifestyle Hotel &amp; Village</v>
      </c>
      <c r="G95" s="309" t="str" cm="1">
        <f t="array" ref="G95">IFERROR(LOOKUP(2,1/('[1]Contracts Log'!$F:$F=$D95),'[1]Contracts Log'!$K:$K),"")</f>
        <v>MLH - Havelock One Interiors Company - Fit-Out Works</v>
      </c>
      <c r="H95" s="309" t="str" cm="1">
        <f t="array" ref="H95">IFERROR(LOOKUP(2,1/('[1]Contracts Log'!$F:$F=$D95),'[1]Contracts Log'!$J:$J),"")</f>
        <v>Havelock One Interiors WLL – KSA</v>
      </c>
      <c r="I95" s="310">
        <v>1</v>
      </c>
      <c r="J95" s="310"/>
      <c r="K95" s="310"/>
      <c r="L95" s="310"/>
      <c r="M95" s="310"/>
      <c r="N95" s="310"/>
      <c r="O95" s="304"/>
      <c r="P95" s="416"/>
      <c r="Q95" s="304"/>
      <c r="R95" s="416"/>
      <c r="S95" s="417"/>
      <c r="T95" s="416"/>
      <c r="U95" s="304"/>
      <c r="V95" s="335" t="s">
        <v>757</v>
      </c>
      <c r="W95" s="240">
        <v>45839</v>
      </c>
      <c r="X95" s="417"/>
      <c r="Y95" s="417"/>
      <c r="Z95" s="335"/>
      <c r="AA95" s="240" t="s">
        <v>305</v>
      </c>
      <c r="AB95" s="240"/>
      <c r="AC95" s="240"/>
      <c r="AD95" s="335"/>
      <c r="AE95" s="240"/>
      <c r="AF95" s="315">
        <v>108</v>
      </c>
      <c r="AG95" s="315"/>
      <c r="AH95" s="315"/>
      <c r="AI95" s="315"/>
      <c r="AJ95" s="363"/>
      <c r="AK95" s="311"/>
      <c r="AL95" s="315"/>
      <c r="AM95" s="315"/>
      <c r="AN95" s="365" t="s">
        <v>758</v>
      </c>
      <c r="AO95" s="311">
        <v>45964</v>
      </c>
      <c r="AP95" s="314"/>
      <c r="AQ95" s="366"/>
      <c r="AR95" s="314"/>
      <c r="AS95" s="311"/>
      <c r="AT95" s="318"/>
      <c r="AU95" s="318"/>
      <c r="AV95" s="321"/>
      <c r="AW95" s="320"/>
      <c r="AX95" s="318"/>
      <c r="AY95" s="321"/>
      <c r="AZ95" s="320"/>
      <c r="BA95" s="318"/>
      <c r="BB95" s="321"/>
      <c r="BC95" s="322"/>
      <c r="BD95" s="299"/>
      <c r="BE95" s="299"/>
      <c r="BF95" s="323">
        <f t="shared" si="16"/>
        <v>45839</v>
      </c>
      <c r="BG95" s="324" t="str">
        <f t="shared" ca="1" si="11"/>
        <v>N/A</v>
      </c>
      <c r="BH95" s="299"/>
      <c r="BI95" s="325">
        <f t="shared" ca="1" si="13"/>
        <v>0</v>
      </c>
      <c r="BJ95" s="299"/>
      <c r="BK95" s="325">
        <f t="shared" ca="1" si="14"/>
        <v>0</v>
      </c>
      <c r="BL95" s="299"/>
      <c r="BM95" s="326"/>
      <c r="BN95" s="360"/>
      <c r="BO95" s="327" t="s">
        <v>220</v>
      </c>
      <c r="BP95" s="327" t="s">
        <v>376</v>
      </c>
      <c r="BQ95" s="328" t="s">
        <v>21</v>
      </c>
      <c r="BR95" s="329" t="s">
        <v>1092</v>
      </c>
      <c r="BS95" s="331"/>
      <c r="BT95" s="327"/>
      <c r="BU95" s="327"/>
      <c r="BV95" s="327"/>
      <c r="BW95" s="331"/>
      <c r="BX95" s="302">
        <v>45964</v>
      </c>
      <c r="BY95" s="302"/>
      <c r="BZ95" s="302"/>
      <c r="CA95" s="295"/>
      <c r="CB95" s="332"/>
      <c r="CC95" s="332"/>
      <c r="CD95" s="332"/>
      <c r="CE95" s="333">
        <v>45851</v>
      </c>
      <c r="CF95" s="334" t="str">
        <f t="shared" si="10"/>
        <v/>
      </c>
    </row>
    <row r="96" spans="1:84" s="334" customFormat="1" ht="409.5" hidden="1" customHeight="1">
      <c r="A96" s="373">
        <v>82</v>
      </c>
      <c r="B96" s="306" t="s">
        <v>299</v>
      </c>
      <c r="C96" s="307" t="s">
        <v>759</v>
      </c>
      <c r="D96" s="308" t="s">
        <v>760</v>
      </c>
      <c r="E96" s="309" t="str" cm="1">
        <f t="array" ref="E96">IFERROR(LOOKUP(2,1/('[1]Contracts Log'!$F:$F=$D96),'[1]Contracts Log'!$G:$G),"")</f>
        <v>1.TB.01.009.01</v>
      </c>
      <c r="F96" s="309" t="str" cm="1">
        <f t="array" ref="F96">IFERROR(LOOKUP(2,1/('[1]Contracts Log'!$F:$F=$D96),'[1]Contracts Log'!$C:$C),"")</f>
        <v>Marina Hotel 3</v>
      </c>
      <c r="G96" s="309" t="str" cm="1">
        <f t="array" ref="G96">IFERROR(LOOKUP(2,1/('[1]Contracts Log'!$F:$F=$D96),'[1]Contracts Log'!$K:$K),"")</f>
        <v>Building Envelope Limestone Works for Marina Hotel 3</v>
      </c>
      <c r="H96" s="309" t="str" cm="1">
        <f t="array" ref="H96">IFERROR(LOOKUP(2,1/('[1]Contracts Log'!$F:$F=$D96),'[1]Contracts Log'!$J:$J),"")</f>
        <v>Deemahstone Arabia</v>
      </c>
      <c r="I96" s="310">
        <v>1</v>
      </c>
      <c r="J96" s="310"/>
      <c r="K96" s="310"/>
      <c r="L96" s="310"/>
      <c r="M96" s="310"/>
      <c r="N96" s="310"/>
      <c r="O96" s="304"/>
      <c r="P96" s="416"/>
      <c r="Q96" s="304"/>
      <c r="R96" s="416"/>
      <c r="S96" s="417"/>
      <c r="T96" s="416"/>
      <c r="U96" s="304"/>
      <c r="V96" s="335" t="s">
        <v>761</v>
      </c>
      <c r="W96" s="240">
        <v>45848</v>
      </c>
      <c r="X96" s="417"/>
      <c r="Y96" s="417"/>
      <c r="Z96" s="335" t="s">
        <v>762</v>
      </c>
      <c r="AA96" s="240">
        <v>45866</v>
      </c>
      <c r="AB96" s="240"/>
      <c r="AC96" s="240"/>
      <c r="AD96" s="335" t="s">
        <v>763</v>
      </c>
      <c r="AE96" s="240">
        <v>46238</v>
      </c>
      <c r="AF96" s="315"/>
      <c r="AG96" s="315"/>
      <c r="AH96" s="315"/>
      <c r="AI96" s="315"/>
      <c r="AJ96" s="363"/>
      <c r="AK96" s="311"/>
      <c r="AL96" s="315"/>
      <c r="AM96" s="315"/>
      <c r="AN96" s="365"/>
      <c r="AO96" s="311"/>
      <c r="AP96" s="314"/>
      <c r="AQ96" s="366"/>
      <c r="AR96" s="314"/>
      <c r="AS96" s="311"/>
      <c r="AT96" s="318"/>
      <c r="AU96" s="318"/>
      <c r="AV96" s="321"/>
      <c r="AW96" s="320"/>
      <c r="AX96" s="318"/>
      <c r="AY96" s="321"/>
      <c r="AZ96" s="320"/>
      <c r="BA96" s="318"/>
      <c r="BB96" s="321"/>
      <c r="BC96" s="322"/>
      <c r="BD96" s="299"/>
      <c r="BE96" s="299"/>
      <c r="BF96" s="323">
        <f t="shared" si="16"/>
        <v>46238</v>
      </c>
      <c r="BG96" s="324">
        <f t="shared" ca="1" si="11"/>
        <v>62</v>
      </c>
      <c r="BH96" s="299"/>
      <c r="BI96" s="325">
        <f t="shared" ca="1" si="13"/>
        <v>0</v>
      </c>
      <c r="BJ96" s="299"/>
      <c r="BK96" s="325">
        <f t="shared" ca="1" si="14"/>
        <v>0</v>
      </c>
      <c r="BL96" s="299"/>
      <c r="BM96" s="326"/>
      <c r="BN96" s="360"/>
      <c r="BO96" s="327" t="s">
        <v>437</v>
      </c>
      <c r="BP96" s="327" t="s">
        <v>20</v>
      </c>
      <c r="BQ96" s="328" t="s">
        <v>43</v>
      </c>
      <c r="BR96" s="329" t="s">
        <v>764</v>
      </c>
      <c r="BS96" s="331"/>
      <c r="BT96" s="327"/>
      <c r="BU96" s="327"/>
      <c r="BV96" s="327"/>
      <c r="BW96" s="331"/>
      <c r="BX96" s="302"/>
      <c r="BY96" s="302"/>
      <c r="BZ96" s="302"/>
      <c r="CA96" s="295"/>
      <c r="CB96" s="332"/>
      <c r="CC96" s="332"/>
      <c r="CD96" s="332"/>
      <c r="CE96" s="333">
        <v>45851</v>
      </c>
      <c r="CF96" s="334" t="str">
        <f t="shared" si="10"/>
        <v/>
      </c>
    </row>
    <row r="97" spans="1:85" s="334" customFormat="1" ht="409.5" hidden="1" customHeight="1">
      <c r="A97" s="373">
        <v>83</v>
      </c>
      <c r="B97" s="306" t="s">
        <v>299</v>
      </c>
      <c r="C97" s="307" t="s">
        <v>765</v>
      </c>
      <c r="D97" s="308" t="s">
        <v>766</v>
      </c>
      <c r="E97" s="309" t="str" cm="1">
        <f t="array" ref="E97">IFERROR(LOOKUP(2,1/('[1]Contracts Log'!$F:$F=$D97),'[1]Contracts Log'!$G:$G),"")</f>
        <v>1.TB.01.009.01</v>
      </c>
      <c r="F97" s="309" t="str" cm="1">
        <f t="array" ref="F97">IFERROR(LOOKUP(2,1/('[1]Contracts Log'!$F:$F=$D97),'[1]Contracts Log'!$C:$C),"")</f>
        <v>Marina Hotel 3</v>
      </c>
      <c r="G97" s="309" t="str" cm="1">
        <f t="array" ref="G97">IFERROR(LOOKUP(2,1/('[1]Contracts Log'!$F:$F=$D97),'[1]Contracts Log'!$K:$K),"")</f>
        <v>Aluminium &amp; Glazing Works for Marina Hotel 3</v>
      </c>
      <c r="H97" s="309" t="str" cm="1">
        <f t="array" ref="H97">IFERROR(LOOKUP(2,1/('[1]Contracts Log'!$F:$F=$D97),'[1]Contracts Log'!$J:$J),"")</f>
        <v>Aluminium Technology Auxiliary Industries (Alutec) WLL</v>
      </c>
      <c r="I97" s="310">
        <v>1</v>
      </c>
      <c r="J97" s="310"/>
      <c r="K97" s="310"/>
      <c r="L97" s="310"/>
      <c r="M97" s="310"/>
      <c r="N97" s="310"/>
      <c r="O97" s="304"/>
      <c r="P97" s="416"/>
      <c r="Q97" s="304"/>
      <c r="R97" s="416"/>
      <c r="S97" s="417"/>
      <c r="T97" s="416"/>
      <c r="U97" s="304"/>
      <c r="V97" s="335" t="s">
        <v>767</v>
      </c>
      <c r="W97" s="240">
        <v>45852</v>
      </c>
      <c r="X97" s="417"/>
      <c r="Y97" s="417"/>
      <c r="Z97" s="335" t="s">
        <v>768</v>
      </c>
      <c r="AA97" s="240">
        <v>45938</v>
      </c>
      <c r="AB97" s="240"/>
      <c r="AC97" s="240"/>
      <c r="AD97" s="335" t="s">
        <v>769</v>
      </c>
      <c r="AE97" s="240">
        <v>46212</v>
      </c>
      <c r="AF97" s="410">
        <v>183</v>
      </c>
      <c r="AG97" s="315"/>
      <c r="AH97" s="315"/>
      <c r="AI97" s="315"/>
      <c r="AJ97" s="363"/>
      <c r="AK97" s="311"/>
      <c r="AL97" s="315"/>
      <c r="AM97" s="315"/>
      <c r="AN97" s="365"/>
      <c r="AO97" s="311"/>
      <c r="AP97" s="314"/>
      <c r="AQ97" s="366"/>
      <c r="AR97" s="314"/>
      <c r="AS97" s="311"/>
      <c r="AT97" s="318"/>
      <c r="AU97" s="318"/>
      <c r="AV97" s="321"/>
      <c r="AW97" s="320"/>
      <c r="AX97" s="318"/>
      <c r="AY97" s="321"/>
      <c r="AZ97" s="320"/>
      <c r="BA97" s="318"/>
      <c r="BB97" s="321"/>
      <c r="BC97" s="322"/>
      <c r="BD97" s="299"/>
      <c r="BE97" s="299"/>
      <c r="BF97" s="323">
        <f t="shared" si="16"/>
        <v>46212</v>
      </c>
      <c r="BG97" s="324">
        <f t="shared" ca="1" si="11"/>
        <v>0</v>
      </c>
      <c r="BH97" s="299"/>
      <c r="BI97" s="325">
        <f t="shared" ca="1" si="13"/>
        <v>0</v>
      </c>
      <c r="BJ97" s="299"/>
      <c r="BK97" s="325">
        <f t="shared" ca="1" si="14"/>
        <v>0</v>
      </c>
      <c r="BL97" s="299"/>
      <c r="BM97" s="326"/>
      <c r="BN97" s="360"/>
      <c r="BO97" s="327" t="s">
        <v>437</v>
      </c>
      <c r="BP97" s="327" t="s">
        <v>20</v>
      </c>
      <c r="BQ97" s="328" t="s">
        <v>37</v>
      </c>
      <c r="BR97" s="329" t="s">
        <v>770</v>
      </c>
      <c r="BS97" s="331"/>
      <c r="BT97" s="327" t="s">
        <v>660</v>
      </c>
      <c r="BU97" s="327"/>
      <c r="BV97" s="327"/>
      <c r="BW97" s="331"/>
      <c r="BX97" s="302"/>
      <c r="BY97" s="302"/>
      <c r="BZ97" s="302"/>
      <c r="CA97" s="295"/>
      <c r="CB97" s="332"/>
      <c r="CC97" s="332"/>
      <c r="CD97" s="332"/>
      <c r="CE97" s="333">
        <v>45865</v>
      </c>
      <c r="CF97" s="334" t="str">
        <f t="shared" si="10"/>
        <v/>
      </c>
    </row>
    <row r="98" spans="1:85" s="334" customFormat="1" ht="363" hidden="1" customHeight="1">
      <c r="A98" s="373">
        <v>84</v>
      </c>
      <c r="B98" s="306" t="s">
        <v>299</v>
      </c>
      <c r="C98" s="307" t="s">
        <v>771</v>
      </c>
      <c r="D98" s="308" t="s">
        <v>772</v>
      </c>
      <c r="E98" s="309" t="str" cm="1">
        <f t="array" ref="E98">IFERROR(LOOKUP(2,1/('[1]Contracts Log'!$F:$F=$D98),'[1]Contracts Log'!$G:$G),"")</f>
        <v>1.TB.01.031.01</v>
      </c>
      <c r="F98" s="309" t="str" cm="1">
        <f t="array" ref="F98">IFERROR(LOOKUP(2,1/('[1]Contracts Log'!$F:$F=$D98),'[1]Contracts Log'!$C:$C),"")</f>
        <v>The Marina</v>
      </c>
      <c r="G98" s="309" t="str" cm="1">
        <f t="array" ref="G98">IFERROR(LOOKUP(2,1/('[1]Contracts Log'!$F:$F=$D98),'[1]Contracts Log'!$K:$K),"")</f>
        <v>Constructing Boardwalks &amp; Jetties for Hijaz Island at Amaala
Development</v>
      </c>
      <c r="H98" s="309" t="str" cm="1">
        <f t="array" ref="H98">IFERROR(LOOKUP(2,1/('[1]Contracts Log'!$F:$F=$D98),'[1]Contracts Log'!$J:$J),"")</f>
        <v>Elmar Marinas Khaleej LLC</v>
      </c>
      <c r="I98" s="310">
        <v>1</v>
      </c>
      <c r="J98" s="310"/>
      <c r="K98" s="310"/>
      <c r="L98" s="310"/>
      <c r="M98" s="310"/>
      <c r="N98" s="310"/>
      <c r="O98" s="304"/>
      <c r="P98" s="416"/>
      <c r="Q98" s="304"/>
      <c r="R98" s="416"/>
      <c r="S98" s="417"/>
      <c r="T98" s="416"/>
      <c r="U98" s="304"/>
      <c r="V98" s="335" t="s">
        <v>773</v>
      </c>
      <c r="W98" s="240">
        <v>45860</v>
      </c>
      <c r="X98" s="417"/>
      <c r="Y98" s="417"/>
      <c r="Z98" s="335" t="s">
        <v>774</v>
      </c>
      <c r="AA98" s="240">
        <v>45875</v>
      </c>
      <c r="AB98" s="240"/>
      <c r="AC98" s="240"/>
      <c r="AD98" s="335" t="s">
        <v>775</v>
      </c>
      <c r="AE98" s="240">
        <v>45890</v>
      </c>
      <c r="AF98" s="315">
        <v>94</v>
      </c>
      <c r="AG98" s="315"/>
      <c r="AH98" s="315"/>
      <c r="AI98" s="315"/>
      <c r="AJ98" s="363"/>
      <c r="AK98" s="311"/>
      <c r="AL98" s="315"/>
      <c r="AM98" s="315"/>
      <c r="AN98" s="365" t="s">
        <v>776</v>
      </c>
      <c r="AO98" s="311">
        <v>45999</v>
      </c>
      <c r="AP98" s="314"/>
      <c r="AQ98" s="366"/>
      <c r="AR98" s="314"/>
      <c r="AS98" s="311"/>
      <c r="AT98" s="318"/>
      <c r="AU98" s="318"/>
      <c r="AV98" s="321"/>
      <c r="AW98" s="320"/>
      <c r="AX98" s="318"/>
      <c r="AY98" s="321"/>
      <c r="AZ98" s="320"/>
      <c r="BA98" s="318"/>
      <c r="BB98" s="321"/>
      <c r="BC98" s="322"/>
      <c r="BD98" s="299"/>
      <c r="BE98" s="299"/>
      <c r="BF98" s="323">
        <f t="shared" si="16"/>
        <v>45890</v>
      </c>
      <c r="BG98" s="324" t="str">
        <f t="shared" ca="1" si="11"/>
        <v>N/A</v>
      </c>
      <c r="BH98" s="299"/>
      <c r="BI98" s="325">
        <f t="shared" ca="1" si="13"/>
        <v>0</v>
      </c>
      <c r="BJ98" s="299"/>
      <c r="BK98" s="325">
        <f t="shared" ca="1" si="14"/>
        <v>0</v>
      </c>
      <c r="BL98" s="299"/>
      <c r="BM98" s="326"/>
      <c r="BN98" s="360"/>
      <c r="BO98" s="327" t="s">
        <v>220</v>
      </c>
      <c r="BP98" s="327" t="s">
        <v>376</v>
      </c>
      <c r="BQ98" s="328" t="s">
        <v>21</v>
      </c>
      <c r="BR98" s="329" t="s">
        <v>777</v>
      </c>
      <c r="BS98" s="331"/>
      <c r="BT98" s="327"/>
      <c r="BU98" s="327"/>
      <c r="BV98" s="327"/>
      <c r="BW98" s="331"/>
      <c r="BX98" s="302">
        <v>45999</v>
      </c>
      <c r="BY98" s="302"/>
      <c r="BZ98" s="302"/>
      <c r="CA98" s="295"/>
      <c r="CB98" s="332"/>
      <c r="CC98" s="332"/>
      <c r="CD98" s="332"/>
      <c r="CE98" s="333">
        <v>45880</v>
      </c>
      <c r="CF98" s="334" t="str">
        <f t="shared" si="10"/>
        <v/>
      </c>
    </row>
    <row r="99" spans="1:85" s="334" customFormat="1" ht="168.75" hidden="1" customHeight="1">
      <c r="A99" s="373">
        <v>85</v>
      </c>
      <c r="B99" s="306" t="s">
        <v>310</v>
      </c>
      <c r="C99" s="307" t="s">
        <v>778</v>
      </c>
      <c r="D99" s="308" t="s">
        <v>349</v>
      </c>
      <c r="E99" s="309" t="str" cm="1">
        <f t="array" ref="E99">IFERROR(LOOKUP(2,1/('[1]Contracts Log'!$F:$F=$D99),'[1]Contracts Log'!$G:$G),"")</f>
        <v>1.TB.01.005.01</v>
      </c>
      <c r="F99" s="309" t="str" cm="1">
        <f t="array" ref="F99">IFERROR(LOOKUP(2,1/('[1]Contracts Log'!$F:$F=$D99),'[1]Contracts Log'!$C:$C),"")</f>
        <v>Red Sea Marine Life Institute</v>
      </c>
      <c r="G99" s="309" t="str" cm="1">
        <f t="array" ref="G99">IFERROR(LOOKUP(2,1/('[1]Contracts Log'!$F:$F=$D99),'[1]Contracts Log'!$K:$K),"")</f>
        <v>Construction Contract - Structural Concrete, Wet Trades, Dewatering, Earthworks &amp; BOH Finishes</v>
      </c>
      <c r="H99" s="309" t="str" cm="1">
        <f t="array" ref="H99">IFERROR(LOOKUP(2,1/('[1]Contracts Log'!$F:$F=$D99),'[1]Contracts Log'!$J:$J),"")</f>
        <v>Saudi Arabian Baytur Construction Company</v>
      </c>
      <c r="I99" s="310"/>
      <c r="J99" s="310"/>
      <c r="K99" s="310"/>
      <c r="L99" s="310"/>
      <c r="M99" s="310"/>
      <c r="N99" s="310">
        <v>1</v>
      </c>
      <c r="O99" s="304"/>
      <c r="P99" s="416"/>
      <c r="Q99" s="304"/>
      <c r="R99" s="416"/>
      <c r="S99" s="417"/>
      <c r="T99" s="416"/>
      <c r="U99" s="304"/>
      <c r="V99" s="335" t="s">
        <v>779</v>
      </c>
      <c r="W99" s="240">
        <v>45872</v>
      </c>
      <c r="X99" s="417"/>
      <c r="Y99" s="417"/>
      <c r="Z99" s="335"/>
      <c r="AA99" s="335" t="s">
        <v>305</v>
      </c>
      <c r="AB99" s="335"/>
      <c r="AC99" s="335"/>
      <c r="AD99" s="335"/>
      <c r="AE99" s="240"/>
      <c r="AF99" s="313">
        <v>128</v>
      </c>
      <c r="AG99" s="313"/>
      <c r="AH99" s="313"/>
      <c r="AI99" s="313"/>
      <c r="AJ99" s="336"/>
      <c r="AK99" s="320"/>
      <c r="AL99" s="313"/>
      <c r="AM99" s="313"/>
      <c r="AN99" s="351"/>
      <c r="AO99" s="320"/>
      <c r="AP99" s="321"/>
      <c r="AQ99" s="352"/>
      <c r="AR99" s="321"/>
      <c r="AS99" s="320"/>
      <c r="AT99" s="340">
        <v>2987485.2</v>
      </c>
      <c r="AU99" s="341"/>
      <c r="AV99" s="314"/>
      <c r="AW99" s="311"/>
      <c r="AX99" s="341"/>
      <c r="AY99" s="365" t="s">
        <v>305</v>
      </c>
      <c r="AZ99" s="365" t="s">
        <v>305</v>
      </c>
      <c r="BA99" s="341"/>
      <c r="BB99" s="314"/>
      <c r="BC99" s="364"/>
      <c r="BD99" s="299"/>
      <c r="BE99" s="299"/>
      <c r="BF99" s="323">
        <f t="shared" si="16"/>
        <v>45872</v>
      </c>
      <c r="BG99" s="324" t="str">
        <f t="shared" ca="1" si="11"/>
        <v>N/A</v>
      </c>
      <c r="BH99" s="299"/>
      <c r="BI99" s="325" t="str">
        <f t="shared" ca="1" si="13"/>
        <v>N/A</v>
      </c>
      <c r="BJ99" s="299"/>
      <c r="BK99" s="325">
        <f t="shared" ca="1" si="14"/>
        <v>0</v>
      </c>
      <c r="BL99" s="299"/>
      <c r="BM99" s="326"/>
      <c r="BN99" s="360"/>
      <c r="BO99" s="327" t="s">
        <v>354</v>
      </c>
      <c r="BP99" s="327" t="s">
        <v>354</v>
      </c>
      <c r="BQ99" s="328" t="s">
        <v>21</v>
      </c>
      <c r="BR99" s="329" t="s">
        <v>780</v>
      </c>
      <c r="BS99" s="331"/>
      <c r="BT99" s="327"/>
      <c r="BU99" s="327"/>
      <c r="BV99" s="327"/>
      <c r="BW99" s="331"/>
      <c r="BX99" s="302">
        <v>45978</v>
      </c>
      <c r="BY99" s="302"/>
      <c r="BZ99" s="302"/>
      <c r="CA99" s="295"/>
      <c r="CB99" s="332"/>
      <c r="CC99" s="332"/>
      <c r="CD99" s="332"/>
      <c r="CE99" s="333">
        <v>45880</v>
      </c>
      <c r="CF99" s="334" t="str">
        <f t="shared" si="10"/>
        <v/>
      </c>
    </row>
    <row r="100" spans="1:85" s="334" customFormat="1" ht="409.5" hidden="1" customHeight="1">
      <c r="A100" s="373">
        <v>86</v>
      </c>
      <c r="B100" s="306" t="s">
        <v>299</v>
      </c>
      <c r="C100" s="307" t="s">
        <v>781</v>
      </c>
      <c r="D100" s="308" t="s">
        <v>782</v>
      </c>
      <c r="E100" s="309" t="str" cm="1">
        <f t="array" ref="E100">IFERROR(LOOKUP(2,1/('[1]Contracts Log'!$F:$F=$D100),'[1]Contracts Log'!$G:$G),"")</f>
        <v>1.TB.01.006.99</v>
      </c>
      <c r="F100" s="309" t="str" cm="1">
        <f t="array" ref="F100">IFERROR(LOOKUP(2,1/('[1]Contracts Log'!$F:$F=$D100),'[1]Contracts Log'!$C:$C),"")</f>
        <v>Village Boutique Hotel</v>
      </c>
      <c r="G100" s="309" t="str" cm="1">
        <f t="array" ref="G100">IFERROR(LOOKUP(2,1/('[1]Contracts Log'!$F:$F=$D100),'[1]Contracts Log'!$K:$K),"")</f>
        <v xml:space="preserve">Fit out works for Village Boutique Hotel </v>
      </c>
      <c r="H100" s="309" t="str" cm="1">
        <f t="array" ref="H100">IFERROR(LOOKUP(2,1/('[1]Contracts Log'!$F:$F=$D100),'[1]Contracts Log'!$J:$J),"")</f>
        <v>DEPA Saudi Arabia for Contracting and Interior Decoration Co. Ltd</v>
      </c>
      <c r="I100" s="310">
        <v>1</v>
      </c>
      <c r="J100" s="310"/>
      <c r="K100" s="310"/>
      <c r="L100" s="310"/>
      <c r="M100" s="310"/>
      <c r="N100" s="310"/>
      <c r="O100" s="304"/>
      <c r="P100" s="416"/>
      <c r="Q100" s="304"/>
      <c r="R100" s="416"/>
      <c r="S100" s="417"/>
      <c r="T100" s="416"/>
      <c r="U100" s="304"/>
      <c r="V100" s="335" t="s">
        <v>783</v>
      </c>
      <c r="W100" s="240">
        <v>45862</v>
      </c>
      <c r="X100" s="417"/>
      <c r="Y100" s="417"/>
      <c r="Z100" s="335"/>
      <c r="AA100" s="335" t="s">
        <v>305</v>
      </c>
      <c r="AB100" s="335"/>
      <c r="AC100" s="335"/>
      <c r="AD100" s="335" t="s">
        <v>784</v>
      </c>
      <c r="AE100" s="240">
        <v>45979</v>
      </c>
      <c r="AF100" s="315">
        <v>139</v>
      </c>
      <c r="AG100" s="315"/>
      <c r="AH100" s="315"/>
      <c r="AI100" s="315"/>
      <c r="AJ100" s="363"/>
      <c r="AK100" s="311"/>
      <c r="AL100" s="315"/>
      <c r="AM100" s="315"/>
      <c r="AN100" s="363" t="s">
        <v>785</v>
      </c>
      <c r="AO100" s="311">
        <v>46058</v>
      </c>
      <c r="AP100" s="314"/>
      <c r="AQ100" s="366"/>
      <c r="AR100" s="314"/>
      <c r="AS100" s="311"/>
      <c r="AT100" s="318"/>
      <c r="AU100" s="318"/>
      <c r="AV100" s="321"/>
      <c r="AW100" s="320"/>
      <c r="AX100" s="318"/>
      <c r="AY100" s="321"/>
      <c r="AZ100" s="320"/>
      <c r="BA100" s="318"/>
      <c r="BB100" s="321"/>
      <c r="BC100" s="322"/>
      <c r="BD100" s="299"/>
      <c r="BE100" s="299"/>
      <c r="BF100" s="323">
        <f t="shared" si="16"/>
        <v>45979</v>
      </c>
      <c r="BG100" s="324">
        <f t="shared" ca="1" si="11"/>
        <v>0</v>
      </c>
      <c r="BH100" s="299"/>
      <c r="BI100" s="325">
        <f t="shared" ca="1" si="13"/>
        <v>0</v>
      </c>
      <c r="BJ100" s="299"/>
      <c r="BK100" s="325">
        <f t="shared" ca="1" si="14"/>
        <v>0</v>
      </c>
      <c r="BL100" s="299"/>
      <c r="BM100" s="326"/>
      <c r="BN100" s="360"/>
      <c r="BO100" s="327" t="s">
        <v>220</v>
      </c>
      <c r="BP100" s="327" t="s">
        <v>20</v>
      </c>
      <c r="BQ100" s="328" t="s">
        <v>37</v>
      </c>
      <c r="BR100" s="329" t="s">
        <v>786</v>
      </c>
      <c r="BS100" s="331"/>
      <c r="BT100" s="327" t="s">
        <v>660</v>
      </c>
      <c r="BU100" s="327"/>
      <c r="BV100" s="327"/>
      <c r="BW100" s="331"/>
      <c r="BX100" s="302">
        <v>46054</v>
      </c>
      <c r="BY100" s="302"/>
      <c r="BZ100" s="302"/>
      <c r="CA100" s="295"/>
      <c r="CB100" s="332"/>
      <c r="CC100" s="332"/>
      <c r="CD100" s="332"/>
      <c r="CE100" s="333">
        <v>45880</v>
      </c>
      <c r="CF100" s="334" t="str">
        <f t="shared" si="10"/>
        <v/>
      </c>
      <c r="CG100" s="425"/>
    </row>
    <row r="101" spans="1:85" s="334" customFormat="1" ht="409.5" hidden="1" customHeight="1">
      <c r="A101" s="373">
        <v>87</v>
      </c>
      <c r="B101" s="306" t="s">
        <v>299</v>
      </c>
      <c r="C101" s="307" t="s">
        <v>787</v>
      </c>
      <c r="D101" s="308" t="s">
        <v>788</v>
      </c>
      <c r="E101" s="309" t="str" cm="1">
        <f t="array" ref="E101">IFERROR(LOOKUP(2,1/('[1]Contracts Log'!$F:$F=$D101),'[1]Contracts Log'!$G:$G),"")</f>
        <v>1.TB.01.009.01</v>
      </c>
      <c r="F101" s="309" t="str" cm="1">
        <f t="array" ref="F101">IFERROR(LOOKUP(2,1/('[1]Contracts Log'!$F:$F=$D101),'[1]Contracts Log'!$C:$C),"")</f>
        <v>Marina Hotel 3</v>
      </c>
      <c r="G101" s="309" t="str" cm="1">
        <f t="array" ref="G101">IFERROR(LOOKUP(2,1/('[1]Contracts Log'!$F:$F=$D101),'[1]Contracts Log'!$K:$K),"")</f>
        <v>ICT/ELV Works for Marina Hotel 3 at Triple Bay Amaala</v>
      </c>
      <c r="H101" s="309" t="str" cm="1">
        <f t="array" ref="H101">IFERROR(LOOKUP(2,1/('[1]Contracts Log'!$F:$F=$D101),'[1]Contracts Log'!$J:$J),"")</f>
        <v>Saudi Business Machines LTD</v>
      </c>
      <c r="I101" s="310">
        <v>1</v>
      </c>
      <c r="J101" s="310"/>
      <c r="K101" s="310"/>
      <c r="L101" s="310"/>
      <c r="M101" s="310"/>
      <c r="N101" s="310"/>
      <c r="O101" s="304"/>
      <c r="P101" s="416"/>
      <c r="Q101" s="304"/>
      <c r="R101" s="416"/>
      <c r="S101" s="417"/>
      <c r="T101" s="416"/>
      <c r="U101" s="304"/>
      <c r="V101" s="335" t="s">
        <v>789</v>
      </c>
      <c r="W101" s="240">
        <v>45887</v>
      </c>
      <c r="X101" s="417"/>
      <c r="Y101" s="417"/>
      <c r="Z101" s="335" t="s">
        <v>790</v>
      </c>
      <c r="AA101" s="426">
        <v>45999</v>
      </c>
      <c r="AB101" s="426"/>
      <c r="AC101" s="426"/>
      <c r="AD101" s="335"/>
      <c r="AE101" s="240"/>
      <c r="AF101" s="315">
        <v>158</v>
      </c>
      <c r="AG101" s="315"/>
      <c r="AH101" s="315"/>
      <c r="AI101" s="315"/>
      <c r="AJ101" s="363"/>
      <c r="AK101" s="311"/>
      <c r="AL101" s="315"/>
      <c r="AM101" s="315"/>
      <c r="AN101" s="365"/>
      <c r="AO101" s="311"/>
      <c r="AP101" s="314"/>
      <c r="AQ101" s="366"/>
      <c r="AR101" s="314"/>
      <c r="AS101" s="311"/>
      <c r="AT101" s="318"/>
      <c r="AU101" s="318"/>
      <c r="AV101" s="321"/>
      <c r="AW101" s="320"/>
      <c r="AX101" s="318"/>
      <c r="AY101" s="321"/>
      <c r="AZ101" s="320"/>
      <c r="BA101" s="318"/>
      <c r="BB101" s="321"/>
      <c r="BC101" s="322"/>
      <c r="BD101" s="299"/>
      <c r="BE101" s="299"/>
      <c r="BF101" s="323">
        <f t="shared" si="16"/>
        <v>45887</v>
      </c>
      <c r="BG101" s="324">
        <f t="shared" ca="1" si="11"/>
        <v>0</v>
      </c>
      <c r="BH101" s="299"/>
      <c r="BI101" s="325">
        <f t="shared" ca="1" si="13"/>
        <v>0</v>
      </c>
      <c r="BJ101" s="299"/>
      <c r="BK101" s="325">
        <f t="shared" ca="1" si="14"/>
        <v>0</v>
      </c>
      <c r="BL101" s="299"/>
      <c r="BM101" s="326"/>
      <c r="BN101" s="360"/>
      <c r="BO101" s="327" t="s">
        <v>437</v>
      </c>
      <c r="BP101" s="327" t="s">
        <v>20</v>
      </c>
      <c r="BQ101" s="328" t="s">
        <v>37</v>
      </c>
      <c r="BR101" s="329" t="s">
        <v>791</v>
      </c>
      <c r="BS101" s="331"/>
      <c r="BT101" s="327" t="s">
        <v>660</v>
      </c>
      <c r="BU101" s="327"/>
      <c r="BV101" s="327"/>
      <c r="BW101" s="331"/>
      <c r="BX101" s="302"/>
      <c r="BY101" s="302"/>
      <c r="BZ101" s="302"/>
      <c r="CA101" s="295"/>
      <c r="CB101" s="332"/>
      <c r="CC101" s="332"/>
      <c r="CD101" s="332"/>
      <c r="CE101" s="333">
        <v>45895</v>
      </c>
      <c r="CF101" s="334" t="str">
        <f t="shared" si="10"/>
        <v/>
      </c>
    </row>
    <row r="102" spans="1:85" s="334" customFormat="1" ht="409.5" hidden="1" customHeight="1">
      <c r="A102" s="414">
        <v>88</v>
      </c>
      <c r="B102" s="306" t="s">
        <v>299</v>
      </c>
      <c r="C102" s="307" t="s">
        <v>792</v>
      </c>
      <c r="D102" s="308" t="s">
        <v>793</v>
      </c>
      <c r="E102" s="309" t="str" cm="1">
        <f t="array" ref="E102">IFERROR(LOOKUP(2,1/('[1]Contracts Log'!$F:$F=$D102),'[1]Contracts Log'!$G:$G),"")</f>
        <v>1.TB.01.009.01</v>
      </c>
      <c r="F102" s="309" t="str" cm="1">
        <f t="array" ref="F102">IFERROR(LOOKUP(2,1/('[1]Contracts Log'!$F:$F=$D102),'[1]Contracts Log'!$C:$C),"")</f>
        <v>Marina Hotel 3</v>
      </c>
      <c r="G102" s="309" t="str" cm="1">
        <f t="array" ref="G102">IFERROR(LOOKUP(2,1/('[1]Contracts Log'!$F:$F=$D102),'[1]Contracts Log'!$K:$K),"")</f>
        <v>Softscape Works for Marina Hotel 3</v>
      </c>
      <c r="H102" s="309" t="str" cm="1">
        <f t="array" ref="H102">IFERROR(LOOKUP(2,1/('[1]Contracts Log'!$F:$F=$D102),'[1]Contracts Log'!$J:$J),"")</f>
        <v>Saudi SALCO Contracting Co</v>
      </c>
      <c r="I102" s="310">
        <v>1</v>
      </c>
      <c r="J102" s="310"/>
      <c r="K102" s="310"/>
      <c r="L102" s="310"/>
      <c r="M102" s="310"/>
      <c r="N102" s="310"/>
      <c r="O102" s="304"/>
      <c r="P102" s="416"/>
      <c r="Q102" s="304"/>
      <c r="R102" s="416"/>
      <c r="S102" s="417"/>
      <c r="T102" s="416"/>
      <c r="U102" s="304"/>
      <c r="V102" s="335" t="s">
        <v>794</v>
      </c>
      <c r="W102" s="240">
        <v>45886</v>
      </c>
      <c r="X102" s="417"/>
      <c r="Y102" s="417"/>
      <c r="Z102" s="335" t="s">
        <v>795</v>
      </c>
      <c r="AA102" s="240">
        <v>45936</v>
      </c>
      <c r="AB102" s="240"/>
      <c r="AC102" s="240"/>
      <c r="AD102" s="335" t="s">
        <v>796</v>
      </c>
      <c r="AE102" s="240">
        <v>45959</v>
      </c>
      <c r="AF102" s="315"/>
      <c r="AG102" s="315"/>
      <c r="AH102" s="315"/>
      <c r="AI102" s="315"/>
      <c r="AJ102" s="363"/>
      <c r="AK102" s="311"/>
      <c r="AL102" s="315"/>
      <c r="AM102" s="315"/>
      <c r="AN102" s="365"/>
      <c r="AO102" s="311"/>
      <c r="AP102" s="314"/>
      <c r="AQ102" s="366"/>
      <c r="AR102" s="314"/>
      <c r="AS102" s="311"/>
      <c r="AT102" s="318"/>
      <c r="AU102" s="318"/>
      <c r="AV102" s="321"/>
      <c r="AW102" s="320"/>
      <c r="AX102" s="318"/>
      <c r="AY102" s="321"/>
      <c r="AZ102" s="320"/>
      <c r="BA102" s="318"/>
      <c r="BB102" s="321"/>
      <c r="BC102" s="322"/>
      <c r="BD102" s="299"/>
      <c r="BE102" s="299"/>
      <c r="BF102" s="323">
        <f t="shared" si="16"/>
        <v>45959</v>
      </c>
      <c r="BG102" s="324">
        <f t="shared" ca="1" si="11"/>
        <v>0</v>
      </c>
      <c r="BH102" s="299"/>
      <c r="BI102" s="325">
        <f t="shared" ca="1" si="13"/>
        <v>0</v>
      </c>
      <c r="BJ102" s="299"/>
      <c r="BK102" s="325">
        <f t="shared" ca="1" si="14"/>
        <v>0</v>
      </c>
      <c r="BL102" s="299"/>
      <c r="BM102" s="326"/>
      <c r="BN102" s="360"/>
      <c r="BO102" s="327" t="s">
        <v>437</v>
      </c>
      <c r="BP102" s="327" t="s">
        <v>20</v>
      </c>
      <c r="BQ102" s="328" t="s">
        <v>37</v>
      </c>
      <c r="BR102" s="329" t="s">
        <v>797</v>
      </c>
      <c r="BS102" s="331"/>
      <c r="BT102" s="327" t="s">
        <v>660</v>
      </c>
      <c r="BU102" s="327"/>
      <c r="BV102" s="327"/>
      <c r="BW102" s="331"/>
      <c r="BX102" s="302"/>
      <c r="BY102" s="302"/>
      <c r="BZ102" s="302"/>
      <c r="CA102" s="295"/>
      <c r="CB102" s="332"/>
      <c r="CC102" s="332"/>
      <c r="CD102" s="332"/>
      <c r="CE102" s="333">
        <v>45897</v>
      </c>
      <c r="CF102" s="334" t="str">
        <f t="shared" si="10"/>
        <v/>
      </c>
    </row>
    <row r="103" spans="1:85" s="334" customFormat="1" ht="409.5" hidden="1" customHeight="1">
      <c r="A103" s="414">
        <v>89</v>
      </c>
      <c r="B103" s="306" t="s">
        <v>299</v>
      </c>
      <c r="C103" s="307" t="s">
        <v>798</v>
      </c>
      <c r="D103" s="308" t="s">
        <v>799</v>
      </c>
      <c r="E103" s="309" t="str" cm="1">
        <f t="array" ref="E103">IFERROR(LOOKUP(2,1/('[1]Contracts Log'!$F:$F=$D103),'[1]Contracts Log'!$G:$G),"")</f>
        <v>1.TB.01.009.01</v>
      </c>
      <c r="F103" s="309" t="str" cm="1">
        <f t="array" ref="F103">IFERROR(LOOKUP(2,1/('[1]Contracts Log'!$F:$F=$D103),'[1]Contracts Log'!$C:$C),"")</f>
        <v>Marina Hotel 3</v>
      </c>
      <c r="G103" s="309" t="str" cm="1">
        <f t="array" ref="G103">IFERROR(LOOKUP(2,1/('[1]Contracts Log'!$F:$F=$D103),'[1]Contracts Log'!$K:$K),"")</f>
        <v>Hardscape Works for Marina Hotel 3</v>
      </c>
      <c r="H103" s="309" t="str" cm="1">
        <f t="array" ref="H103">IFERROR(LOOKUP(2,1/('[1]Contracts Log'!$F:$F=$D103),'[1]Contracts Log'!$J:$J),"")</f>
        <v>Saudi SALCO Contracting Co</v>
      </c>
      <c r="I103" s="310">
        <v>1</v>
      </c>
      <c r="J103" s="310"/>
      <c r="K103" s="310"/>
      <c r="L103" s="310"/>
      <c r="M103" s="310"/>
      <c r="N103" s="310"/>
      <c r="O103" s="304"/>
      <c r="P103" s="416"/>
      <c r="Q103" s="304"/>
      <c r="R103" s="416"/>
      <c r="S103" s="417"/>
      <c r="T103" s="416"/>
      <c r="U103" s="304"/>
      <c r="V103" s="335" t="s">
        <v>800</v>
      </c>
      <c r="W103" s="240">
        <v>45886</v>
      </c>
      <c r="X103" s="417"/>
      <c r="Y103" s="417"/>
      <c r="Z103" s="335" t="s">
        <v>801</v>
      </c>
      <c r="AA103" s="240">
        <v>45936</v>
      </c>
      <c r="AB103" s="240"/>
      <c r="AC103" s="240"/>
      <c r="AD103" s="335" t="s">
        <v>802</v>
      </c>
      <c r="AE103" s="240">
        <v>46163</v>
      </c>
      <c r="AF103" s="315"/>
      <c r="AG103" s="315"/>
      <c r="AH103" s="315"/>
      <c r="AI103" s="315"/>
      <c r="AJ103" s="363"/>
      <c r="AK103" s="311"/>
      <c r="AL103" s="315"/>
      <c r="AM103" s="315"/>
      <c r="AN103" s="365"/>
      <c r="AO103" s="311"/>
      <c r="AP103" s="314"/>
      <c r="AQ103" s="366"/>
      <c r="AR103" s="314"/>
      <c r="AS103" s="311"/>
      <c r="AT103" s="318"/>
      <c r="AU103" s="318"/>
      <c r="AV103" s="321"/>
      <c r="AW103" s="320"/>
      <c r="AX103" s="318"/>
      <c r="AY103" s="321"/>
      <c r="AZ103" s="320"/>
      <c r="BA103" s="318"/>
      <c r="BB103" s="321"/>
      <c r="BC103" s="322"/>
      <c r="BD103" s="299"/>
      <c r="BE103" s="299"/>
      <c r="BF103" s="323">
        <f t="shared" si="16"/>
        <v>46163</v>
      </c>
      <c r="BG103" s="324">
        <f t="shared" ca="1" si="11"/>
        <v>137</v>
      </c>
      <c r="BH103" s="299"/>
      <c r="BI103" s="325">
        <f t="shared" ca="1" si="13"/>
        <v>0</v>
      </c>
      <c r="BJ103" s="299"/>
      <c r="BK103" s="325">
        <f t="shared" ca="1" si="14"/>
        <v>0</v>
      </c>
      <c r="BL103" s="299"/>
      <c r="BM103" s="326"/>
      <c r="BN103" s="360"/>
      <c r="BO103" s="327" t="s">
        <v>437</v>
      </c>
      <c r="BP103" s="327" t="s">
        <v>20</v>
      </c>
      <c r="BQ103" s="328" t="s">
        <v>43</v>
      </c>
      <c r="BR103" s="329" t="s">
        <v>803</v>
      </c>
      <c r="BS103" s="331"/>
      <c r="BT103" s="327"/>
      <c r="BU103" s="327"/>
      <c r="BV103" s="327"/>
      <c r="BW103" s="331"/>
      <c r="BX103" s="302"/>
      <c r="BY103" s="302"/>
      <c r="BZ103" s="302"/>
      <c r="CA103" s="295"/>
      <c r="CB103" s="332"/>
      <c r="CC103" s="332"/>
      <c r="CD103" s="332"/>
      <c r="CE103" s="333">
        <v>45897</v>
      </c>
      <c r="CF103" s="334" t="str">
        <f t="shared" si="10"/>
        <v/>
      </c>
    </row>
    <row r="104" spans="1:85" s="334" customFormat="1" ht="409.5" hidden="1" customHeight="1">
      <c r="A104" s="373">
        <v>90</v>
      </c>
      <c r="B104" s="306" t="s">
        <v>299</v>
      </c>
      <c r="C104" s="307" t="s">
        <v>804</v>
      </c>
      <c r="D104" s="308" t="s">
        <v>577</v>
      </c>
      <c r="E104" s="309" t="str" cm="1">
        <f t="array" ref="E104">IFERROR(LOOKUP(2,1/('[1]Contracts Log'!$F:$F=$D104),'[1]Contracts Log'!$G:$G),"")</f>
        <v>1.TB.01.003.01</v>
      </c>
      <c r="F104" s="309" t="str" cm="1">
        <f t="array" ref="F104">IFERROR(LOOKUP(2,1/('[1]Contracts Log'!$F:$F=$D104),'[1]Contracts Log'!$C:$C),"")</f>
        <v xml:space="preserve">AMAALA Yacht Club </v>
      </c>
      <c r="G104" s="309" t="str" cm="1">
        <f t="array" ref="G104">IFERROR(LOOKUP(2,1/('[1]Contracts Log'!$F:$F=$D104),'[1]Contracts Log'!$K:$K),"")</f>
        <v>Fit-out works for Amaala Yacht Club</v>
      </c>
      <c r="H104" s="309" t="str" cm="1">
        <f t="array" ref="H104">IFERROR(LOOKUP(2,1/('[1]Contracts Log'!$F:$F=$D104),'[1]Contracts Log'!$J:$J),"")</f>
        <v>DEPA Saudi Arabia for Contracting and Interior Decoration Co. Ltd</v>
      </c>
      <c r="I104" s="310">
        <v>1</v>
      </c>
      <c r="J104" s="310"/>
      <c r="K104" s="310"/>
      <c r="L104" s="310"/>
      <c r="M104" s="310"/>
      <c r="N104" s="310"/>
      <c r="O104" s="304"/>
      <c r="P104" s="416"/>
      <c r="Q104" s="304"/>
      <c r="R104" s="416"/>
      <c r="S104" s="417"/>
      <c r="T104" s="416"/>
      <c r="U104" s="304"/>
      <c r="V104" s="335" t="s">
        <v>805</v>
      </c>
      <c r="W104" s="240">
        <v>45829</v>
      </c>
      <c r="X104" s="417"/>
      <c r="Y104" s="417"/>
      <c r="Z104" s="335"/>
      <c r="AA104" s="240" t="s">
        <v>305</v>
      </c>
      <c r="AB104" s="240"/>
      <c r="AC104" s="240"/>
      <c r="AD104" s="335"/>
      <c r="AE104" s="240"/>
      <c r="AF104" s="315"/>
      <c r="AG104" s="315"/>
      <c r="AH104" s="315"/>
      <c r="AI104" s="315"/>
      <c r="AJ104" s="363"/>
      <c r="AK104" s="311"/>
      <c r="AL104" s="315"/>
      <c r="AM104" s="315"/>
      <c r="AN104" s="363" t="s">
        <v>806</v>
      </c>
      <c r="AO104" s="311">
        <v>45956</v>
      </c>
      <c r="AP104" s="314"/>
      <c r="AQ104" s="366"/>
      <c r="AR104" s="314"/>
      <c r="AS104" s="311"/>
      <c r="AT104" s="318"/>
      <c r="AU104" s="318"/>
      <c r="AV104" s="321"/>
      <c r="AW104" s="320"/>
      <c r="AX104" s="318"/>
      <c r="AY104" s="321"/>
      <c r="AZ104" s="320"/>
      <c r="BA104" s="318"/>
      <c r="BB104" s="321"/>
      <c r="BC104" s="322"/>
      <c r="BD104" s="299"/>
      <c r="BE104" s="299"/>
      <c r="BF104" s="323">
        <f t="shared" si="16"/>
        <v>45829</v>
      </c>
      <c r="BG104" s="324">
        <f t="shared" ca="1" si="11"/>
        <v>471</v>
      </c>
      <c r="BH104" s="299"/>
      <c r="BI104" s="325">
        <f t="shared" ca="1" si="13"/>
        <v>0</v>
      </c>
      <c r="BJ104" s="299"/>
      <c r="BK104" s="325">
        <f t="shared" ca="1" si="14"/>
        <v>0</v>
      </c>
      <c r="BL104" s="299"/>
      <c r="BM104" s="326"/>
      <c r="BN104" s="408"/>
      <c r="BO104" s="327" t="s">
        <v>220</v>
      </c>
      <c r="BP104" s="327" t="s">
        <v>20</v>
      </c>
      <c r="BQ104" s="328" t="s">
        <v>37</v>
      </c>
      <c r="BR104" s="329" t="s">
        <v>807</v>
      </c>
      <c r="BS104" s="331"/>
      <c r="BT104" s="327"/>
      <c r="BU104" s="327"/>
      <c r="BV104" s="327"/>
      <c r="BW104" s="331"/>
      <c r="BX104" s="302">
        <v>45956</v>
      </c>
      <c r="BY104" s="302"/>
      <c r="BZ104" s="302"/>
      <c r="CA104" s="295"/>
      <c r="CB104" s="332"/>
      <c r="CC104" s="332"/>
      <c r="CD104" s="332"/>
      <c r="CE104" s="333">
        <v>45913</v>
      </c>
      <c r="CF104" s="334" t="str">
        <f t="shared" si="10"/>
        <v/>
      </c>
    </row>
    <row r="105" spans="1:85" s="334" customFormat="1" ht="68" hidden="1">
      <c r="A105" s="373">
        <v>91</v>
      </c>
      <c r="B105" s="306" t="s">
        <v>299</v>
      </c>
      <c r="C105" s="307" t="s">
        <v>808</v>
      </c>
      <c r="D105" s="308" t="s">
        <v>533</v>
      </c>
      <c r="E105" s="309" t="str" cm="1">
        <f t="array" ref="E105">IFERROR(LOOKUP(2,1/('[1]Contracts Log'!$F:$F=$D105),'[1]Contracts Log'!$G:$G),"")</f>
        <v>1.TB.01.002.99</v>
      </c>
      <c r="F105" s="309" t="str" cm="1">
        <f t="array" ref="F105">IFERROR(LOOKUP(2,1/('[1]Contracts Log'!$F:$F=$D105),'[1]Contracts Log'!$C:$C),"")</f>
        <v>Marina Lifestyle Hotel &amp; Village</v>
      </c>
      <c r="G105" s="309" t="str" cm="1">
        <f t="array" ref="G105">IFERROR(LOOKUP(2,1/('[1]Contracts Log'!$F:$F=$D105),'[1]Contracts Log'!$K:$K),"")</f>
        <v>Kitchen &amp; Laundry Works for Marina Lifestyle Hotel</v>
      </c>
      <c r="H105" s="309" t="str" cm="1">
        <f t="array" ref="H105">IFERROR(LOOKUP(2,1/('[1]Contracts Log'!$F:$F=$D105),'[1]Contracts Log'!$J:$J),"")</f>
        <v>Abdulaziz Al Raqtan and Partners Company for Trading and Industry Company</v>
      </c>
      <c r="I105" s="310">
        <v>1</v>
      </c>
      <c r="J105" s="310"/>
      <c r="K105" s="310"/>
      <c r="L105" s="310"/>
      <c r="M105" s="310"/>
      <c r="N105" s="310"/>
      <c r="O105" s="304"/>
      <c r="P105" s="416"/>
      <c r="Q105" s="304"/>
      <c r="R105" s="416"/>
      <c r="S105" s="417"/>
      <c r="T105" s="416"/>
      <c r="U105" s="304"/>
      <c r="V105" s="335" t="s">
        <v>743</v>
      </c>
      <c r="W105" s="240">
        <v>45866</v>
      </c>
      <c r="X105" s="417"/>
      <c r="Y105" s="417"/>
      <c r="Z105" s="335"/>
      <c r="AA105" s="240" t="s">
        <v>305</v>
      </c>
      <c r="AB105" s="240"/>
      <c r="AC105" s="240"/>
      <c r="AD105" s="335"/>
      <c r="AE105" s="240"/>
      <c r="AF105" s="315"/>
      <c r="AG105" s="315"/>
      <c r="AH105" s="315"/>
      <c r="AI105" s="315"/>
      <c r="AJ105" s="363"/>
      <c r="AK105" s="311"/>
      <c r="AL105" s="315"/>
      <c r="AM105" s="315"/>
      <c r="AN105" s="363" t="s">
        <v>809</v>
      </c>
      <c r="AO105" s="311">
        <v>45896</v>
      </c>
      <c r="AP105" s="314"/>
      <c r="AQ105" s="366"/>
      <c r="AR105" s="314"/>
      <c r="AS105" s="311"/>
      <c r="AT105" s="318"/>
      <c r="AU105" s="318"/>
      <c r="AV105" s="321"/>
      <c r="AW105" s="320"/>
      <c r="AX105" s="318"/>
      <c r="AY105" s="321"/>
      <c r="AZ105" s="320"/>
      <c r="BA105" s="318"/>
      <c r="BB105" s="321"/>
      <c r="BC105" s="322"/>
      <c r="BD105" s="299"/>
      <c r="BE105" s="299"/>
      <c r="BF105" s="323">
        <f t="shared" si="16"/>
        <v>45866</v>
      </c>
      <c r="BG105" s="324" t="str">
        <f t="shared" ca="1" si="11"/>
        <v>N/A</v>
      </c>
      <c r="BH105" s="299"/>
      <c r="BI105" s="325">
        <f t="shared" ca="1" si="13"/>
        <v>0</v>
      </c>
      <c r="BJ105" s="299"/>
      <c r="BK105" s="325">
        <f t="shared" ca="1" si="14"/>
        <v>0</v>
      </c>
      <c r="BL105" s="299"/>
      <c r="BM105" s="326"/>
      <c r="BN105" s="408" t="s">
        <v>702</v>
      </c>
      <c r="BO105" s="408" t="s">
        <v>363</v>
      </c>
      <c r="BP105" s="408" t="s">
        <v>376</v>
      </c>
      <c r="BQ105" s="328" t="s">
        <v>21</v>
      </c>
      <c r="BR105" s="329" t="s">
        <v>810</v>
      </c>
      <c r="BS105" s="331"/>
      <c r="BT105" s="327"/>
      <c r="BU105" s="327"/>
      <c r="BV105" s="327"/>
      <c r="BW105" s="331"/>
      <c r="BX105" s="302"/>
      <c r="BY105" s="302">
        <v>45896</v>
      </c>
      <c r="BZ105" s="302"/>
      <c r="CA105" s="295"/>
      <c r="CB105" s="332"/>
      <c r="CC105" s="332"/>
      <c r="CD105" s="332"/>
      <c r="CE105" s="333">
        <v>45895</v>
      </c>
      <c r="CF105" s="334" t="str">
        <f t="shared" si="10"/>
        <v/>
      </c>
    </row>
    <row r="106" spans="1:85" s="334" customFormat="1" ht="400.5" hidden="1" customHeight="1">
      <c r="A106" s="373">
        <v>92</v>
      </c>
      <c r="B106" s="306" t="s">
        <v>299</v>
      </c>
      <c r="C106" s="346" t="s">
        <v>811</v>
      </c>
      <c r="D106" s="427" t="s">
        <v>812</v>
      </c>
      <c r="E106" s="309" t="str" cm="1">
        <f t="array" ref="E106">IFERROR(LOOKUP(2,1/('[1]Contracts Log'!$F:$F=$D106),'[1]Contracts Log'!$G:$G),"")</f>
        <v>1.TB.01.009.01</v>
      </c>
      <c r="F106" s="309" t="str" cm="1">
        <f t="array" ref="F106">IFERROR(LOOKUP(2,1/('[1]Contracts Log'!$F:$F=$D106),'[1]Contracts Log'!$C:$C),"")</f>
        <v>Marina Hotel 3</v>
      </c>
      <c r="G106" s="309" t="str" cm="1">
        <f t="array" ref="G106">IFERROR(LOOKUP(2,1/('[1]Contracts Log'!$F:$F=$D106),'[1]Contracts Log'!$K:$K),"")</f>
        <v>Fit-Out Works Package for Marina Hotel 3</v>
      </c>
      <c r="H106" s="309" t="str" cm="1">
        <f t="array" ref="H106">IFERROR(LOOKUP(2,1/('[1]Contracts Log'!$F:$F=$D106),'[1]Contracts Log'!$J:$J),"")</f>
        <v>SADEER Alarabia Company for Contracting W.L.L.</v>
      </c>
      <c r="I106" s="310">
        <v>1</v>
      </c>
      <c r="J106" s="310"/>
      <c r="K106" s="310"/>
      <c r="L106" s="310"/>
      <c r="M106" s="310"/>
      <c r="N106" s="310"/>
      <c r="O106" s="304"/>
      <c r="P106" s="416"/>
      <c r="Q106" s="304"/>
      <c r="R106" s="416"/>
      <c r="S106" s="417"/>
      <c r="T106" s="416"/>
      <c r="U106" s="304"/>
      <c r="V106" s="335" t="s">
        <v>813</v>
      </c>
      <c r="W106" s="240">
        <v>45917</v>
      </c>
      <c r="X106" s="417"/>
      <c r="Y106" s="417"/>
      <c r="Z106" s="335" t="s">
        <v>814</v>
      </c>
      <c r="AA106" s="240">
        <v>45990</v>
      </c>
      <c r="AB106" s="317"/>
      <c r="AC106" s="240"/>
      <c r="AD106" s="317" t="s">
        <v>815</v>
      </c>
      <c r="AE106" s="240">
        <v>46058</v>
      </c>
      <c r="AF106" s="315"/>
      <c r="AG106" s="315"/>
      <c r="AH106" s="315"/>
      <c r="AI106" s="315"/>
      <c r="AJ106" s="363"/>
      <c r="AK106" s="311"/>
      <c r="AL106" s="315"/>
      <c r="AM106" s="315"/>
      <c r="AN106" s="365"/>
      <c r="AO106" s="311"/>
      <c r="AP106" s="314"/>
      <c r="AQ106" s="366"/>
      <c r="AR106" s="314"/>
      <c r="AS106" s="311"/>
      <c r="AT106" s="318"/>
      <c r="AU106" s="318"/>
      <c r="AV106" s="321"/>
      <c r="AW106" s="320"/>
      <c r="AX106" s="318"/>
      <c r="AY106" s="321"/>
      <c r="AZ106" s="320"/>
      <c r="BA106" s="318"/>
      <c r="BB106" s="321"/>
      <c r="BC106" s="322"/>
      <c r="BD106" s="299"/>
      <c r="BE106" s="299"/>
      <c r="BF106" s="323">
        <f t="shared" si="16"/>
        <v>46058</v>
      </c>
      <c r="BG106" s="324">
        <f t="shared" ca="1" si="11"/>
        <v>0</v>
      </c>
      <c r="BH106" s="299"/>
      <c r="BI106" s="325">
        <f t="shared" ca="1" si="13"/>
        <v>0</v>
      </c>
      <c r="BJ106" s="299"/>
      <c r="BK106" s="325">
        <f t="shared" ca="1" si="14"/>
        <v>0</v>
      </c>
      <c r="BL106" s="299"/>
      <c r="BM106" s="326"/>
      <c r="BN106" s="408"/>
      <c r="BO106" s="327" t="s">
        <v>437</v>
      </c>
      <c r="BP106" s="327" t="s">
        <v>20</v>
      </c>
      <c r="BQ106" s="328" t="s">
        <v>37</v>
      </c>
      <c r="BR106" s="329" t="s">
        <v>816</v>
      </c>
      <c r="BS106" s="331"/>
      <c r="BT106" s="327" t="s">
        <v>660</v>
      </c>
      <c r="BU106" s="327"/>
      <c r="BV106" s="327"/>
      <c r="BW106" s="331"/>
      <c r="BX106" s="302"/>
      <c r="BY106" s="302"/>
      <c r="BZ106" s="302"/>
      <c r="CA106" s="295"/>
      <c r="CB106" s="332"/>
      <c r="CC106" s="332"/>
      <c r="CD106" s="332"/>
      <c r="CE106" s="333">
        <v>45936</v>
      </c>
      <c r="CF106" s="334" t="str">
        <f t="shared" ref="CF106:CF150" si="18">IF(AND(A106&gt;0,CE106=0),"Insert Entry Date","")</f>
        <v/>
      </c>
    </row>
    <row r="107" spans="1:85" s="334" customFormat="1" ht="327" hidden="1" customHeight="1">
      <c r="A107" s="373">
        <v>93</v>
      </c>
      <c r="B107" s="306" t="s">
        <v>299</v>
      </c>
      <c r="C107" s="307" t="s">
        <v>817</v>
      </c>
      <c r="D107" s="308" t="s">
        <v>320</v>
      </c>
      <c r="E107" s="309" t="str" cm="1">
        <f t="array" ref="E107">IFERROR(LOOKUP(2,1/('[1]Contracts Log'!$F:$F=$D107),'[1]Contracts Log'!$G:$G),"")</f>
        <v>1.TB.01.002.01</v>
      </c>
      <c r="F107" s="309" t="str" cm="1">
        <f t="array" ref="F107">IFERROR(LOOKUP(2,1/('[1]Contracts Log'!$F:$F=$D107),'[1]Contracts Log'!$C:$C),"")</f>
        <v>Marina Lifestyle Hotel &amp; Village</v>
      </c>
      <c r="G107" s="309" t="str" cm="1">
        <f t="array" ref="G107">IFERROR(LOOKUP(2,1/('[1]Contracts Log'!$F:$F=$D107),'[1]Contracts Log'!$K:$K),"")</f>
        <v>Triple Bay Wide Ground Improvement</v>
      </c>
      <c r="H107" s="309" t="str" cm="1">
        <f t="array" ref="H107">IFERROR(LOOKUP(2,1/('[1]Contracts Log'!$F:$F=$D107),'[1]Contracts Log'!$J:$J),"")</f>
        <v>Soil Improvement Contracting</v>
      </c>
      <c r="I107" s="310">
        <v>1</v>
      </c>
      <c r="J107" s="310"/>
      <c r="K107" s="310"/>
      <c r="L107" s="310"/>
      <c r="M107" s="310"/>
      <c r="N107" s="310"/>
      <c r="O107" s="304"/>
      <c r="P107" s="416"/>
      <c r="Q107" s="304"/>
      <c r="R107" s="416"/>
      <c r="S107" s="417"/>
      <c r="T107" s="416"/>
      <c r="U107" s="304"/>
      <c r="V107" s="335" t="s">
        <v>818</v>
      </c>
      <c r="W107" s="240">
        <v>45922</v>
      </c>
      <c r="X107" s="417"/>
      <c r="Y107" s="417"/>
      <c r="Z107" s="335" t="s">
        <v>819</v>
      </c>
      <c r="AA107" s="240">
        <v>45922</v>
      </c>
      <c r="AB107" s="240"/>
      <c r="AC107" s="240"/>
      <c r="AD107" s="335"/>
      <c r="AE107" s="240"/>
      <c r="AF107" s="315"/>
      <c r="AG107" s="315"/>
      <c r="AH107" s="315"/>
      <c r="AI107" s="315"/>
      <c r="AJ107" s="363"/>
      <c r="AK107" s="311"/>
      <c r="AL107" s="315"/>
      <c r="AM107" s="315"/>
      <c r="AN107" s="365" t="s">
        <v>305</v>
      </c>
      <c r="AO107" s="365" t="s">
        <v>305</v>
      </c>
      <c r="AP107" s="314"/>
      <c r="AQ107" s="366"/>
      <c r="AR107" s="314"/>
      <c r="AS107" s="311"/>
      <c r="AT107" s="318"/>
      <c r="AU107" s="318"/>
      <c r="AV107" s="321"/>
      <c r="AW107" s="320"/>
      <c r="AX107" s="318"/>
      <c r="AY107" s="321"/>
      <c r="AZ107" s="320"/>
      <c r="BA107" s="318"/>
      <c r="BB107" s="321"/>
      <c r="BC107" s="322"/>
      <c r="BD107" s="299"/>
      <c r="BE107" s="299"/>
      <c r="BF107" s="323">
        <f t="shared" si="16"/>
        <v>45922</v>
      </c>
      <c r="BG107" s="324" t="str">
        <f t="shared" ca="1" si="11"/>
        <v>N/A</v>
      </c>
      <c r="BH107" s="299"/>
      <c r="BI107" s="325">
        <f t="shared" ca="1" si="13"/>
        <v>0</v>
      </c>
      <c r="BJ107" s="299"/>
      <c r="BK107" s="325">
        <f t="shared" ca="1" si="14"/>
        <v>0</v>
      </c>
      <c r="BL107" s="299"/>
      <c r="BM107" s="326"/>
      <c r="BN107" s="408"/>
      <c r="BO107" s="327" t="s">
        <v>363</v>
      </c>
      <c r="BP107" s="327" t="s">
        <v>221</v>
      </c>
      <c r="BQ107" s="328" t="s">
        <v>21</v>
      </c>
      <c r="BR107" s="329" t="s">
        <v>820</v>
      </c>
      <c r="BS107" s="331"/>
      <c r="BT107" s="327"/>
      <c r="BU107" s="327"/>
      <c r="BV107" s="327"/>
      <c r="BW107" s="331"/>
      <c r="BX107" s="302">
        <v>46054</v>
      </c>
      <c r="BY107" s="302"/>
      <c r="BZ107" s="302"/>
      <c r="CA107" s="295"/>
      <c r="CB107" s="332"/>
      <c r="CC107" s="332"/>
      <c r="CD107" s="332"/>
      <c r="CE107" s="333">
        <v>45936</v>
      </c>
      <c r="CF107" s="334" t="str">
        <f t="shared" si="18"/>
        <v/>
      </c>
    </row>
    <row r="108" spans="1:85" s="334" customFormat="1" ht="409.5" hidden="1" customHeight="1">
      <c r="A108" s="414">
        <v>94</v>
      </c>
      <c r="B108" s="306" t="s">
        <v>299</v>
      </c>
      <c r="C108" s="307" t="s">
        <v>821</v>
      </c>
      <c r="D108" s="308" t="s">
        <v>822</v>
      </c>
      <c r="E108" s="309" t="str" cm="1">
        <f t="array" ref="E108">IFERROR(LOOKUP(2,1/('[1]Contracts Log'!$F:$F=$D108),'[1]Contracts Log'!$G:$G),"")</f>
        <v>1.TB.01.009.01</v>
      </c>
      <c r="F108" s="309" t="str" cm="1">
        <f t="array" ref="F108">IFERROR(LOOKUP(2,1/('[1]Contracts Log'!$F:$F=$D108),'[1]Contracts Log'!$C:$C),"")</f>
        <v>Marina Hotel 3</v>
      </c>
      <c r="G108" s="309" t="str" cm="1">
        <f t="array" ref="G108">IFERROR(LOOKUP(2,1/('[1]Contracts Log'!$F:$F=$D108),'[1]Contracts Log'!$K:$K),"")</f>
        <v>AMAALA Triple Bay – Marina Hotel 3 – Guest Rooms &amp; Corridor Fit-Out Works Package.</v>
      </c>
      <c r="H108" s="309" t="str" cm="1">
        <f t="array" ref="H108">IFERROR(LOOKUP(2,1/('[1]Contracts Log'!$F:$F=$D108),'[1]Contracts Log'!$J:$J),"")</f>
        <v>IMAR Overseas Saudi Arabia Company</v>
      </c>
      <c r="I108" s="310">
        <v>1</v>
      </c>
      <c r="J108" s="310"/>
      <c r="K108" s="310"/>
      <c r="L108" s="310"/>
      <c r="M108" s="310"/>
      <c r="N108" s="310"/>
      <c r="O108" s="304"/>
      <c r="P108" s="416"/>
      <c r="Q108" s="304"/>
      <c r="R108" s="416"/>
      <c r="S108" s="417"/>
      <c r="T108" s="416"/>
      <c r="U108" s="304"/>
      <c r="V108" s="335" t="s">
        <v>823</v>
      </c>
      <c r="W108" s="240">
        <v>45910</v>
      </c>
      <c r="X108" s="417"/>
      <c r="Y108" s="417"/>
      <c r="Z108" s="335" t="s">
        <v>824</v>
      </c>
      <c r="AA108" s="240">
        <v>45937</v>
      </c>
      <c r="AB108" s="240"/>
      <c r="AC108" s="240"/>
      <c r="AD108" s="335" t="s">
        <v>825</v>
      </c>
      <c r="AE108" s="240">
        <v>46109</v>
      </c>
      <c r="AF108" s="315">
        <v>200</v>
      </c>
      <c r="AG108" s="315"/>
      <c r="AH108" s="315"/>
      <c r="AI108" s="315"/>
      <c r="AJ108" s="363"/>
      <c r="AK108" s="311"/>
      <c r="AL108" s="315"/>
      <c r="AM108" s="315"/>
      <c r="AN108" s="363" t="s">
        <v>826</v>
      </c>
      <c r="AO108" s="311">
        <f>+DATE(2026, 7,6)+7</f>
        <v>46216</v>
      </c>
      <c r="AP108" s="314"/>
      <c r="AQ108" s="366"/>
      <c r="AR108" s="314"/>
      <c r="AS108" s="311"/>
      <c r="AT108" s="318"/>
      <c r="AU108" s="318"/>
      <c r="AV108" s="321"/>
      <c r="AW108" s="320"/>
      <c r="AX108" s="318"/>
      <c r="AY108" s="321"/>
      <c r="AZ108" s="320"/>
      <c r="BA108" s="318"/>
      <c r="BB108" s="321"/>
      <c r="BC108" s="322"/>
      <c r="BD108" s="299"/>
      <c r="BE108" s="299"/>
      <c r="BF108" s="323">
        <f t="shared" si="16"/>
        <v>46109</v>
      </c>
      <c r="BG108" s="324">
        <f t="shared" ca="1" si="11"/>
        <v>34</v>
      </c>
      <c r="BH108" s="375">
        <v>46143</v>
      </c>
      <c r="BI108" s="325">
        <f t="shared" ca="1" si="13"/>
        <v>157</v>
      </c>
      <c r="BJ108" s="299"/>
      <c r="BK108" s="325">
        <f t="shared" ca="1" si="14"/>
        <v>0</v>
      </c>
      <c r="BL108" s="299"/>
      <c r="BM108" s="326"/>
      <c r="BN108" s="408"/>
      <c r="BO108" s="327" t="s">
        <v>220</v>
      </c>
      <c r="BP108" s="327" t="s">
        <v>20</v>
      </c>
      <c r="BQ108" s="328" t="s">
        <v>37</v>
      </c>
      <c r="BR108" s="329" t="s">
        <v>827</v>
      </c>
      <c r="BS108" s="331"/>
      <c r="BT108" s="327"/>
      <c r="BU108" s="327"/>
      <c r="BV108" s="327"/>
      <c r="BW108" s="331"/>
      <c r="BX108" s="302">
        <v>46204</v>
      </c>
      <c r="BY108" s="302"/>
      <c r="BZ108" s="302"/>
      <c r="CA108" s="295"/>
      <c r="CB108" s="332"/>
      <c r="CC108" s="332"/>
      <c r="CD108" s="332"/>
      <c r="CE108" s="333">
        <v>45936</v>
      </c>
      <c r="CF108" s="334" t="str">
        <f t="shared" si="18"/>
        <v/>
      </c>
    </row>
    <row r="109" spans="1:85" s="334" customFormat="1" ht="409.5" hidden="1" customHeight="1">
      <c r="A109" s="373">
        <v>95</v>
      </c>
      <c r="B109" s="306" t="s">
        <v>634</v>
      </c>
      <c r="C109" s="307" t="s">
        <v>828</v>
      </c>
      <c r="D109" s="308" t="s">
        <v>699</v>
      </c>
      <c r="E109" s="309" t="str" cm="1">
        <f t="array" ref="E109">IFERROR(LOOKUP(2,1/('[1]Contracts Log'!$F:$F=$D109),'[1]Contracts Log'!$G:$G),"")</f>
        <v>1.TB.01.005.01</v>
      </c>
      <c r="F109" s="309" t="str" cm="1">
        <f t="array" ref="F109">IFERROR(LOOKUP(2,1/('[1]Contracts Log'!$F:$F=$D109),'[1]Contracts Log'!$C:$C),"")</f>
        <v>Red Sea Marine Life Institute</v>
      </c>
      <c r="G109" s="309" t="str" cm="1">
        <f t="array" ref="G109">IFERROR(LOOKUP(2,1/('[1]Contracts Log'!$F:$F=$D109),'[1]Contracts Log'!$K:$K),"")</f>
        <v>Façade and Cladding Works</v>
      </c>
      <c r="H109" s="309" t="str" cm="1">
        <f t="array" ref="H109">IFERROR(LOOKUP(2,1/('[1]Contracts Log'!$F:$F=$D109),'[1]Contracts Log'!$J:$J),"")</f>
        <v>Fibrex LLC</v>
      </c>
      <c r="I109" s="310">
        <v>1</v>
      </c>
      <c r="J109" s="310"/>
      <c r="K109" s="310"/>
      <c r="L109" s="310"/>
      <c r="M109" s="310"/>
      <c r="N109" s="310"/>
      <c r="O109" s="304"/>
      <c r="P109" s="416"/>
      <c r="Q109" s="304"/>
      <c r="R109" s="416"/>
      <c r="S109" s="417"/>
      <c r="T109" s="416"/>
      <c r="U109" s="304"/>
      <c r="V109" s="335" t="s">
        <v>829</v>
      </c>
      <c r="W109" s="240">
        <v>45910</v>
      </c>
      <c r="X109" s="417"/>
      <c r="Y109" s="417"/>
      <c r="Z109" s="335" t="s">
        <v>830</v>
      </c>
      <c r="AA109" s="240">
        <v>45934</v>
      </c>
      <c r="AB109" s="317" t="s">
        <v>831</v>
      </c>
      <c r="AC109" s="240">
        <v>46085</v>
      </c>
      <c r="AD109" s="335" t="s">
        <v>832</v>
      </c>
      <c r="AE109" s="240">
        <f>WORKDAY(DATE(2026,1,9),20,)</f>
        <v>46059</v>
      </c>
      <c r="AF109" s="315">
        <v>369</v>
      </c>
      <c r="AG109" s="315"/>
      <c r="AH109" s="315"/>
      <c r="AI109" s="315"/>
      <c r="AJ109" s="363"/>
      <c r="AK109" s="311"/>
      <c r="AL109" s="315"/>
      <c r="AM109" s="315"/>
      <c r="AN109" s="363" t="s">
        <v>833</v>
      </c>
      <c r="AO109" s="311">
        <f>+DATE(2026,6,9)+7</f>
        <v>46189</v>
      </c>
      <c r="AP109" s="314"/>
      <c r="AQ109" s="366"/>
      <c r="AR109" s="314"/>
      <c r="AS109" s="311"/>
      <c r="AT109" s="318"/>
      <c r="AU109" s="318"/>
      <c r="AV109" s="321"/>
      <c r="AW109" s="320"/>
      <c r="AX109" s="318"/>
      <c r="AY109" s="321"/>
      <c r="AZ109" s="320"/>
      <c r="BA109" s="318"/>
      <c r="BB109" s="321"/>
      <c r="BC109" s="322"/>
      <c r="BD109" s="299"/>
      <c r="BE109" s="299"/>
      <c r="BF109" s="323">
        <f t="shared" si="16"/>
        <v>46085</v>
      </c>
      <c r="BG109" s="324">
        <f t="shared" ca="1" si="11"/>
        <v>46</v>
      </c>
      <c r="BH109" s="375">
        <v>46131</v>
      </c>
      <c r="BI109" s="325">
        <f t="shared" ca="1" si="13"/>
        <v>46</v>
      </c>
      <c r="BJ109" s="375">
        <v>46177</v>
      </c>
      <c r="BK109" s="325">
        <f t="shared" ca="1" si="14"/>
        <v>5</v>
      </c>
      <c r="BL109" s="375">
        <v>46182</v>
      </c>
      <c r="BM109" s="326"/>
      <c r="BN109" s="408"/>
      <c r="BO109" s="327" t="s">
        <v>220</v>
      </c>
      <c r="BP109" s="327" t="s">
        <v>20</v>
      </c>
      <c r="BQ109" s="328" t="s">
        <v>43</v>
      </c>
      <c r="BR109" s="329" t="s">
        <v>834</v>
      </c>
      <c r="BS109" s="331"/>
      <c r="BT109" s="327"/>
      <c r="BU109" s="327"/>
      <c r="BV109" s="327"/>
      <c r="BW109" s="331"/>
      <c r="BX109" s="302">
        <v>46174</v>
      </c>
      <c r="BY109" s="302"/>
      <c r="BZ109" s="302"/>
      <c r="CA109" s="295"/>
      <c r="CB109" s="332"/>
      <c r="CC109" s="332"/>
      <c r="CD109" s="332"/>
      <c r="CE109" s="333">
        <v>45949</v>
      </c>
      <c r="CF109" s="334" t="str">
        <f t="shared" si="18"/>
        <v/>
      </c>
    </row>
    <row r="110" spans="1:85" s="334" customFormat="1" ht="409.5" hidden="1" customHeight="1">
      <c r="A110" s="414">
        <v>96</v>
      </c>
      <c r="B110" s="306" t="s">
        <v>299</v>
      </c>
      <c r="C110" s="307" t="s">
        <v>835</v>
      </c>
      <c r="D110" s="308" t="s">
        <v>577</v>
      </c>
      <c r="E110" s="309" t="str" cm="1">
        <f t="array" ref="E110">IFERROR(LOOKUP(2,1/('[1]Contracts Log'!$F:$F=$D110),'[1]Contracts Log'!$G:$G),"")</f>
        <v>1.TB.01.003.01</v>
      </c>
      <c r="F110" s="309" t="str" cm="1">
        <f t="array" ref="F110">IFERROR(LOOKUP(2,1/('[1]Contracts Log'!$F:$F=$D110),'[1]Contracts Log'!$C:$C),"")</f>
        <v xml:space="preserve">AMAALA Yacht Club </v>
      </c>
      <c r="G110" s="309" t="str" cm="1">
        <f t="array" ref="G110">IFERROR(LOOKUP(2,1/('[1]Contracts Log'!$F:$F=$D110),'[1]Contracts Log'!$K:$K),"")</f>
        <v>Fit-out works for Amaala Yacht Club</v>
      </c>
      <c r="H110" s="309" t="str" cm="1">
        <f t="array" ref="H110">IFERROR(LOOKUP(2,1/('[1]Contracts Log'!$F:$F=$D110),'[1]Contracts Log'!$J:$J),"")</f>
        <v>DEPA Saudi Arabia for Contracting and Interior Decoration Co. Ltd</v>
      </c>
      <c r="I110" s="310">
        <v>1</v>
      </c>
      <c r="J110" s="310"/>
      <c r="K110" s="310"/>
      <c r="L110" s="310"/>
      <c r="M110" s="310"/>
      <c r="N110" s="310"/>
      <c r="O110" s="304"/>
      <c r="P110" s="416"/>
      <c r="Q110" s="304"/>
      <c r="R110" s="416"/>
      <c r="S110" s="417"/>
      <c r="T110" s="416"/>
      <c r="U110" s="304"/>
      <c r="V110" s="335" t="s">
        <v>836</v>
      </c>
      <c r="W110" s="240">
        <v>45939</v>
      </c>
      <c r="X110" s="417"/>
      <c r="Y110" s="417"/>
      <c r="Z110" s="335"/>
      <c r="AA110" s="240" t="s">
        <v>305</v>
      </c>
      <c r="AB110" s="240"/>
      <c r="AC110" s="240"/>
      <c r="AD110" s="335"/>
      <c r="AE110" s="240"/>
      <c r="AF110" s="315"/>
      <c r="AG110" s="315"/>
      <c r="AH110" s="315"/>
      <c r="AI110" s="315"/>
      <c r="AJ110" s="363"/>
      <c r="AK110" s="311"/>
      <c r="AL110" s="315"/>
      <c r="AM110" s="315"/>
      <c r="AN110" s="363" t="s">
        <v>837</v>
      </c>
      <c r="AO110" s="311">
        <f>+DATE(2026,2,25)+7</f>
        <v>46085</v>
      </c>
      <c r="AP110" s="314"/>
      <c r="AQ110" s="366"/>
      <c r="AR110" s="314"/>
      <c r="AS110" s="311"/>
      <c r="AT110" s="318"/>
      <c r="AU110" s="318"/>
      <c r="AV110" s="321"/>
      <c r="AW110" s="320"/>
      <c r="AX110" s="318"/>
      <c r="AY110" s="321"/>
      <c r="AZ110" s="320"/>
      <c r="BA110" s="318"/>
      <c r="BB110" s="321"/>
      <c r="BC110" s="322"/>
      <c r="BD110" s="299"/>
      <c r="BE110" s="299"/>
      <c r="BF110" s="323">
        <f t="shared" si="16"/>
        <v>45939</v>
      </c>
      <c r="BG110" s="324" t="str">
        <f t="shared" ca="1" si="11"/>
        <v>N/A</v>
      </c>
      <c r="BH110" s="299"/>
      <c r="BI110" s="325">
        <f t="shared" ca="1" si="13"/>
        <v>0</v>
      </c>
      <c r="BJ110" s="299"/>
      <c r="BK110" s="325">
        <f t="shared" ca="1" si="14"/>
        <v>0</v>
      </c>
      <c r="BL110" s="299"/>
      <c r="BM110" s="326"/>
      <c r="BN110" s="408"/>
      <c r="BO110" s="327" t="s">
        <v>220</v>
      </c>
      <c r="BP110" s="327" t="s">
        <v>567</v>
      </c>
      <c r="BQ110" s="328" t="s">
        <v>21</v>
      </c>
      <c r="BR110" s="329" t="s">
        <v>838</v>
      </c>
      <c r="BS110" s="331"/>
      <c r="BT110" s="327"/>
      <c r="BU110" s="327"/>
      <c r="BV110" s="327"/>
      <c r="BW110" s="331"/>
      <c r="BX110" s="302">
        <v>46082</v>
      </c>
      <c r="BY110" s="302"/>
      <c r="BZ110" s="302"/>
      <c r="CA110" s="295"/>
      <c r="CB110" s="332"/>
      <c r="CC110" s="332"/>
      <c r="CD110" s="332"/>
      <c r="CE110" s="333">
        <v>45951</v>
      </c>
      <c r="CF110" s="334" t="str">
        <f t="shared" si="18"/>
        <v/>
      </c>
    </row>
    <row r="111" spans="1:85" s="334" customFormat="1" ht="409.5" hidden="1" customHeight="1">
      <c r="A111" s="373">
        <v>97</v>
      </c>
      <c r="B111" s="306" t="s">
        <v>299</v>
      </c>
      <c r="C111" s="307" t="s">
        <v>839</v>
      </c>
      <c r="D111" s="308" t="s">
        <v>840</v>
      </c>
      <c r="E111" s="309" t="str" cm="1">
        <f t="array" ref="E111">IFERROR(LOOKUP(2,1/('[1]Contracts Log'!$F:$F=$D111),'[1]Contracts Log'!$G:$G),"")</f>
        <v>1.TB.01.006.99</v>
      </c>
      <c r="F111" s="309" t="str" cm="1">
        <f t="array" ref="F111">IFERROR(LOOKUP(2,1/('[1]Contracts Log'!$F:$F=$D111),'[1]Contracts Log'!$C:$C),"")</f>
        <v>Village Boutique Hotel</v>
      </c>
      <c r="G111" s="309" t="str" cm="1">
        <f t="array" ref="G111">IFERROR(LOOKUP(2,1/('[1]Contracts Log'!$F:$F=$D111),'[1]Contracts Log'!$K:$K),"")</f>
        <v>Aluminum &amp; Glazing Works for Village Boutique Hotel</v>
      </c>
      <c r="H111" s="309" t="str" cm="1">
        <f t="array" ref="H111">IFERROR(LOOKUP(2,1/('[1]Contracts Log'!$F:$F=$D111),'[1]Contracts Log'!$J:$J),"")</f>
        <v>Aluminum Construction Systems Factory Company Limited</v>
      </c>
      <c r="I111" s="310">
        <v>1</v>
      </c>
      <c r="J111" s="310"/>
      <c r="K111" s="310"/>
      <c r="L111" s="310"/>
      <c r="M111" s="310"/>
      <c r="N111" s="310"/>
      <c r="O111" s="304"/>
      <c r="P111" s="416"/>
      <c r="Q111" s="304"/>
      <c r="R111" s="416"/>
      <c r="S111" s="417"/>
      <c r="T111" s="416"/>
      <c r="U111" s="304"/>
      <c r="V111" s="335" t="s">
        <v>841</v>
      </c>
      <c r="W111" s="240">
        <v>45949</v>
      </c>
      <c r="X111" s="417"/>
      <c r="Y111" s="417"/>
      <c r="Z111" s="335" t="s">
        <v>842</v>
      </c>
      <c r="AA111" s="240">
        <v>45953</v>
      </c>
      <c r="AB111" s="240"/>
      <c r="AC111" s="240"/>
      <c r="AD111" s="335" t="s">
        <v>843</v>
      </c>
      <c r="AE111" s="240">
        <v>46156</v>
      </c>
      <c r="AF111" s="315"/>
      <c r="AG111" s="315"/>
      <c r="AH111" s="315"/>
      <c r="AI111" s="315"/>
      <c r="AJ111" s="363"/>
      <c r="AK111" s="311"/>
      <c r="AL111" s="315"/>
      <c r="AM111" s="315"/>
      <c r="AN111" s="363" t="s">
        <v>844</v>
      </c>
      <c r="AO111" s="311">
        <f>+DATE(2026,7,1)+7</f>
        <v>46211</v>
      </c>
      <c r="AP111" s="314"/>
      <c r="AQ111" s="366"/>
      <c r="AR111" s="314"/>
      <c r="AS111" s="311"/>
      <c r="AT111" s="318"/>
      <c r="AU111" s="318"/>
      <c r="AV111" s="321"/>
      <c r="AW111" s="320"/>
      <c r="AX111" s="318"/>
      <c r="AY111" s="321"/>
      <c r="AZ111" s="320"/>
      <c r="BA111" s="318"/>
      <c r="BB111" s="321"/>
      <c r="BC111" s="322"/>
      <c r="BD111" s="299"/>
      <c r="BE111" s="299"/>
      <c r="BF111" s="323">
        <f t="shared" si="16"/>
        <v>46156</v>
      </c>
      <c r="BG111" s="324">
        <f t="shared" ca="1" si="11"/>
        <v>26</v>
      </c>
      <c r="BH111" s="375">
        <v>46182</v>
      </c>
      <c r="BI111" s="325">
        <f t="shared" ca="1" si="13"/>
        <v>9</v>
      </c>
      <c r="BJ111" s="375">
        <v>46191</v>
      </c>
      <c r="BK111" s="325">
        <f t="shared" ca="1" si="14"/>
        <v>109</v>
      </c>
      <c r="BL111" s="299"/>
      <c r="BM111" s="326"/>
      <c r="BN111" s="408"/>
      <c r="BO111" s="327" t="s">
        <v>220</v>
      </c>
      <c r="BP111" s="327" t="s">
        <v>20</v>
      </c>
      <c r="BQ111" s="328" t="s">
        <v>45</v>
      </c>
      <c r="BR111" s="329" t="s">
        <v>845</v>
      </c>
      <c r="BS111" s="331"/>
      <c r="BT111" s="327"/>
      <c r="BU111" s="327"/>
      <c r="BV111" s="327"/>
      <c r="BW111" s="331"/>
      <c r="BX111" s="302">
        <v>46204</v>
      </c>
      <c r="BY111" s="302"/>
      <c r="BZ111" s="302"/>
      <c r="CA111" s="295"/>
      <c r="CB111" s="332"/>
      <c r="CC111" s="332"/>
      <c r="CD111" s="332"/>
      <c r="CE111" s="333">
        <v>45953</v>
      </c>
      <c r="CF111" s="334" t="str">
        <f t="shared" si="18"/>
        <v/>
      </c>
    </row>
    <row r="112" spans="1:85" s="334" customFormat="1" ht="409.5" hidden="1" customHeight="1">
      <c r="A112" s="373">
        <v>98</v>
      </c>
      <c r="B112" s="306" t="s">
        <v>299</v>
      </c>
      <c r="C112" s="307" t="s">
        <v>846</v>
      </c>
      <c r="D112" s="308" t="s">
        <v>548</v>
      </c>
      <c r="E112" s="309" t="str" cm="1">
        <f t="array" ref="E112">IFERROR(LOOKUP(2,1/('[1]Contracts Log'!$F:$F=$D112),'[1]Contracts Log'!$G:$G),"")</f>
        <v>1.TB.01.006.99</v>
      </c>
      <c r="F112" s="309" t="str" cm="1">
        <f t="array" ref="F112">IFERROR(LOOKUP(2,1/('[1]Contracts Log'!$F:$F=$D112),'[1]Contracts Log'!$C:$C),"")</f>
        <v>Village Boutique Hotel</v>
      </c>
      <c r="G112" s="309" t="str" cm="1">
        <f t="array" ref="G112">IFERROR(LOOKUP(2,1/('[1]Contracts Log'!$F:$F=$D112),'[1]Contracts Log'!$K:$K),"")</f>
        <v>Structural Steel Works for Village Boutique Hotel</v>
      </c>
      <c r="H112" s="309" t="str" cm="1">
        <f t="array" ref="H112">IFERROR(LOOKUP(2,1/('[1]Contracts Log'!$F:$F=$D112),'[1]Contracts Log'!$J:$J),"")</f>
        <v>Cleveland Bridge Steel Co. LTD</v>
      </c>
      <c r="I112" s="310">
        <v>1</v>
      </c>
      <c r="J112" s="310"/>
      <c r="K112" s="310"/>
      <c r="L112" s="310"/>
      <c r="M112" s="310"/>
      <c r="N112" s="310"/>
      <c r="O112" s="304"/>
      <c r="P112" s="416"/>
      <c r="Q112" s="304"/>
      <c r="R112" s="416"/>
      <c r="S112" s="417"/>
      <c r="T112" s="416"/>
      <c r="U112" s="304"/>
      <c r="V112" s="335" t="s">
        <v>847</v>
      </c>
      <c r="W112" s="240">
        <v>45942</v>
      </c>
      <c r="X112" s="417"/>
      <c r="Y112" s="417"/>
      <c r="Z112" s="335" t="s">
        <v>848</v>
      </c>
      <c r="AA112" s="240">
        <v>45953</v>
      </c>
      <c r="AB112" s="240"/>
      <c r="AC112" s="240"/>
      <c r="AD112" s="335" t="s">
        <v>849</v>
      </c>
      <c r="AE112" s="240">
        <v>46001</v>
      </c>
      <c r="AF112" s="315">
        <v>21</v>
      </c>
      <c r="AG112" s="315"/>
      <c r="AH112" s="315"/>
      <c r="AI112" s="315"/>
      <c r="AJ112" s="363"/>
      <c r="AK112" s="311"/>
      <c r="AL112" s="315"/>
      <c r="AM112" s="315"/>
      <c r="AN112" s="363" t="s">
        <v>850</v>
      </c>
      <c r="AO112" s="311">
        <f>+DATE(2026,3,3)+7</f>
        <v>46091</v>
      </c>
      <c r="AP112" s="314"/>
      <c r="AQ112" s="366"/>
      <c r="AR112" s="314"/>
      <c r="AS112" s="311"/>
      <c r="AT112" s="318"/>
      <c r="AU112" s="318"/>
      <c r="AV112" s="321"/>
      <c r="AW112" s="320"/>
      <c r="AX112" s="318"/>
      <c r="AY112" s="321"/>
      <c r="AZ112" s="320"/>
      <c r="BA112" s="318"/>
      <c r="BB112" s="321"/>
      <c r="BC112" s="322"/>
      <c r="BD112" s="299"/>
      <c r="BE112" s="299"/>
      <c r="BF112" s="323">
        <f t="shared" si="16"/>
        <v>46001</v>
      </c>
      <c r="BG112" s="324">
        <f t="shared" ca="1" si="11"/>
        <v>299</v>
      </c>
      <c r="BH112" s="299"/>
      <c r="BI112" s="325">
        <f t="shared" ca="1" si="13"/>
        <v>0</v>
      </c>
      <c r="BJ112" s="299"/>
      <c r="BK112" s="325">
        <f t="shared" ca="1" si="14"/>
        <v>0</v>
      </c>
      <c r="BL112" s="299"/>
      <c r="BM112" s="326"/>
      <c r="BN112" s="408"/>
      <c r="BO112" s="327" t="s">
        <v>220</v>
      </c>
      <c r="BP112" s="327" t="s">
        <v>20</v>
      </c>
      <c r="BQ112" s="328" t="s">
        <v>851</v>
      </c>
      <c r="BR112" s="329" t="s">
        <v>852</v>
      </c>
      <c r="BS112" s="331"/>
      <c r="BT112" s="327"/>
      <c r="BU112" s="327"/>
      <c r="BV112" s="327"/>
      <c r="BW112" s="331"/>
      <c r="BX112" s="302">
        <v>46082</v>
      </c>
      <c r="BY112" s="302"/>
      <c r="BZ112" s="302"/>
      <c r="CA112" s="295"/>
      <c r="CB112" s="332"/>
      <c r="CC112" s="332"/>
      <c r="CD112" s="332"/>
      <c r="CE112" s="333">
        <v>45964</v>
      </c>
      <c r="CF112" s="334" t="str">
        <f t="shared" si="18"/>
        <v/>
      </c>
    </row>
    <row r="113" spans="1:84" s="334" customFormat="1" ht="409.5" hidden="1" customHeight="1">
      <c r="A113" s="414">
        <v>99</v>
      </c>
      <c r="B113" s="306" t="s">
        <v>299</v>
      </c>
      <c r="C113" s="307" t="s">
        <v>853</v>
      </c>
      <c r="D113" s="308" t="s">
        <v>756</v>
      </c>
      <c r="E113" s="309" t="str" cm="1">
        <f t="array" ref="E113">IFERROR(LOOKUP(2,1/('[1]Contracts Log'!$F:$F=$D113),'[1]Contracts Log'!$G:$G),"")</f>
        <v>1TB.01.002.99</v>
      </c>
      <c r="F113" s="309" t="str" cm="1">
        <f t="array" ref="F113">IFERROR(LOOKUP(2,1/('[1]Contracts Log'!$F:$F=$D113),'[1]Contracts Log'!$C:$C),"")</f>
        <v>Marina Lifestyle Hotel &amp; Village</v>
      </c>
      <c r="G113" s="309" t="str" cm="1">
        <f t="array" ref="G113">IFERROR(LOOKUP(2,1/('[1]Contracts Log'!$F:$F=$D113),'[1]Contracts Log'!$K:$K),"")</f>
        <v>MLH - Havelock One Interiors Company - Fit-Out Works</v>
      </c>
      <c r="H113" s="309" t="str" cm="1">
        <f t="array" ref="H113">IFERROR(LOOKUP(2,1/('[1]Contracts Log'!$F:$F=$D113),'[1]Contracts Log'!$J:$J),"")</f>
        <v>Havelock One Interiors WLL – KSA</v>
      </c>
      <c r="I113" s="310">
        <v>1</v>
      </c>
      <c r="J113" s="310"/>
      <c r="K113" s="310"/>
      <c r="L113" s="310"/>
      <c r="M113" s="310"/>
      <c r="N113" s="310"/>
      <c r="O113" s="304"/>
      <c r="P113" s="416"/>
      <c r="Q113" s="304"/>
      <c r="R113" s="416"/>
      <c r="S113" s="417"/>
      <c r="T113" s="416"/>
      <c r="U113" s="304"/>
      <c r="V113" s="335" t="s">
        <v>854</v>
      </c>
      <c r="W113" s="240">
        <v>45950</v>
      </c>
      <c r="X113" s="417"/>
      <c r="Y113" s="417"/>
      <c r="Z113" s="335"/>
      <c r="AA113" s="240" t="s">
        <v>305</v>
      </c>
      <c r="AB113" s="240"/>
      <c r="AC113" s="240"/>
      <c r="AD113" s="335" t="s">
        <v>855</v>
      </c>
      <c r="AE113" s="240">
        <v>46099</v>
      </c>
      <c r="AF113" s="315">
        <v>236</v>
      </c>
      <c r="AG113" s="315"/>
      <c r="AH113" s="315"/>
      <c r="AI113" s="315"/>
      <c r="AJ113" s="363"/>
      <c r="AK113" s="311"/>
      <c r="AL113" s="315"/>
      <c r="AM113" s="315"/>
      <c r="AN113" s="363" t="s">
        <v>856</v>
      </c>
      <c r="AO113" s="311">
        <f>+DATE(2026,7,19)+7</f>
        <v>46229</v>
      </c>
      <c r="AP113" s="314"/>
      <c r="AQ113" s="366"/>
      <c r="AR113" s="314"/>
      <c r="AS113" s="311"/>
      <c r="AT113" s="318"/>
      <c r="AU113" s="318"/>
      <c r="AV113" s="321"/>
      <c r="AW113" s="320"/>
      <c r="AX113" s="318"/>
      <c r="AY113" s="321"/>
      <c r="AZ113" s="320"/>
      <c r="BA113" s="318"/>
      <c r="BB113" s="321"/>
      <c r="BC113" s="322"/>
      <c r="BD113" s="299"/>
      <c r="BE113" s="299"/>
      <c r="BF113" s="323">
        <f t="shared" si="16"/>
        <v>46099</v>
      </c>
      <c r="BG113" s="324">
        <f t="shared" ca="1" si="11"/>
        <v>108</v>
      </c>
      <c r="BH113" s="375">
        <v>46207</v>
      </c>
      <c r="BI113" s="325">
        <f t="shared" ca="1" si="13"/>
        <v>10</v>
      </c>
      <c r="BJ113" s="375">
        <v>46217</v>
      </c>
      <c r="BK113" s="325">
        <f t="shared" ca="1" si="14"/>
        <v>5</v>
      </c>
      <c r="BL113" s="375">
        <v>46222</v>
      </c>
      <c r="BM113" s="326"/>
      <c r="BN113" s="408"/>
      <c r="BO113" s="327" t="s">
        <v>220</v>
      </c>
      <c r="BP113" s="327" t="s">
        <v>20</v>
      </c>
      <c r="BQ113" s="328" t="s">
        <v>43</v>
      </c>
      <c r="BR113" s="329" t="s">
        <v>1094</v>
      </c>
      <c r="BS113" s="331"/>
      <c r="BT113" s="327"/>
      <c r="BU113" s="327"/>
      <c r="BV113" s="327"/>
      <c r="BW113" s="331"/>
      <c r="BX113" s="302">
        <v>46235</v>
      </c>
      <c r="BY113" s="302"/>
      <c r="BZ113" s="302"/>
      <c r="CA113" s="295"/>
      <c r="CB113" s="332"/>
      <c r="CC113" s="332"/>
      <c r="CD113" s="332"/>
      <c r="CE113" s="333">
        <v>45964</v>
      </c>
      <c r="CF113" s="334" t="str">
        <f t="shared" si="18"/>
        <v/>
      </c>
    </row>
    <row r="114" spans="1:84" s="334" customFormat="1" ht="396" hidden="1" customHeight="1">
      <c r="A114" s="373">
        <v>100</v>
      </c>
      <c r="B114" s="306" t="s">
        <v>299</v>
      </c>
      <c r="C114" s="307" t="s">
        <v>857</v>
      </c>
      <c r="D114" s="308" t="s">
        <v>858</v>
      </c>
      <c r="E114" s="309" t="str" cm="1">
        <f t="array" ref="E114">IFERROR(LOOKUP(2,1/('[1]Contracts Log'!$F:$F=$D114),'[1]Contracts Log'!$G:$G),"")</f>
        <v>1.TB.01.002.02</v>
      </c>
      <c r="F114" s="309" t="str" cm="1">
        <f t="array" ref="F114">IFERROR(LOOKUP(2,1/('[1]Contracts Log'!$F:$F=$D114),'[1]Contracts Log'!$C:$C),"")</f>
        <v>Marina Lifestyle Hotel &amp; Village</v>
      </c>
      <c r="G114" s="309" t="str" cm="1">
        <f t="array" ref="G114">IFERROR(LOOKUP(2,1/('[1]Contracts Log'!$F:$F=$D114),'[1]Contracts Log'!$K:$K),"")</f>
        <v>Fit-Out works of AMAALA Residences/Non-Branded (49 Nos)
for Marina Lifestyle Hotel</v>
      </c>
      <c r="H114" s="309" t="str" cm="1">
        <f t="array" ref="H114">IFERROR(LOOKUP(2,1/('[1]Contracts Log'!$F:$F=$D114),'[1]Contracts Log'!$J:$J),"")</f>
        <v>Havelock One Interiors Company</v>
      </c>
      <c r="I114" s="310">
        <v>1</v>
      </c>
      <c r="J114" s="310"/>
      <c r="K114" s="310"/>
      <c r="L114" s="310"/>
      <c r="M114" s="310"/>
      <c r="N114" s="310"/>
      <c r="O114" s="304"/>
      <c r="P114" s="416"/>
      <c r="Q114" s="304"/>
      <c r="R114" s="416"/>
      <c r="S114" s="417"/>
      <c r="T114" s="416"/>
      <c r="U114" s="304"/>
      <c r="V114" s="335" t="s">
        <v>859</v>
      </c>
      <c r="W114" s="240">
        <v>45950</v>
      </c>
      <c r="X114" s="417"/>
      <c r="Y114" s="417"/>
      <c r="Z114" s="335"/>
      <c r="AA114" s="240" t="s">
        <v>305</v>
      </c>
      <c r="AB114" s="240"/>
      <c r="AC114" s="240"/>
      <c r="AD114" s="335" t="s">
        <v>860</v>
      </c>
      <c r="AE114" s="240">
        <v>46079</v>
      </c>
      <c r="AF114" s="315">
        <v>112</v>
      </c>
      <c r="AG114" s="315"/>
      <c r="AH114" s="315"/>
      <c r="AI114" s="315"/>
      <c r="AJ114" s="363"/>
      <c r="AK114" s="311"/>
      <c r="AL114" s="315"/>
      <c r="AM114" s="315"/>
      <c r="AN114" s="363" t="s">
        <v>861</v>
      </c>
      <c r="AO114" s="311">
        <f>+DATE(2026,3,2)+7</f>
        <v>46090</v>
      </c>
      <c r="AP114" s="314"/>
      <c r="AQ114" s="366"/>
      <c r="AR114" s="314"/>
      <c r="AS114" s="311"/>
      <c r="AT114" s="318"/>
      <c r="AU114" s="318"/>
      <c r="AV114" s="321"/>
      <c r="AW114" s="320"/>
      <c r="AX114" s="318"/>
      <c r="AY114" s="321"/>
      <c r="AZ114" s="320"/>
      <c r="BA114" s="318"/>
      <c r="BB114" s="321"/>
      <c r="BC114" s="322"/>
      <c r="BD114" s="299"/>
      <c r="BE114" s="299"/>
      <c r="BF114" s="323">
        <f t="shared" si="16"/>
        <v>46079</v>
      </c>
      <c r="BG114" s="324">
        <f t="shared" ca="1" si="11"/>
        <v>-31</v>
      </c>
      <c r="BH114" s="375">
        <v>46048</v>
      </c>
      <c r="BI114" s="325">
        <f t="shared" ca="1" si="13"/>
        <v>28</v>
      </c>
      <c r="BJ114" s="375">
        <v>46076</v>
      </c>
      <c r="BK114" s="325">
        <f t="shared" ca="1" si="14"/>
        <v>28</v>
      </c>
      <c r="BL114" s="375">
        <v>46104</v>
      </c>
      <c r="BM114" s="326"/>
      <c r="BN114" s="408"/>
      <c r="BO114" s="327" t="s">
        <v>220</v>
      </c>
      <c r="BP114" s="327" t="s">
        <v>376</v>
      </c>
      <c r="BQ114" s="328" t="s">
        <v>21</v>
      </c>
      <c r="BR114" s="329" t="s">
        <v>1093</v>
      </c>
      <c r="BS114" s="331"/>
      <c r="BT114" s="327"/>
      <c r="BU114" s="327"/>
      <c r="BV114" s="327"/>
      <c r="BW114" s="331"/>
      <c r="BX114" s="302">
        <v>46082</v>
      </c>
      <c r="BY114" s="302"/>
      <c r="BZ114" s="302"/>
      <c r="CA114" s="295"/>
      <c r="CB114" s="332"/>
      <c r="CC114" s="332"/>
      <c r="CD114" s="332"/>
      <c r="CE114" s="333">
        <v>45964</v>
      </c>
      <c r="CF114" s="334" t="str">
        <f t="shared" si="18"/>
        <v/>
      </c>
    </row>
    <row r="115" spans="1:84" s="334" customFormat="1" ht="409.5" hidden="1" customHeight="1">
      <c r="A115" s="373">
        <v>101</v>
      </c>
      <c r="B115" s="306" t="s">
        <v>310</v>
      </c>
      <c r="C115" s="346" t="s">
        <v>862</v>
      </c>
      <c r="D115" s="427" t="s">
        <v>439</v>
      </c>
      <c r="E115" s="309" t="str" cm="1">
        <f t="array" ref="E115">IFERROR(LOOKUP(2,1/('[1]Contracts Log'!$F:$F=$D115),'[1]Contracts Log'!$G:$G),"")</f>
        <v>1.TB.01.002.03</v>
      </c>
      <c r="F115" s="309" t="str" cm="1">
        <f t="array" ref="F115">IFERROR(LOOKUP(2,1/('[1]Contracts Log'!$F:$F=$D115),'[1]Contracts Log'!$C:$C),"")</f>
        <v>Marina Lifestyle Hotel &amp; Village</v>
      </c>
      <c r="G115" s="309" t="str" cm="1">
        <f t="array" ref="G115">IFERROR(LOOKUP(2,1/('[1]Contracts Log'!$F:$F=$D115),'[1]Contracts Log'!$K:$K),"")</f>
        <v>Concrete Structure and Civil Works for Marina Lifestyle Hotel</v>
      </c>
      <c r="H115" s="309" t="str" cm="1">
        <f t="array" ref="H115">IFERROR(LOOKUP(2,1/('[1]Contracts Log'!$F:$F=$D115),'[1]Contracts Log'!$J:$J),"")</f>
        <v>MAS Engineering &amp; Construction Company LTD</v>
      </c>
      <c r="I115" s="310"/>
      <c r="J115" s="310">
        <v>1</v>
      </c>
      <c r="K115" s="310"/>
      <c r="L115" s="310"/>
      <c r="M115" s="310"/>
      <c r="N115" s="310"/>
      <c r="O115" s="304"/>
      <c r="P115" s="416"/>
      <c r="Q115" s="304"/>
      <c r="R115" s="416"/>
      <c r="S115" s="417"/>
      <c r="T115" s="416"/>
      <c r="U115" s="304"/>
      <c r="V115" s="421" t="s">
        <v>863</v>
      </c>
      <c r="W115" s="422">
        <v>46040</v>
      </c>
      <c r="X115" s="417"/>
      <c r="Y115" s="417"/>
      <c r="Z115" s="335"/>
      <c r="AA115" s="240" t="s">
        <v>305</v>
      </c>
      <c r="AB115" s="240"/>
      <c r="AC115" s="240"/>
      <c r="AD115" s="335" t="s">
        <v>864</v>
      </c>
      <c r="AE115" s="240">
        <v>46155</v>
      </c>
      <c r="AF115" s="313"/>
      <c r="AG115" s="313"/>
      <c r="AH115" s="313"/>
      <c r="AI115" s="313"/>
      <c r="AJ115" s="336"/>
      <c r="AK115" s="320"/>
      <c r="AL115" s="313"/>
      <c r="AM115" s="313"/>
      <c r="AN115" s="351"/>
      <c r="AO115" s="320"/>
      <c r="AP115" s="321"/>
      <c r="AQ115" s="352"/>
      <c r="AR115" s="321"/>
      <c r="AS115" s="320"/>
      <c r="AT115" s="341">
        <v>10699557.16</v>
      </c>
      <c r="AU115" s="341"/>
      <c r="AV115" s="314"/>
      <c r="AW115" s="311"/>
      <c r="AX115" s="341"/>
      <c r="AY115" s="314"/>
      <c r="AZ115" s="311"/>
      <c r="BA115" s="341"/>
      <c r="BB115" s="314"/>
      <c r="BC115" s="364"/>
      <c r="BD115" s="299"/>
      <c r="BE115" s="299"/>
      <c r="BF115" s="323">
        <f t="shared" si="16"/>
        <v>46155</v>
      </c>
      <c r="BG115" s="324">
        <f t="shared" ca="1" si="11"/>
        <v>145</v>
      </c>
      <c r="BH115" s="299"/>
      <c r="BI115" s="325" t="str">
        <f t="shared" ca="1" si="13"/>
        <v>N/A</v>
      </c>
      <c r="BJ115" s="299"/>
      <c r="BK115" s="325">
        <f t="shared" ca="1" si="14"/>
        <v>0</v>
      </c>
      <c r="BL115" s="299"/>
      <c r="BM115" s="326"/>
      <c r="BN115" s="408"/>
      <c r="BO115" s="327" t="s">
        <v>437</v>
      </c>
      <c r="BP115" s="327" t="s">
        <v>20</v>
      </c>
      <c r="BQ115" s="328" t="s">
        <v>37</v>
      </c>
      <c r="BR115" s="329" t="s">
        <v>1078</v>
      </c>
      <c r="BS115" s="331"/>
      <c r="BT115" s="327"/>
      <c r="BU115" s="327"/>
      <c r="BV115" s="327"/>
      <c r="BW115" s="331"/>
      <c r="BX115" s="302"/>
      <c r="BY115" s="302"/>
      <c r="BZ115" s="302"/>
      <c r="CA115" s="295"/>
      <c r="CB115" s="332"/>
      <c r="CC115" s="332"/>
      <c r="CD115" s="332"/>
      <c r="CE115" s="333">
        <v>45978</v>
      </c>
      <c r="CF115" s="334" t="str">
        <f t="shared" si="18"/>
        <v/>
      </c>
    </row>
    <row r="116" spans="1:84" s="334" customFormat="1" ht="409.5" hidden="1" customHeight="1">
      <c r="A116" s="373">
        <v>102</v>
      </c>
      <c r="B116" s="306" t="s">
        <v>299</v>
      </c>
      <c r="C116" s="346" t="s">
        <v>683</v>
      </c>
      <c r="D116" s="427" t="s">
        <v>865</v>
      </c>
      <c r="E116" s="309" t="str" cm="1">
        <f t="array" ref="E116">IFERROR(LOOKUP(2,1/('[1]Contracts Log'!$F:$F=$D116),'[1]Contracts Log'!$G:$G),"")</f>
        <v>1.TB.01.002.03</v>
      </c>
      <c r="F116" s="309" t="str" cm="1">
        <f t="array" ref="F116">IFERROR(LOOKUP(2,1/('[1]Contracts Log'!$F:$F=$D116),'[1]Contracts Log'!$C:$C),"")</f>
        <v>Marina Lifestyle Hotel &amp; Village</v>
      </c>
      <c r="G116" s="309" t="str" cm="1">
        <f t="array" ref="G116">IFERROR(LOOKUP(2,1/('[1]Contracts Log'!$F:$F=$D116),'[1]Contracts Log'!$K:$K),"")</f>
        <v>Building Envelope "Installation Only" Works</v>
      </c>
      <c r="H116" s="309" t="str" cm="1">
        <f t="array" ref="H116">IFERROR(LOOKUP(2,1/('[1]Contracts Log'!$F:$F=$D116),'[1]Contracts Log'!$J:$J),"")</f>
        <v>INDUSTRIAL CEMENT ADDITIVES COMPANY</v>
      </c>
      <c r="I116" s="310">
        <v>1</v>
      </c>
      <c r="J116" s="310"/>
      <c r="K116" s="310"/>
      <c r="L116" s="310"/>
      <c r="M116" s="310"/>
      <c r="N116" s="310"/>
      <c r="O116" s="304"/>
      <c r="P116" s="416"/>
      <c r="Q116" s="304"/>
      <c r="R116" s="416"/>
      <c r="S116" s="417"/>
      <c r="T116" s="416"/>
      <c r="U116" s="304"/>
      <c r="V116" s="421" t="s">
        <v>866</v>
      </c>
      <c r="W116" s="422">
        <v>45973</v>
      </c>
      <c r="X116" s="417"/>
      <c r="Y116" s="417"/>
      <c r="Z116" s="335" t="s">
        <v>867</v>
      </c>
      <c r="AA116" s="240">
        <v>45980</v>
      </c>
      <c r="AB116" s="240"/>
      <c r="AC116" s="240"/>
      <c r="AD116" s="335" t="s">
        <v>868</v>
      </c>
      <c r="AE116" s="240">
        <v>46190</v>
      </c>
      <c r="AF116" s="315"/>
      <c r="AG116" s="315"/>
      <c r="AH116" s="315"/>
      <c r="AI116" s="315"/>
      <c r="AJ116" s="363"/>
      <c r="AK116" s="311"/>
      <c r="AL116" s="315"/>
      <c r="AM116" s="315"/>
      <c r="AN116" s="365"/>
      <c r="AO116" s="311"/>
      <c r="AP116" s="314"/>
      <c r="AQ116" s="366"/>
      <c r="AR116" s="314"/>
      <c r="AS116" s="311"/>
      <c r="AT116" s="318"/>
      <c r="AU116" s="318"/>
      <c r="AV116" s="321"/>
      <c r="AW116" s="320"/>
      <c r="AX116" s="318"/>
      <c r="AY116" s="321"/>
      <c r="AZ116" s="320"/>
      <c r="BA116" s="318"/>
      <c r="BB116" s="321"/>
      <c r="BC116" s="322"/>
      <c r="BD116" s="299"/>
      <c r="BE116" s="299"/>
      <c r="BF116" s="323">
        <f t="shared" si="16"/>
        <v>46190</v>
      </c>
      <c r="BG116" s="324">
        <f t="shared" ca="1" si="11"/>
        <v>0</v>
      </c>
      <c r="BH116" s="299"/>
      <c r="BI116" s="325">
        <f t="shared" ca="1" si="13"/>
        <v>0</v>
      </c>
      <c r="BJ116" s="299"/>
      <c r="BK116" s="325">
        <f t="shared" ca="1" si="14"/>
        <v>0</v>
      </c>
      <c r="BL116" s="299"/>
      <c r="BM116" s="326"/>
      <c r="BN116" s="408"/>
      <c r="BO116" s="327" t="s">
        <v>437</v>
      </c>
      <c r="BP116" s="327" t="s">
        <v>20</v>
      </c>
      <c r="BQ116" s="328" t="s">
        <v>37</v>
      </c>
      <c r="BR116" s="329" t="s">
        <v>869</v>
      </c>
      <c r="BS116" s="331"/>
      <c r="BT116" s="327" t="s">
        <v>660</v>
      </c>
      <c r="BU116" s="327"/>
      <c r="BV116" s="327"/>
      <c r="BW116" s="331"/>
      <c r="BX116" s="302"/>
      <c r="BY116" s="302"/>
      <c r="BZ116" s="302"/>
      <c r="CA116" s="295"/>
      <c r="CB116" s="332"/>
      <c r="CC116" s="332"/>
      <c r="CD116" s="332"/>
      <c r="CE116" s="333">
        <v>45978</v>
      </c>
      <c r="CF116" s="334" t="str">
        <f t="shared" si="18"/>
        <v/>
      </c>
    </row>
    <row r="117" spans="1:84" s="334" customFormat="1" ht="409.5" hidden="1" customHeight="1">
      <c r="A117" s="373">
        <v>103</v>
      </c>
      <c r="B117" s="306" t="s">
        <v>310</v>
      </c>
      <c r="C117" s="346" t="s">
        <v>870</v>
      </c>
      <c r="D117" s="427" t="s">
        <v>540</v>
      </c>
      <c r="E117" s="309" t="str" cm="1">
        <f t="array" ref="E117">IFERROR(LOOKUP(2,1/('[1]Contracts Log'!$F:$F=$D117),'[1]Contracts Log'!$G:$G),"")</f>
        <v>1.TB.01.002.99</v>
      </c>
      <c r="F117" s="309" t="str" cm="1">
        <f t="array" ref="F117">IFERROR(LOOKUP(2,1/('[1]Contracts Log'!$F:$F=$D117),'[1]Contracts Log'!$C:$C),"")</f>
        <v>Marina Lifestyle Hotel &amp; Village</v>
      </c>
      <c r="G117" s="309" t="str" cm="1">
        <f t="array" ref="G117">IFERROR(LOOKUP(2,1/('[1]Contracts Log'!$F:$F=$D117),'[1]Contracts Log'!$K:$K),"")</f>
        <v>Structural Steel Works</v>
      </c>
      <c r="H117" s="309" t="str" cm="1">
        <f t="array" ref="H117">IFERROR(LOOKUP(2,1/('[1]Contracts Log'!$F:$F=$D117),'[1]Contracts Log'!$J:$J),"")</f>
        <v>Cleveland Bridge Steel Co. LTD</v>
      </c>
      <c r="I117" s="310"/>
      <c r="J117" s="310">
        <v>1</v>
      </c>
      <c r="K117" s="310"/>
      <c r="L117" s="310"/>
      <c r="M117" s="310"/>
      <c r="N117" s="310"/>
      <c r="O117" s="304"/>
      <c r="P117" s="416"/>
      <c r="Q117" s="304"/>
      <c r="R117" s="416"/>
      <c r="S117" s="417"/>
      <c r="T117" s="416"/>
      <c r="U117" s="304"/>
      <c r="V117" s="421" t="s">
        <v>871</v>
      </c>
      <c r="W117" s="422">
        <v>46042</v>
      </c>
      <c r="X117" s="417"/>
      <c r="Y117" s="417"/>
      <c r="Z117" s="335"/>
      <c r="AA117" s="240" t="s">
        <v>305</v>
      </c>
      <c r="AB117" s="240"/>
      <c r="AC117" s="240"/>
      <c r="AD117" s="335" t="s">
        <v>872</v>
      </c>
      <c r="AE117" s="240">
        <v>46180</v>
      </c>
      <c r="AF117" s="313"/>
      <c r="AG117" s="313"/>
      <c r="AH117" s="313"/>
      <c r="AI117" s="313"/>
      <c r="AJ117" s="336"/>
      <c r="AK117" s="320"/>
      <c r="AL117" s="313"/>
      <c r="AM117" s="313"/>
      <c r="AN117" s="351"/>
      <c r="AO117" s="320"/>
      <c r="AP117" s="321"/>
      <c r="AQ117" s="352"/>
      <c r="AR117" s="321"/>
      <c r="AS117" s="320"/>
      <c r="AT117" s="340">
        <f>382375+315027</f>
        <v>697402</v>
      </c>
      <c r="AU117" s="341"/>
      <c r="AV117" s="314"/>
      <c r="AW117" s="311"/>
      <c r="AX117" s="341"/>
      <c r="AY117" s="314"/>
      <c r="AZ117" s="311"/>
      <c r="BA117" s="341"/>
      <c r="BB117" s="314"/>
      <c r="BC117" s="364"/>
      <c r="BD117" s="299"/>
      <c r="BE117" s="299"/>
      <c r="BF117" s="323">
        <f t="shared" si="16"/>
        <v>46180</v>
      </c>
      <c r="BG117" s="324">
        <f t="shared" ca="1" si="11"/>
        <v>0</v>
      </c>
      <c r="BH117" s="299"/>
      <c r="BI117" s="325" t="str">
        <f t="shared" ca="1" si="13"/>
        <v>N/A</v>
      </c>
      <c r="BJ117" s="299"/>
      <c r="BK117" s="325">
        <f t="shared" ca="1" si="14"/>
        <v>0</v>
      </c>
      <c r="BL117" s="299"/>
      <c r="BM117" s="326"/>
      <c r="BN117" s="408"/>
      <c r="BO117" s="327" t="s">
        <v>437</v>
      </c>
      <c r="BP117" s="327" t="s">
        <v>20</v>
      </c>
      <c r="BQ117" s="328" t="s">
        <v>37</v>
      </c>
      <c r="BR117" s="329" t="s">
        <v>873</v>
      </c>
      <c r="BS117" s="331"/>
      <c r="BT117" s="327" t="s">
        <v>660</v>
      </c>
      <c r="BU117" s="327"/>
      <c r="BV117" s="327"/>
      <c r="BW117" s="331"/>
      <c r="BX117" s="302"/>
      <c r="BY117" s="302"/>
      <c r="BZ117" s="302"/>
      <c r="CA117" s="295"/>
      <c r="CB117" s="332"/>
      <c r="CC117" s="332"/>
      <c r="CD117" s="332"/>
      <c r="CE117" s="333">
        <v>45978</v>
      </c>
      <c r="CF117" s="334" t="str">
        <f t="shared" si="18"/>
        <v/>
      </c>
    </row>
    <row r="118" spans="1:84" s="334" customFormat="1" ht="85" hidden="1">
      <c r="A118" s="373">
        <v>104</v>
      </c>
      <c r="B118" s="306" t="s">
        <v>299</v>
      </c>
      <c r="C118" s="307" t="s">
        <v>874</v>
      </c>
      <c r="D118" s="308" t="s">
        <v>604</v>
      </c>
      <c r="E118" s="309" t="str" cm="1">
        <f t="array" ref="E118">IFERROR(LOOKUP(2,1/('[1]Contracts Log'!$F:$F=$D118),'[1]Contracts Log'!$G:$G),"")</f>
        <v>1.TB.01.009.01</v>
      </c>
      <c r="F118" s="309" t="str" cm="1">
        <f t="array" ref="F118">IFERROR(LOOKUP(2,1/('[1]Contracts Log'!$F:$F=$D118),'[1]Contracts Log'!$C:$C),"")</f>
        <v>Marina Hotel 3</v>
      </c>
      <c r="G118" s="309" t="str" cm="1">
        <f t="array" ref="G118">IFERROR(LOOKUP(2,1/('[1]Contracts Log'!$F:$F=$D118),'[1]Contracts Log'!$K:$K),"")</f>
        <v>Lime Rendering Works for Marina Hotel 3</v>
      </c>
      <c r="H118" s="309" t="str" cm="1">
        <f t="array" ref="H118">IFERROR(LOOKUP(2,1/('[1]Contracts Log'!$F:$F=$D118),'[1]Contracts Log'!$J:$J),"")</f>
        <v>Hassan Allam Construction Saudi Limited</v>
      </c>
      <c r="I118" s="310">
        <v>1</v>
      </c>
      <c r="J118" s="310"/>
      <c r="K118" s="310"/>
      <c r="L118" s="310"/>
      <c r="M118" s="310"/>
      <c r="N118" s="310"/>
      <c r="O118" s="304"/>
      <c r="P118" s="416"/>
      <c r="Q118" s="304"/>
      <c r="R118" s="416"/>
      <c r="S118" s="417"/>
      <c r="T118" s="416"/>
      <c r="U118" s="304"/>
      <c r="V118" s="335" t="s">
        <v>875</v>
      </c>
      <c r="W118" s="240">
        <v>45793</v>
      </c>
      <c r="X118" s="417"/>
      <c r="Y118" s="417"/>
      <c r="Z118" s="335"/>
      <c r="AA118" s="240" t="s">
        <v>305</v>
      </c>
      <c r="AB118" s="240"/>
      <c r="AC118" s="240"/>
      <c r="AD118" s="335"/>
      <c r="AE118" s="240"/>
      <c r="AF118" s="315"/>
      <c r="AG118" s="315"/>
      <c r="AH118" s="315"/>
      <c r="AI118" s="315"/>
      <c r="AJ118" s="363"/>
      <c r="AK118" s="311"/>
      <c r="AL118" s="315"/>
      <c r="AM118" s="315"/>
      <c r="AN118" s="363" t="s">
        <v>876</v>
      </c>
      <c r="AO118" s="311">
        <v>45823</v>
      </c>
      <c r="AP118" s="314"/>
      <c r="AQ118" s="366"/>
      <c r="AR118" s="314"/>
      <c r="AS118" s="311"/>
      <c r="AT118" s="318"/>
      <c r="AU118" s="318"/>
      <c r="AV118" s="321"/>
      <c r="AW118" s="320"/>
      <c r="AX118" s="318"/>
      <c r="AY118" s="321"/>
      <c r="AZ118" s="320"/>
      <c r="BA118" s="318"/>
      <c r="BB118" s="321"/>
      <c r="BC118" s="322"/>
      <c r="BD118" s="299"/>
      <c r="BE118" s="299"/>
      <c r="BF118" s="323">
        <f t="shared" si="16"/>
        <v>45793</v>
      </c>
      <c r="BG118" s="324" t="str">
        <f t="shared" ca="1" si="11"/>
        <v>N/A</v>
      </c>
      <c r="BH118" s="299"/>
      <c r="BI118" s="325">
        <f t="shared" ca="1" si="13"/>
        <v>0</v>
      </c>
      <c r="BJ118" s="299"/>
      <c r="BK118" s="325">
        <f t="shared" ca="1" si="14"/>
        <v>0</v>
      </c>
      <c r="BL118" s="299"/>
      <c r="BM118" s="326"/>
      <c r="BN118" s="360" t="s">
        <v>702</v>
      </c>
      <c r="BO118" s="408" t="s">
        <v>363</v>
      </c>
      <c r="BP118" s="408" t="s">
        <v>376</v>
      </c>
      <c r="BQ118" s="328" t="s">
        <v>21</v>
      </c>
      <c r="BR118" s="329" t="s">
        <v>877</v>
      </c>
      <c r="BS118" s="331"/>
      <c r="BT118" s="327"/>
      <c r="BU118" s="327"/>
      <c r="BV118" s="327"/>
      <c r="BW118" s="331"/>
      <c r="BX118" s="302"/>
      <c r="BY118" s="302">
        <v>45978</v>
      </c>
      <c r="BZ118" s="302"/>
      <c r="CA118" s="295"/>
      <c r="CB118" s="332"/>
      <c r="CC118" s="332"/>
      <c r="CD118" s="332"/>
      <c r="CE118" s="333">
        <v>45976</v>
      </c>
      <c r="CF118" s="334" t="str">
        <f t="shared" si="18"/>
        <v/>
      </c>
    </row>
    <row r="119" spans="1:84" s="334" customFormat="1" ht="77.25" hidden="1" customHeight="1">
      <c r="A119" s="373">
        <v>105</v>
      </c>
      <c r="B119" s="306" t="s">
        <v>299</v>
      </c>
      <c r="C119" s="346" t="s">
        <v>878</v>
      </c>
      <c r="D119" s="308" t="s">
        <v>629</v>
      </c>
      <c r="E119" s="309" t="str" cm="1">
        <f t="array" ref="E119">IFERROR(LOOKUP(2,1/('[1]Contracts Log'!$F:$F=$D119),'[1]Contracts Log'!$G:$G),"")</f>
        <v>1.TB.01.006.99</v>
      </c>
      <c r="F119" s="309" t="str" cm="1">
        <f t="array" ref="F119">IFERROR(LOOKUP(2,1/('[1]Contracts Log'!$F:$F=$D119),'[1]Contracts Log'!$C:$C),"")</f>
        <v>Village Boutique Hotel</v>
      </c>
      <c r="G119" s="309" t="str" cm="1">
        <f t="array" ref="G119">IFERROR(LOOKUP(2,1/('[1]Contracts Log'!$F:$F=$D119),'[1]Contracts Log'!$K:$K),"")</f>
        <v>Aluminum &amp; Glazing Works for Village Boutique Hotel</v>
      </c>
      <c r="H119" s="309" t="str" cm="1">
        <f t="array" ref="H119">IFERROR(LOOKUP(2,1/('[1]Contracts Log'!$F:$F=$D119),'[1]Contracts Log'!$J:$J),"")</f>
        <v>REEM Emirates Company Limited</v>
      </c>
      <c r="I119" s="310">
        <v>1</v>
      </c>
      <c r="J119" s="310"/>
      <c r="K119" s="310"/>
      <c r="L119" s="310"/>
      <c r="M119" s="310"/>
      <c r="N119" s="310"/>
      <c r="O119" s="304"/>
      <c r="P119" s="416"/>
      <c r="Q119" s="304"/>
      <c r="R119" s="416"/>
      <c r="S119" s="417"/>
      <c r="T119" s="416"/>
      <c r="U119" s="304"/>
      <c r="V119" s="335" t="s">
        <v>879</v>
      </c>
      <c r="W119" s="240">
        <v>45996</v>
      </c>
      <c r="X119" s="417"/>
      <c r="Y119" s="417"/>
      <c r="Z119" s="335"/>
      <c r="AA119" s="240" t="s">
        <v>305</v>
      </c>
      <c r="AB119" s="240"/>
      <c r="AC119" s="240"/>
      <c r="AD119" s="335"/>
      <c r="AE119" s="240"/>
      <c r="AF119" s="315"/>
      <c r="AG119" s="315"/>
      <c r="AH119" s="315"/>
      <c r="AI119" s="315"/>
      <c r="AJ119" s="363"/>
      <c r="AK119" s="311"/>
      <c r="AL119" s="315"/>
      <c r="AM119" s="315"/>
      <c r="AN119" s="365"/>
      <c r="AO119" s="311" t="s">
        <v>305</v>
      </c>
      <c r="AP119" s="314"/>
      <c r="AQ119" s="366"/>
      <c r="AR119" s="314"/>
      <c r="AS119" s="311"/>
      <c r="AT119" s="318"/>
      <c r="AU119" s="318"/>
      <c r="AV119" s="321"/>
      <c r="AW119" s="320"/>
      <c r="AX119" s="318"/>
      <c r="AY119" s="321"/>
      <c r="AZ119" s="320"/>
      <c r="BA119" s="318"/>
      <c r="BB119" s="321"/>
      <c r="BC119" s="322"/>
      <c r="BD119" s="299"/>
      <c r="BE119" s="299"/>
      <c r="BF119" s="323">
        <f t="shared" si="16"/>
        <v>45996</v>
      </c>
      <c r="BG119" s="324" t="str">
        <f t="shared" ca="1" si="11"/>
        <v>N/A</v>
      </c>
      <c r="BH119" s="299"/>
      <c r="BI119" s="325">
        <f t="shared" ca="1" si="13"/>
        <v>0</v>
      </c>
      <c r="BJ119" s="299"/>
      <c r="BK119" s="325">
        <f t="shared" ca="1" si="14"/>
        <v>0</v>
      </c>
      <c r="BL119" s="299"/>
      <c r="BM119" s="326"/>
      <c r="BN119" s="408"/>
      <c r="BO119" s="327" t="s">
        <v>567</v>
      </c>
      <c r="BP119" s="327" t="s">
        <v>567</v>
      </c>
      <c r="BQ119" s="328" t="s">
        <v>21</v>
      </c>
      <c r="BR119" s="329" t="s">
        <v>880</v>
      </c>
      <c r="BS119" s="331"/>
      <c r="BT119" s="327"/>
      <c r="BU119" s="327"/>
      <c r="BV119" s="327"/>
      <c r="BW119" s="331"/>
      <c r="BX119" s="302">
        <v>46023</v>
      </c>
      <c r="BY119" s="302"/>
      <c r="BZ119" s="302"/>
      <c r="CA119" s="295"/>
      <c r="CB119" s="332"/>
      <c r="CC119" s="332"/>
      <c r="CD119" s="332"/>
      <c r="CE119" s="333">
        <v>45999</v>
      </c>
      <c r="CF119" s="334" t="str">
        <f t="shared" si="18"/>
        <v/>
      </c>
    </row>
    <row r="120" spans="1:84" s="334" customFormat="1" ht="396.75" hidden="1" customHeight="1">
      <c r="A120" s="373">
        <v>106</v>
      </c>
      <c r="B120" s="306" t="s">
        <v>299</v>
      </c>
      <c r="C120" s="307" t="s">
        <v>881</v>
      </c>
      <c r="D120" s="308" t="s">
        <v>882</v>
      </c>
      <c r="E120" s="309" t="str" cm="1">
        <f t="array" ref="E120">IFERROR(LOOKUP(2,1/('[1]Contracts Log'!$F:$F=$D120),'[1]Contracts Log'!$G:$G),"")</f>
        <v>1.TB.01.005.01</v>
      </c>
      <c r="F120" s="309" t="str" cm="1">
        <f t="array" ref="F120">IFERROR(LOOKUP(2,1/('[1]Contracts Log'!$F:$F=$D120),'[1]Contracts Log'!$C:$C),"")</f>
        <v>Red Sea Marine Life Institute</v>
      </c>
      <c r="G120" s="309" t="str" cm="1">
        <f t="array" ref="G120">IFERROR(LOOKUP(2,1/('[1]Contracts Log'!$F:$F=$D120),'[1]Contracts Log'!$K:$K),"")</f>
        <v>Construction Contract - MEP including Tertiary Infrastructure, Grand Reveal Basin MEP, MEP Systems, Acclimation Areas Works</v>
      </c>
      <c r="H120" s="309" t="str" cm="1">
        <f t="array" ref="H120">IFERROR(LOOKUP(2,1/('[1]Contracts Log'!$F:$F=$D120),'[1]Contracts Log'!$J:$J),"")</f>
        <v>Building Knowledge General Contracting Company LLC (BK Gulf)</v>
      </c>
      <c r="I120" s="310">
        <v>1</v>
      </c>
      <c r="J120" s="310"/>
      <c r="K120" s="310"/>
      <c r="L120" s="310"/>
      <c r="M120" s="310"/>
      <c r="N120" s="310"/>
      <c r="O120" s="304"/>
      <c r="P120" s="416"/>
      <c r="Q120" s="304"/>
      <c r="R120" s="416"/>
      <c r="S120" s="417"/>
      <c r="T120" s="416"/>
      <c r="U120" s="304"/>
      <c r="V120" s="335" t="s">
        <v>883</v>
      </c>
      <c r="W120" s="240">
        <v>45998</v>
      </c>
      <c r="X120" s="417"/>
      <c r="Y120" s="417"/>
      <c r="Z120" s="335" t="s">
        <v>884</v>
      </c>
      <c r="AA120" s="240">
        <v>46013</v>
      </c>
      <c r="AB120" s="240"/>
      <c r="AC120" s="240"/>
      <c r="AD120" s="335" t="s">
        <v>885</v>
      </c>
      <c r="AE120" s="240">
        <v>46195</v>
      </c>
      <c r="AF120" s="316">
        <v>405</v>
      </c>
      <c r="AG120" s="315"/>
      <c r="AH120" s="315"/>
      <c r="AI120" s="315"/>
      <c r="AJ120" s="363"/>
      <c r="AK120" s="311"/>
      <c r="AL120" s="315"/>
      <c r="AM120" s="315"/>
      <c r="AN120" s="365"/>
      <c r="AO120" s="311"/>
      <c r="AP120" s="314"/>
      <c r="AQ120" s="366"/>
      <c r="AR120" s="314"/>
      <c r="AS120" s="311"/>
      <c r="AT120" s="318"/>
      <c r="AU120" s="318"/>
      <c r="AV120" s="321"/>
      <c r="AW120" s="320"/>
      <c r="AX120" s="318"/>
      <c r="AY120" s="321"/>
      <c r="AZ120" s="320"/>
      <c r="BA120" s="318"/>
      <c r="BB120" s="321"/>
      <c r="BC120" s="322"/>
      <c r="BD120" s="299"/>
      <c r="BE120" s="299"/>
      <c r="BF120" s="323">
        <f t="shared" si="16"/>
        <v>46195</v>
      </c>
      <c r="BG120" s="324">
        <f t="shared" ca="1" si="11"/>
        <v>64</v>
      </c>
      <c r="BH120" s="375">
        <v>46259</v>
      </c>
      <c r="BI120" s="325">
        <f t="shared" ca="1" si="13"/>
        <v>41</v>
      </c>
      <c r="BJ120" s="299"/>
      <c r="BK120" s="325">
        <f t="shared" ca="1" si="14"/>
        <v>0</v>
      </c>
      <c r="BL120" s="299"/>
      <c r="BM120" s="326"/>
      <c r="BN120" s="408"/>
      <c r="BO120" s="327" t="s">
        <v>437</v>
      </c>
      <c r="BP120" s="327" t="s">
        <v>20</v>
      </c>
      <c r="BQ120" s="328" t="s">
        <v>45</v>
      </c>
      <c r="BR120" s="329" t="s">
        <v>886</v>
      </c>
      <c r="BS120" s="331"/>
      <c r="BT120" s="327"/>
      <c r="BU120" s="327"/>
      <c r="BV120" s="327"/>
      <c r="BW120" s="331"/>
      <c r="BX120" s="302"/>
      <c r="BY120" s="302"/>
      <c r="BZ120" s="302"/>
      <c r="CA120" s="295"/>
      <c r="CB120" s="332"/>
      <c r="CC120" s="332"/>
      <c r="CD120" s="332"/>
      <c r="CE120" s="333">
        <v>46033</v>
      </c>
      <c r="CF120" s="334" t="str">
        <f t="shared" si="18"/>
        <v/>
      </c>
    </row>
    <row r="121" spans="1:84" s="334" customFormat="1" ht="247.5" hidden="1" customHeight="1">
      <c r="A121" s="373">
        <v>107</v>
      </c>
      <c r="B121" s="306" t="s">
        <v>310</v>
      </c>
      <c r="C121" s="307" t="s">
        <v>887</v>
      </c>
      <c r="D121" s="308" t="s">
        <v>882</v>
      </c>
      <c r="E121" s="309" t="str" cm="1">
        <f t="array" ref="E121">IFERROR(LOOKUP(2,1/('[1]Contracts Log'!$F:$F=$D121),'[1]Contracts Log'!$G:$G),"")</f>
        <v>1.TB.01.005.01</v>
      </c>
      <c r="F121" s="309" t="str" cm="1">
        <f t="array" ref="F121">IFERROR(LOOKUP(2,1/('[1]Contracts Log'!$F:$F=$D121),'[1]Contracts Log'!$C:$C),"")</f>
        <v>Red Sea Marine Life Institute</v>
      </c>
      <c r="G121" s="309" t="str" cm="1">
        <f t="array" ref="G121">IFERROR(LOOKUP(2,1/('[1]Contracts Log'!$F:$F=$D121),'[1]Contracts Log'!$K:$K),"")</f>
        <v>Construction Contract - MEP including Tertiary Infrastructure, Grand Reveal Basin MEP, MEP Systems, Acclimation Areas Works</v>
      </c>
      <c r="H121" s="309" t="str" cm="1">
        <f t="array" ref="H121">IFERROR(LOOKUP(2,1/('[1]Contracts Log'!$F:$F=$D121),'[1]Contracts Log'!$J:$J),"")</f>
        <v>Building Knowledge General Contracting Company LLC (BK Gulf)</v>
      </c>
      <c r="I121" s="310"/>
      <c r="J121" s="310">
        <v>1</v>
      </c>
      <c r="K121" s="310"/>
      <c r="L121" s="310"/>
      <c r="M121" s="310"/>
      <c r="N121" s="310"/>
      <c r="O121" s="304"/>
      <c r="P121" s="416"/>
      <c r="Q121" s="304"/>
      <c r="R121" s="416"/>
      <c r="S121" s="417"/>
      <c r="T121" s="416"/>
      <c r="U121" s="304"/>
      <c r="V121" s="335" t="s">
        <v>883</v>
      </c>
      <c r="W121" s="240">
        <v>45998</v>
      </c>
      <c r="X121" s="417"/>
      <c r="Y121" s="417"/>
      <c r="Z121" s="335" t="s">
        <v>884</v>
      </c>
      <c r="AA121" s="240">
        <v>46013</v>
      </c>
      <c r="AB121" s="240"/>
      <c r="AC121" s="240"/>
      <c r="AD121" s="335" t="s">
        <v>888</v>
      </c>
      <c r="AE121" s="240">
        <v>46029</v>
      </c>
      <c r="AF121" s="313"/>
      <c r="AG121" s="313"/>
      <c r="AH121" s="313"/>
      <c r="AI121" s="313"/>
      <c r="AJ121" s="336"/>
      <c r="AK121" s="320"/>
      <c r="AL121" s="313"/>
      <c r="AM121" s="313"/>
      <c r="AN121" s="351"/>
      <c r="AO121" s="320"/>
      <c r="AP121" s="321"/>
      <c r="AQ121" s="352"/>
      <c r="AR121" s="321"/>
      <c r="AS121" s="320"/>
      <c r="AT121" s="340">
        <v>27106508</v>
      </c>
      <c r="AU121" s="341"/>
      <c r="AV121" s="314"/>
      <c r="AW121" s="311"/>
      <c r="AX121" s="341"/>
      <c r="AY121" s="314"/>
      <c r="AZ121" s="311"/>
      <c r="BA121" s="341"/>
      <c r="BB121" s="314"/>
      <c r="BC121" s="364"/>
      <c r="BD121" s="299"/>
      <c r="BE121" s="299"/>
      <c r="BF121" s="323">
        <f t="shared" si="16"/>
        <v>46029</v>
      </c>
      <c r="BG121" s="324">
        <f t="shared" ca="1" si="11"/>
        <v>0</v>
      </c>
      <c r="BH121" s="299"/>
      <c r="BI121" s="325" t="str">
        <f t="shared" ca="1" si="13"/>
        <v>N/A</v>
      </c>
      <c r="BJ121" s="299"/>
      <c r="BK121" s="325">
        <f t="shared" ca="1" si="14"/>
        <v>0</v>
      </c>
      <c r="BL121" s="299"/>
      <c r="BM121" s="326"/>
      <c r="BN121" s="408"/>
      <c r="BO121" s="327" t="s">
        <v>437</v>
      </c>
      <c r="BP121" s="327" t="s">
        <v>20</v>
      </c>
      <c r="BQ121" s="328" t="s">
        <v>41</v>
      </c>
      <c r="BR121" s="329" t="s">
        <v>889</v>
      </c>
      <c r="BS121" s="331"/>
      <c r="BT121" s="327"/>
      <c r="BU121" s="327"/>
      <c r="BV121" s="327"/>
      <c r="BW121" s="331"/>
      <c r="BX121" s="302"/>
      <c r="BY121" s="302"/>
      <c r="BZ121" s="302"/>
      <c r="CA121" s="295"/>
      <c r="CB121" s="332"/>
      <c r="CC121" s="332"/>
      <c r="CD121" s="332"/>
      <c r="CE121" s="333">
        <v>46033</v>
      </c>
      <c r="CF121" s="334" t="str">
        <f t="shared" si="18"/>
        <v/>
      </c>
    </row>
    <row r="122" spans="1:84" s="334" customFormat="1" ht="364.5" hidden="1" customHeight="1">
      <c r="A122" s="414">
        <v>108</v>
      </c>
      <c r="B122" s="306" t="s">
        <v>299</v>
      </c>
      <c r="C122" s="307" t="s">
        <v>890</v>
      </c>
      <c r="D122" s="308" t="s">
        <v>721</v>
      </c>
      <c r="E122" s="309" t="str" cm="1">
        <f t="array" ref="E122">IFERROR(LOOKUP(2,1/('[1]Contracts Log'!$F:$F=$D122),'[1]Contracts Log'!$G:$G),"")</f>
        <v>1.TB.01.005.01</v>
      </c>
      <c r="F122" s="309" t="str" cm="1">
        <f t="array" ref="F122">IFERROR(LOOKUP(2,1/('[1]Contracts Log'!$F:$F=$D122),'[1]Contracts Log'!$C:$C),"")</f>
        <v>Red Sea Marine Life Institute</v>
      </c>
      <c r="G122" s="309" t="str" cm="1">
        <f t="array" ref="G122">IFERROR(LOOKUP(2,1/('[1]Contracts Log'!$F:$F=$D122),'[1]Contracts Log'!$K:$K),"")</f>
        <v>Fit Out Works for Red Sea Marine Life Institute</v>
      </c>
      <c r="H122" s="309" t="str" cm="1">
        <f t="array" ref="H122">IFERROR(LOOKUP(2,1/('[1]Contracts Log'!$F:$F=$D122),'[1]Contracts Log'!$J:$J),"")</f>
        <v>Alec Saudi Engineering and Contracting Company</v>
      </c>
      <c r="I122" s="310">
        <v>1</v>
      </c>
      <c r="J122" s="310"/>
      <c r="K122" s="310"/>
      <c r="L122" s="310"/>
      <c r="M122" s="310"/>
      <c r="N122" s="310"/>
      <c r="O122" s="304"/>
      <c r="P122" s="416"/>
      <c r="Q122" s="304"/>
      <c r="R122" s="416"/>
      <c r="S122" s="417"/>
      <c r="T122" s="416"/>
      <c r="U122" s="304"/>
      <c r="V122" s="335" t="s">
        <v>891</v>
      </c>
      <c r="W122" s="240">
        <v>46008</v>
      </c>
      <c r="X122" s="417"/>
      <c r="Y122" s="417"/>
      <c r="Z122" s="335"/>
      <c r="AA122" s="240" t="s">
        <v>305</v>
      </c>
      <c r="AB122" s="240"/>
      <c r="AC122" s="240"/>
      <c r="AD122" s="335"/>
      <c r="AE122" s="240"/>
      <c r="AF122" s="315">
        <v>274</v>
      </c>
      <c r="AG122" s="315"/>
      <c r="AH122" s="315"/>
      <c r="AI122" s="315"/>
      <c r="AJ122" s="363"/>
      <c r="AK122" s="311"/>
      <c r="AL122" s="315"/>
      <c r="AM122" s="315"/>
      <c r="AN122" s="363" t="s">
        <v>892</v>
      </c>
      <c r="AO122" s="311">
        <f>+DATE(2026,3,2)+7</f>
        <v>46090</v>
      </c>
      <c r="AP122" s="314"/>
      <c r="AQ122" s="366"/>
      <c r="AR122" s="314"/>
      <c r="AS122" s="311"/>
      <c r="AT122" s="318"/>
      <c r="AU122" s="318"/>
      <c r="AV122" s="321"/>
      <c r="AW122" s="320"/>
      <c r="AX122" s="318"/>
      <c r="AY122" s="321"/>
      <c r="AZ122" s="320"/>
      <c r="BA122" s="318"/>
      <c r="BB122" s="321"/>
      <c r="BC122" s="322"/>
      <c r="BD122" s="299"/>
      <c r="BE122" s="299"/>
      <c r="BF122" s="323">
        <f t="shared" si="16"/>
        <v>46008</v>
      </c>
      <c r="BG122" s="324" t="str">
        <f t="shared" ca="1" si="11"/>
        <v>N/A</v>
      </c>
      <c r="BH122" s="323">
        <v>46063</v>
      </c>
      <c r="BI122" s="325">
        <f t="shared" ca="1" si="13"/>
        <v>16</v>
      </c>
      <c r="BJ122" s="323">
        <v>46079</v>
      </c>
      <c r="BK122" s="325">
        <f t="shared" ca="1" si="14"/>
        <v>4</v>
      </c>
      <c r="BL122" s="323">
        <v>46083</v>
      </c>
      <c r="BM122" s="326"/>
      <c r="BN122" s="408"/>
      <c r="BO122" s="327" t="s">
        <v>220</v>
      </c>
      <c r="BP122" s="327" t="s">
        <v>376</v>
      </c>
      <c r="BQ122" s="328" t="s">
        <v>21</v>
      </c>
      <c r="BR122" s="329" t="s">
        <v>893</v>
      </c>
      <c r="BS122" s="331"/>
      <c r="BT122" s="327"/>
      <c r="BU122" s="327"/>
      <c r="BV122" s="327"/>
      <c r="BW122" s="331"/>
      <c r="BX122" s="302">
        <v>46082</v>
      </c>
      <c r="BY122" s="302"/>
      <c r="BZ122" s="302"/>
      <c r="CA122" s="295"/>
      <c r="CB122" s="332"/>
      <c r="CC122" s="332"/>
      <c r="CD122" s="332"/>
      <c r="CE122" s="333">
        <v>46033</v>
      </c>
      <c r="CF122" s="334" t="str">
        <f t="shared" si="18"/>
        <v/>
      </c>
    </row>
    <row r="123" spans="1:84" s="334" customFormat="1" ht="315" hidden="1" customHeight="1">
      <c r="A123" s="373">
        <v>109</v>
      </c>
      <c r="B123" s="306" t="s">
        <v>310</v>
      </c>
      <c r="C123" s="307" t="s">
        <v>894</v>
      </c>
      <c r="D123" s="308" t="s">
        <v>492</v>
      </c>
      <c r="E123" s="309" t="str" cm="1">
        <f t="array" ref="E123">IFERROR(LOOKUP(2,1/('[1]Contracts Log'!$F:$F=$D123),'[1]Contracts Log'!$G:$G),"")</f>
        <v>1.TB.01.009.01</v>
      </c>
      <c r="F123" s="309" t="str" cm="1">
        <f t="array" ref="F123">IFERROR(LOOKUP(2,1/('[1]Contracts Log'!$F:$F=$D123),'[1]Contracts Log'!$C:$C),"")</f>
        <v>Marina Hotel 3</v>
      </c>
      <c r="G123" s="309" t="str" cm="1">
        <f t="array" ref="G123">IFERROR(LOOKUP(2,1/('[1]Contracts Log'!$F:$F=$D123),'[1]Contracts Log'!$K:$K),"")</f>
        <v>Civil &amp; Concrete Works for Marina Hotel 3 - Phase 1</v>
      </c>
      <c r="H123" s="309" t="str" cm="1">
        <f t="array" ref="H123">IFERROR(LOOKUP(2,1/('[1]Contracts Log'!$F:$F=$D123),'[1]Contracts Log'!$J:$J),"")</f>
        <v>MAS Engineering &amp; Construction Company LTD</v>
      </c>
      <c r="I123" s="310"/>
      <c r="J123" s="310">
        <v>1</v>
      </c>
      <c r="K123" s="310"/>
      <c r="L123" s="310"/>
      <c r="M123" s="310"/>
      <c r="N123" s="310"/>
      <c r="O123" s="304"/>
      <c r="P123" s="416"/>
      <c r="Q123" s="304"/>
      <c r="R123" s="416"/>
      <c r="S123" s="417"/>
      <c r="T123" s="416"/>
      <c r="U123" s="304"/>
      <c r="V123" s="335" t="s">
        <v>895</v>
      </c>
      <c r="W123" s="240">
        <v>46013</v>
      </c>
      <c r="X123" s="417"/>
      <c r="Y123" s="417"/>
      <c r="Z123" s="335"/>
      <c r="AA123" s="240" t="s">
        <v>305</v>
      </c>
      <c r="AB123" s="240"/>
      <c r="AC123" s="240"/>
      <c r="AD123" s="335"/>
      <c r="AE123" s="240"/>
      <c r="AF123" s="313"/>
      <c r="AG123" s="313"/>
      <c r="AH123" s="313"/>
      <c r="AI123" s="313"/>
      <c r="AJ123" s="336"/>
      <c r="AK123" s="320"/>
      <c r="AL123" s="313"/>
      <c r="AM123" s="313"/>
      <c r="AN123" s="351"/>
      <c r="AO123" s="320"/>
      <c r="AP123" s="321"/>
      <c r="AQ123" s="352"/>
      <c r="AR123" s="321"/>
      <c r="AS123" s="320"/>
      <c r="AT123" s="340">
        <v>4464757.87</v>
      </c>
      <c r="AU123" s="341"/>
      <c r="AV123" s="314"/>
      <c r="AW123" s="311"/>
      <c r="AX123" s="341"/>
      <c r="AY123" s="314"/>
      <c r="AZ123" s="311"/>
      <c r="BA123" s="341"/>
      <c r="BB123" s="314"/>
      <c r="BC123" s="364"/>
      <c r="BD123" s="299"/>
      <c r="BE123" s="299"/>
      <c r="BF123" s="323">
        <f t="shared" si="16"/>
        <v>46013</v>
      </c>
      <c r="BG123" s="324">
        <f t="shared" ca="1" si="11"/>
        <v>0</v>
      </c>
      <c r="BH123" s="299"/>
      <c r="BI123" s="325" t="str">
        <f t="shared" ca="1" si="13"/>
        <v>N/A</v>
      </c>
      <c r="BJ123" s="299"/>
      <c r="BK123" s="325">
        <f t="shared" ca="1" si="14"/>
        <v>0</v>
      </c>
      <c r="BL123" s="299"/>
      <c r="BM123" s="326"/>
      <c r="BN123" s="408"/>
      <c r="BO123" s="327" t="s">
        <v>437</v>
      </c>
      <c r="BP123" s="327" t="s">
        <v>20</v>
      </c>
      <c r="BQ123" s="328" t="s">
        <v>37</v>
      </c>
      <c r="BR123" s="428" t="s">
        <v>896</v>
      </c>
      <c r="BS123" s="331"/>
      <c r="BT123" s="327" t="s">
        <v>660</v>
      </c>
      <c r="BU123" s="327"/>
      <c r="BV123" s="327"/>
      <c r="BW123" s="331"/>
      <c r="BX123" s="302"/>
      <c r="BY123" s="302"/>
      <c r="BZ123" s="302"/>
      <c r="CA123" s="295"/>
      <c r="CB123" s="332"/>
      <c r="CC123" s="332"/>
      <c r="CD123" s="332"/>
      <c r="CE123" s="333">
        <v>46033</v>
      </c>
      <c r="CF123" s="334" t="str">
        <f t="shared" si="18"/>
        <v/>
      </c>
    </row>
    <row r="124" spans="1:84" s="334" customFormat="1" ht="372" hidden="1" customHeight="1">
      <c r="A124" s="414">
        <v>110</v>
      </c>
      <c r="B124" s="306" t="s">
        <v>299</v>
      </c>
      <c r="C124" s="307" t="s">
        <v>897</v>
      </c>
      <c r="D124" s="308" t="s">
        <v>898</v>
      </c>
      <c r="E124" s="309" t="str" cm="1">
        <f t="array" ref="E124">IFERROR(LOOKUP(2,1/('[1]Contracts Log'!$F:$F=$D124),'[1]Contracts Log'!$G:$G),"")</f>
        <v>1.TB.01.002.02</v>
      </c>
      <c r="F124" s="309" t="str" cm="1">
        <f t="array" ref="F124">IFERROR(LOOKUP(2,1/('[1]Contracts Log'!$F:$F=$D124),'[1]Contracts Log'!$C:$C),"")</f>
        <v>Marina Lifestyle Hotel &amp; Village</v>
      </c>
      <c r="G124" s="309" t="str" cm="1">
        <f t="array" ref="G124">IFERROR(LOOKUP(2,1/('[1]Contracts Log'!$F:$F=$D124),'[1]Contracts Log'!$K:$K),"")</f>
        <v>Fit Out &amp; MEP works for New Facilities</v>
      </c>
      <c r="H124" s="309" t="str" cm="1">
        <f t="array" ref="H124">IFERROR(LOOKUP(2,1/('[1]Contracts Log'!$F:$F=$D124),'[1]Contracts Log'!$J:$J),"")</f>
        <v>Havelock One Interiors Company</v>
      </c>
      <c r="I124" s="310">
        <v>1</v>
      </c>
      <c r="J124" s="310"/>
      <c r="K124" s="310"/>
      <c r="L124" s="310"/>
      <c r="M124" s="310"/>
      <c r="N124" s="310"/>
      <c r="O124" s="304"/>
      <c r="P124" s="416"/>
      <c r="Q124" s="304"/>
      <c r="R124" s="416"/>
      <c r="S124" s="417"/>
      <c r="T124" s="416"/>
      <c r="U124" s="304"/>
      <c r="V124" s="335" t="s">
        <v>899</v>
      </c>
      <c r="W124" s="240">
        <v>46004</v>
      </c>
      <c r="X124" s="417"/>
      <c r="Y124" s="417"/>
      <c r="Z124" s="335"/>
      <c r="AA124" s="240" t="s">
        <v>305</v>
      </c>
      <c r="AB124" s="240"/>
      <c r="AC124" s="240"/>
      <c r="AD124" s="335"/>
      <c r="AE124" s="240"/>
      <c r="AF124" s="315"/>
      <c r="AG124" s="315"/>
      <c r="AH124" s="315"/>
      <c r="AI124" s="315"/>
      <c r="AJ124" s="363"/>
      <c r="AK124" s="311"/>
      <c r="AL124" s="315"/>
      <c r="AM124" s="315"/>
      <c r="AN124" s="363" t="s">
        <v>900</v>
      </c>
      <c r="AO124" s="311">
        <f>+DATE(2026,5,11)+7</f>
        <v>46160</v>
      </c>
      <c r="AP124" s="314"/>
      <c r="AQ124" s="366"/>
      <c r="AR124" s="314"/>
      <c r="AS124" s="311"/>
      <c r="AT124" s="318"/>
      <c r="AU124" s="318"/>
      <c r="AV124" s="321"/>
      <c r="AW124" s="320"/>
      <c r="AX124" s="318"/>
      <c r="AY124" s="321"/>
      <c r="AZ124" s="320"/>
      <c r="BA124" s="318"/>
      <c r="BB124" s="321"/>
      <c r="BC124" s="322"/>
      <c r="BD124" s="299"/>
      <c r="BE124" s="299"/>
      <c r="BF124" s="323">
        <f t="shared" si="16"/>
        <v>46004</v>
      </c>
      <c r="BG124" s="324">
        <f t="shared" ca="1" si="11"/>
        <v>142</v>
      </c>
      <c r="BH124" s="375">
        <v>46146</v>
      </c>
      <c r="BI124" s="325">
        <f t="shared" ca="1" si="13"/>
        <v>3</v>
      </c>
      <c r="BJ124" s="375">
        <v>46149</v>
      </c>
      <c r="BK124" s="325">
        <f t="shared" ca="1" si="14"/>
        <v>151</v>
      </c>
      <c r="BL124" s="299"/>
      <c r="BM124" s="326"/>
      <c r="BN124" s="408"/>
      <c r="BO124" s="327" t="s">
        <v>220</v>
      </c>
      <c r="BP124" s="327" t="s">
        <v>20</v>
      </c>
      <c r="BQ124" s="328" t="s">
        <v>37</v>
      </c>
      <c r="BR124" s="329" t="s">
        <v>901</v>
      </c>
      <c r="BS124" s="331"/>
      <c r="BT124" s="327"/>
      <c r="BU124" s="327"/>
      <c r="BV124" s="327"/>
      <c r="BW124" s="331"/>
      <c r="BX124" s="302">
        <v>46143</v>
      </c>
      <c r="BY124" s="302"/>
      <c r="BZ124" s="302"/>
      <c r="CA124" s="295"/>
      <c r="CB124" s="332"/>
      <c r="CC124" s="332"/>
      <c r="CD124" s="332"/>
      <c r="CE124" s="333">
        <v>46033</v>
      </c>
      <c r="CF124" s="334" t="str">
        <f t="shared" si="18"/>
        <v/>
      </c>
    </row>
    <row r="125" spans="1:84" s="334" customFormat="1" ht="409.5" hidden="1" customHeight="1">
      <c r="A125" s="373">
        <v>111</v>
      </c>
      <c r="B125" s="306" t="s">
        <v>299</v>
      </c>
      <c r="C125" s="307" t="s">
        <v>902</v>
      </c>
      <c r="D125" s="308" t="s">
        <v>439</v>
      </c>
      <c r="E125" s="309" t="str" cm="1">
        <f t="array" ref="E125">IFERROR(LOOKUP(2,1/('[1]Contracts Log'!$F:$F=$D125),'[1]Contracts Log'!$G:$G),"")</f>
        <v>1.TB.01.002.03</v>
      </c>
      <c r="F125" s="309" t="str" cm="1">
        <f t="array" ref="F125">IFERROR(LOOKUP(2,1/('[1]Contracts Log'!$F:$F=$D125),'[1]Contracts Log'!$C:$C),"")</f>
        <v>Marina Lifestyle Hotel &amp; Village</v>
      </c>
      <c r="G125" s="309" t="str" cm="1">
        <f t="array" ref="G125">IFERROR(LOOKUP(2,1/('[1]Contracts Log'!$F:$F=$D125),'[1]Contracts Log'!$K:$K),"")</f>
        <v>Concrete Structure and Civil Works for Marina Lifestyle Hotel</v>
      </c>
      <c r="H125" s="309" t="str" cm="1">
        <f t="array" ref="H125">IFERROR(LOOKUP(2,1/('[1]Contracts Log'!$F:$F=$D125),'[1]Contracts Log'!$J:$J),"")</f>
        <v>MAS Engineering &amp; Construction Company LTD</v>
      </c>
      <c r="I125" s="310">
        <v>1</v>
      </c>
      <c r="J125" s="310"/>
      <c r="K125" s="310"/>
      <c r="L125" s="310"/>
      <c r="M125" s="310"/>
      <c r="N125" s="310"/>
      <c r="O125" s="304"/>
      <c r="P125" s="416"/>
      <c r="Q125" s="304"/>
      <c r="R125" s="416"/>
      <c r="S125" s="417"/>
      <c r="T125" s="416"/>
      <c r="U125" s="304"/>
      <c r="V125" s="335" t="s">
        <v>903</v>
      </c>
      <c r="W125" s="240">
        <v>46040</v>
      </c>
      <c r="X125" s="417"/>
      <c r="Y125" s="417"/>
      <c r="Z125" s="335" t="s">
        <v>904</v>
      </c>
      <c r="AA125" s="240">
        <v>46072</v>
      </c>
      <c r="AB125" s="240"/>
      <c r="AC125" s="240"/>
      <c r="AD125" s="335" t="s">
        <v>905</v>
      </c>
      <c r="AE125" s="240">
        <v>46099</v>
      </c>
      <c r="AF125" s="315"/>
      <c r="AG125" s="315"/>
      <c r="AH125" s="315"/>
      <c r="AI125" s="315"/>
      <c r="AJ125" s="363"/>
      <c r="AK125" s="311"/>
      <c r="AL125" s="315"/>
      <c r="AM125" s="315"/>
      <c r="AN125" s="365"/>
      <c r="AO125" s="311"/>
      <c r="AP125" s="314"/>
      <c r="AQ125" s="366"/>
      <c r="AR125" s="314"/>
      <c r="AS125" s="311"/>
      <c r="AT125" s="318"/>
      <c r="AU125" s="318"/>
      <c r="AV125" s="321"/>
      <c r="AW125" s="320"/>
      <c r="AX125" s="318"/>
      <c r="AY125" s="321"/>
      <c r="AZ125" s="320"/>
      <c r="BA125" s="318"/>
      <c r="BB125" s="321"/>
      <c r="BC125" s="322"/>
      <c r="BD125" s="299"/>
      <c r="BE125" s="299"/>
      <c r="BF125" s="323">
        <f t="shared" si="16"/>
        <v>46099</v>
      </c>
      <c r="BG125" s="324">
        <f t="shared" ca="1" si="11"/>
        <v>201</v>
      </c>
      <c r="BH125" s="299"/>
      <c r="BI125" s="325">
        <f t="shared" ca="1" si="13"/>
        <v>0</v>
      </c>
      <c r="BJ125" s="299"/>
      <c r="BK125" s="325">
        <f t="shared" ca="1" si="14"/>
        <v>0</v>
      </c>
      <c r="BL125" s="299"/>
      <c r="BM125" s="326"/>
      <c r="BN125" s="408"/>
      <c r="BO125" s="327" t="s">
        <v>437</v>
      </c>
      <c r="BP125" s="327" t="s">
        <v>20</v>
      </c>
      <c r="BQ125" s="328" t="s">
        <v>43</v>
      </c>
      <c r="BR125" s="429" t="s">
        <v>1079</v>
      </c>
      <c r="BS125" s="331"/>
      <c r="BT125" s="327"/>
      <c r="BU125" s="327"/>
      <c r="BV125" s="327"/>
      <c r="BW125" s="331"/>
      <c r="BX125" s="302"/>
      <c r="BY125" s="302"/>
      <c r="BZ125" s="302"/>
      <c r="CA125" s="295"/>
      <c r="CB125" s="332"/>
      <c r="CC125" s="332"/>
      <c r="CD125" s="332"/>
      <c r="CE125" s="333">
        <v>46041</v>
      </c>
      <c r="CF125" s="334" t="str">
        <f t="shared" si="18"/>
        <v/>
      </c>
    </row>
    <row r="126" spans="1:84" s="334" customFormat="1" ht="383.25" hidden="1" customHeight="1">
      <c r="A126" s="373">
        <v>112</v>
      </c>
      <c r="B126" s="430" t="s">
        <v>299</v>
      </c>
      <c r="C126" s="307" t="s">
        <v>906</v>
      </c>
      <c r="D126" s="308" t="s">
        <v>907</v>
      </c>
      <c r="E126" s="309" t="str" cm="1">
        <f t="array" ref="E126">IFERROR(LOOKUP(2,1/('[1]Contracts Log'!$F:$F=$D126),'[1]Contracts Log'!$G:$G),"")</f>
        <v>1.TB.01.100.00</v>
      </c>
      <c r="F126" s="309" t="str" cm="1">
        <f t="array" ref="F126">IFERROR(LOOKUP(2,1/('[1]Contracts Log'!$F:$F=$D126),'[1]Contracts Log'!$C:$C),"")</f>
        <v>Marina Village - Wide</v>
      </c>
      <c r="G126" s="309" t="str" cm="1">
        <f t="array" ref="G126">IFERROR(LOOKUP(2,1/('[1]Contracts Log'!$F:$F=$D126),'[1]Contracts Log'!$K:$K),"")</f>
        <v>Hard Landscape Works for a Triple Bay - Marina Precinct</v>
      </c>
      <c r="H126" s="309" t="str" cm="1">
        <f t="array" ref="H126">IFERROR(LOOKUP(2,1/('[1]Contracts Log'!$F:$F=$D126),'[1]Contracts Log'!$J:$J),"")</f>
        <v>Saudi SALCO Contracting Co</v>
      </c>
      <c r="I126" s="310">
        <v>1</v>
      </c>
      <c r="J126" s="310"/>
      <c r="K126" s="310"/>
      <c r="L126" s="310"/>
      <c r="M126" s="310"/>
      <c r="N126" s="310"/>
      <c r="O126" s="304"/>
      <c r="P126" s="416"/>
      <c r="Q126" s="304"/>
      <c r="R126" s="416"/>
      <c r="S126" s="417"/>
      <c r="T126" s="416"/>
      <c r="U126" s="304"/>
      <c r="V126" s="335" t="s">
        <v>908</v>
      </c>
      <c r="W126" s="240">
        <v>46074</v>
      </c>
      <c r="X126" s="417"/>
      <c r="Y126" s="417"/>
      <c r="Z126" s="335"/>
      <c r="AA126" s="240" t="s">
        <v>305</v>
      </c>
      <c r="AB126" s="240"/>
      <c r="AC126" s="240"/>
      <c r="AD126" s="335" t="s">
        <v>909</v>
      </c>
      <c r="AE126" s="240">
        <v>46256</v>
      </c>
      <c r="AF126" s="315"/>
      <c r="AG126" s="315"/>
      <c r="AH126" s="315"/>
      <c r="AI126" s="315"/>
      <c r="AJ126" s="363"/>
      <c r="AK126" s="311"/>
      <c r="AL126" s="315"/>
      <c r="AM126" s="315"/>
      <c r="AN126" s="365"/>
      <c r="AO126" s="311"/>
      <c r="AP126" s="314"/>
      <c r="AQ126" s="366"/>
      <c r="AR126" s="314"/>
      <c r="AS126" s="311"/>
      <c r="AT126" s="318"/>
      <c r="AU126" s="318"/>
      <c r="AV126" s="321"/>
      <c r="AW126" s="320"/>
      <c r="AX126" s="318"/>
      <c r="AY126" s="321"/>
      <c r="AZ126" s="320"/>
      <c r="BA126" s="318"/>
      <c r="BB126" s="321"/>
      <c r="BC126" s="322"/>
      <c r="BD126" s="299"/>
      <c r="BE126" s="299"/>
      <c r="BF126" s="323">
        <f t="shared" si="16"/>
        <v>46256</v>
      </c>
      <c r="BG126" s="324">
        <f t="shared" ca="1" si="11"/>
        <v>-144</v>
      </c>
      <c r="BH126" s="375">
        <v>46112</v>
      </c>
      <c r="BI126" s="325">
        <f t="shared" ca="1" si="13"/>
        <v>188</v>
      </c>
      <c r="BJ126" s="299"/>
      <c r="BK126" s="325">
        <f t="shared" ca="1" si="14"/>
        <v>0</v>
      </c>
      <c r="BL126" s="299"/>
      <c r="BM126" s="326"/>
      <c r="BN126" s="408"/>
      <c r="BO126" s="327" t="s">
        <v>437</v>
      </c>
      <c r="BP126" s="327" t="s">
        <v>20</v>
      </c>
      <c r="BQ126" s="328" t="s">
        <v>45</v>
      </c>
      <c r="BR126" s="329" t="s">
        <v>910</v>
      </c>
      <c r="BS126" s="331"/>
      <c r="BT126" s="327"/>
      <c r="BU126" s="327"/>
      <c r="BV126" s="327"/>
      <c r="BW126" s="331"/>
      <c r="BX126" s="302">
        <v>46296</v>
      </c>
      <c r="BY126" s="302"/>
      <c r="BZ126" s="302"/>
      <c r="CA126" s="295"/>
      <c r="CB126" s="332"/>
      <c r="CC126" s="332"/>
      <c r="CD126" s="332"/>
      <c r="CE126" s="333">
        <v>46047</v>
      </c>
      <c r="CF126" s="334" t="str">
        <f t="shared" si="18"/>
        <v/>
      </c>
    </row>
    <row r="127" spans="1:84" s="334" customFormat="1" ht="409.5" hidden="1" customHeight="1">
      <c r="A127" s="373">
        <v>113</v>
      </c>
      <c r="B127" s="430" t="s">
        <v>299</v>
      </c>
      <c r="C127" s="307" t="s">
        <v>911</v>
      </c>
      <c r="D127" s="308" t="s">
        <v>610</v>
      </c>
      <c r="E127" s="309" t="str" cm="1">
        <f t="array" ref="E127">IFERROR(LOOKUP(2,1/('[1]Contracts Log'!$F:$F=$D127),'[1]Contracts Log'!$G:$G),"")</f>
        <v>1.TB.01.005.01</v>
      </c>
      <c r="F127" s="309" t="str" cm="1">
        <f t="array" ref="F127">IFERROR(LOOKUP(2,1/('[1]Contracts Log'!$F:$F=$D127),'[1]Contracts Log'!$C:$C),"")</f>
        <v>Red Sea Marine Life Institute</v>
      </c>
      <c r="G127" s="309" t="str" cm="1">
        <f t="array" ref="G127">IFERROR(LOOKUP(2,1/('[1]Contracts Log'!$F:$F=$D127),'[1]Contracts Log'!$K:$K),"")</f>
        <v>Grand Reveal Basin Fitout (Rock Theming)</v>
      </c>
      <c r="H127" s="309" t="str" cm="1">
        <f t="array" ref="H127">IFERROR(LOOKUP(2,1/('[1]Contracts Log'!$F:$F=$D127),'[1]Contracts Log'!$J:$J),"")</f>
        <v>Pangea Rocks A/S</v>
      </c>
      <c r="I127" s="310">
        <v>1</v>
      </c>
      <c r="J127" s="310"/>
      <c r="K127" s="310"/>
      <c r="L127" s="310"/>
      <c r="M127" s="310"/>
      <c r="N127" s="310"/>
      <c r="O127" s="304"/>
      <c r="P127" s="416"/>
      <c r="Q127" s="304"/>
      <c r="R127" s="416"/>
      <c r="S127" s="417"/>
      <c r="T127" s="416"/>
      <c r="U127" s="304"/>
      <c r="V127" s="335" t="s">
        <v>912</v>
      </c>
      <c r="W127" s="240">
        <v>46031</v>
      </c>
      <c r="X127" s="417"/>
      <c r="Y127" s="417"/>
      <c r="Z127" s="335"/>
      <c r="AA127" s="240" t="s">
        <v>305</v>
      </c>
      <c r="AB127" s="240"/>
      <c r="AC127" s="240"/>
      <c r="AD127" s="335"/>
      <c r="AE127" s="240"/>
      <c r="AF127" s="315"/>
      <c r="AG127" s="315"/>
      <c r="AH127" s="315"/>
      <c r="AI127" s="315"/>
      <c r="AJ127" s="363"/>
      <c r="AK127" s="311"/>
      <c r="AL127" s="315"/>
      <c r="AM127" s="315"/>
      <c r="AN127" s="363" t="s">
        <v>913</v>
      </c>
      <c r="AO127" s="311">
        <f>DATE(2026,2,5)+7</f>
        <v>46065</v>
      </c>
      <c r="AP127" s="314"/>
      <c r="AQ127" s="366"/>
      <c r="AR127" s="314"/>
      <c r="AS127" s="311"/>
      <c r="AT127" s="318"/>
      <c r="AU127" s="318"/>
      <c r="AV127" s="321"/>
      <c r="AW127" s="320"/>
      <c r="AX127" s="318"/>
      <c r="AY127" s="321"/>
      <c r="AZ127" s="320"/>
      <c r="BA127" s="318"/>
      <c r="BB127" s="321"/>
      <c r="BC127" s="322"/>
      <c r="BD127" s="299"/>
      <c r="BE127" s="299"/>
      <c r="BF127" s="323">
        <f t="shared" si="16"/>
        <v>46031</v>
      </c>
      <c r="BG127" s="324">
        <f t="shared" ca="1" si="11"/>
        <v>269</v>
      </c>
      <c r="BH127" s="299"/>
      <c r="BI127" s="325">
        <f t="shared" ca="1" si="13"/>
        <v>0</v>
      </c>
      <c r="BJ127" s="299"/>
      <c r="BK127" s="325">
        <f t="shared" ca="1" si="14"/>
        <v>0</v>
      </c>
      <c r="BL127" s="299"/>
      <c r="BM127" s="326"/>
      <c r="BN127" s="408"/>
      <c r="BO127" s="327" t="s">
        <v>220</v>
      </c>
      <c r="BP127" s="327" t="s">
        <v>308</v>
      </c>
      <c r="BQ127" s="328" t="s">
        <v>21</v>
      </c>
      <c r="BR127" s="329" t="s">
        <v>914</v>
      </c>
      <c r="BS127" s="331"/>
      <c r="BT127" s="327"/>
      <c r="BU127" s="327"/>
      <c r="BV127" s="327"/>
      <c r="BW127" s="331"/>
      <c r="BX127" s="302">
        <v>46054</v>
      </c>
      <c r="BY127" s="302"/>
      <c r="BZ127" s="302"/>
      <c r="CA127" s="295"/>
      <c r="CB127" s="332"/>
      <c r="CC127" s="332"/>
      <c r="CD127" s="332"/>
      <c r="CE127" s="333">
        <v>46051</v>
      </c>
      <c r="CF127" s="334" t="str">
        <f t="shared" si="18"/>
        <v/>
      </c>
    </row>
    <row r="128" spans="1:84" s="334" customFormat="1" ht="409.5" hidden="1" customHeight="1">
      <c r="A128" s="373">
        <v>114</v>
      </c>
      <c r="B128" s="430" t="s">
        <v>299</v>
      </c>
      <c r="C128" s="307" t="s">
        <v>915</v>
      </c>
      <c r="D128" s="308" t="s">
        <v>916</v>
      </c>
      <c r="E128" s="309" t="str" cm="1">
        <f t="array" ref="E128">IFERROR(LOOKUP(2,1/('[1]Contracts Log'!$F:$F=$D128),'[1]Contracts Log'!$G:$G),"")</f>
        <v>1.TB.01.006.99</v>
      </c>
      <c r="F128" s="309" t="str" cm="1">
        <f t="array" ref="F128">IFERROR(LOOKUP(2,1/('[1]Contracts Log'!$F:$F=$D128),'[1]Contracts Log'!$C:$C),"")</f>
        <v>Village Boutique Hotel</v>
      </c>
      <c r="G128" s="309" t="str" cm="1">
        <f t="array" ref="G128">IFERROR(LOOKUP(2,1/('[1]Contracts Log'!$F:$F=$D128),'[1]Contracts Log'!$K:$K),"")</f>
        <v>Hard and Soft Landscape Works</v>
      </c>
      <c r="H128" s="309" t="str" cm="1">
        <f t="array" ref="H128">IFERROR(LOOKUP(2,1/('[1]Contracts Log'!$F:$F=$D128),'[1]Contracts Log'!$J:$J),"")</f>
        <v>Nesma United Industries Co. Ltd.</v>
      </c>
      <c r="I128" s="310">
        <v>1</v>
      </c>
      <c r="J128" s="310"/>
      <c r="K128" s="310"/>
      <c r="L128" s="310"/>
      <c r="M128" s="310"/>
      <c r="N128" s="310"/>
      <c r="O128" s="304"/>
      <c r="P128" s="416"/>
      <c r="Q128" s="304"/>
      <c r="R128" s="416"/>
      <c r="S128" s="417"/>
      <c r="T128" s="416"/>
      <c r="U128" s="304"/>
      <c r="V128" s="335" t="s">
        <v>917</v>
      </c>
      <c r="W128" s="240">
        <v>46055</v>
      </c>
      <c r="X128" s="417"/>
      <c r="Y128" s="417"/>
      <c r="Z128" s="335"/>
      <c r="AA128" s="240" t="s">
        <v>305</v>
      </c>
      <c r="AB128" s="240"/>
      <c r="AC128" s="240"/>
      <c r="AD128" s="335"/>
      <c r="AE128" s="240"/>
      <c r="AF128" s="315">
        <v>46</v>
      </c>
      <c r="AG128" s="315">
        <v>46</v>
      </c>
      <c r="AH128" s="315"/>
      <c r="AI128" s="315"/>
      <c r="AJ128" s="363"/>
      <c r="AK128" s="311"/>
      <c r="AL128" s="315"/>
      <c r="AM128" s="315"/>
      <c r="AN128" s="363" t="s">
        <v>918</v>
      </c>
      <c r="AO128" s="311">
        <f>+DATE(2026,5,18)+7</f>
        <v>46167</v>
      </c>
      <c r="AP128" s="314"/>
      <c r="AQ128" s="366"/>
      <c r="AR128" s="314"/>
      <c r="AS128" s="311"/>
      <c r="AT128" s="318"/>
      <c r="AU128" s="318"/>
      <c r="AV128" s="321"/>
      <c r="AW128" s="320"/>
      <c r="AX128" s="318"/>
      <c r="AY128" s="321"/>
      <c r="AZ128" s="320"/>
      <c r="BA128" s="318"/>
      <c r="BB128" s="321"/>
      <c r="BC128" s="322"/>
      <c r="BD128" s="299"/>
      <c r="BE128" s="299"/>
      <c r="BF128" s="323">
        <f t="shared" si="16"/>
        <v>46055</v>
      </c>
      <c r="BG128" s="324">
        <f t="shared" ca="1" si="11"/>
        <v>91</v>
      </c>
      <c r="BH128" s="375">
        <v>46146</v>
      </c>
      <c r="BI128" s="325">
        <f t="shared" ca="1" si="13"/>
        <v>7</v>
      </c>
      <c r="BJ128" s="375">
        <v>46153</v>
      </c>
      <c r="BK128" s="325">
        <f t="shared" ca="1" si="14"/>
        <v>7</v>
      </c>
      <c r="BL128" s="375">
        <v>46160</v>
      </c>
      <c r="BM128" s="326"/>
      <c r="BN128" s="408"/>
      <c r="BO128" s="327" t="s">
        <v>220</v>
      </c>
      <c r="BP128" s="327" t="s">
        <v>376</v>
      </c>
      <c r="BQ128" s="328" t="s">
        <v>21</v>
      </c>
      <c r="BR128" s="329" t="s">
        <v>919</v>
      </c>
      <c r="BS128" s="331"/>
      <c r="BT128" s="327"/>
      <c r="BU128" s="327"/>
      <c r="BV128" s="327"/>
      <c r="BW128" s="331"/>
      <c r="BX128" s="302">
        <v>46143</v>
      </c>
      <c r="BY128" s="302"/>
      <c r="BZ128" s="302"/>
      <c r="CA128" s="295"/>
      <c r="CB128" s="332"/>
      <c r="CC128" s="332"/>
      <c r="CD128" s="332"/>
      <c r="CE128" s="333">
        <v>46055</v>
      </c>
      <c r="CF128" s="334" t="str">
        <f t="shared" si="18"/>
        <v/>
      </c>
    </row>
    <row r="129" spans="1:84" s="334" customFormat="1" ht="409.5" hidden="1" customHeight="1">
      <c r="A129" s="373">
        <v>115</v>
      </c>
      <c r="B129" s="430" t="s">
        <v>299</v>
      </c>
      <c r="C129" s="307" t="s">
        <v>920</v>
      </c>
      <c r="D129" s="308" t="s">
        <v>484</v>
      </c>
      <c r="E129" s="309" t="str" cm="1">
        <f t="array" ref="E129">IFERROR(LOOKUP(2,1/('[1]Contracts Log'!$F:$F=$D129),'[1]Contracts Log'!$G:$G),"")</f>
        <v>1.TB.01.003.01</v>
      </c>
      <c r="F129" s="309" t="str" cm="1">
        <f t="array" ref="F129">IFERROR(LOOKUP(2,1/('[1]Contracts Log'!$F:$F=$D129),'[1]Contracts Log'!$C:$C),"")</f>
        <v xml:space="preserve">AMAALA Yacht Club </v>
      </c>
      <c r="G129" s="309" t="str" cm="1">
        <f t="array" ref="G129">IFERROR(LOOKUP(2,1/('[1]Contracts Log'!$F:$F=$D129),'[1]Contracts Log'!$K:$K),"")</f>
        <v>Kitchen &amp; Laundry Works</v>
      </c>
      <c r="H129" s="309" t="str" cm="1">
        <f t="array" ref="H129">IFERROR(LOOKUP(2,1/('[1]Contracts Log'!$F:$F=$D129),'[1]Contracts Log'!$J:$J),"")</f>
        <v>Abdulaziz Al Raqtan and Partners Company for Trading and Industry Company</v>
      </c>
      <c r="I129" s="310">
        <v>1</v>
      </c>
      <c r="J129" s="310"/>
      <c r="K129" s="310"/>
      <c r="L129" s="310"/>
      <c r="M129" s="310"/>
      <c r="N129" s="310"/>
      <c r="O129" s="304"/>
      <c r="P129" s="416"/>
      <c r="Q129" s="304"/>
      <c r="R129" s="416"/>
      <c r="S129" s="417"/>
      <c r="T129" s="416"/>
      <c r="U129" s="304"/>
      <c r="V129" s="335" t="s">
        <v>921</v>
      </c>
      <c r="W129" s="240">
        <v>46021</v>
      </c>
      <c r="X129" s="417"/>
      <c r="Y129" s="417"/>
      <c r="Z129" s="335"/>
      <c r="AA129" s="240" t="s">
        <v>305</v>
      </c>
      <c r="AB129" s="240"/>
      <c r="AC129" s="240"/>
      <c r="AD129" s="335"/>
      <c r="AE129" s="240"/>
      <c r="AF129" s="315">
        <v>438</v>
      </c>
      <c r="AG129" s="315">
        <v>438</v>
      </c>
      <c r="AH129" s="315"/>
      <c r="AI129" s="315"/>
      <c r="AJ129" s="363"/>
      <c r="AK129" s="311"/>
      <c r="AL129" s="315"/>
      <c r="AM129" s="315"/>
      <c r="AN129" s="363" t="s">
        <v>922</v>
      </c>
      <c r="AO129" s="311">
        <f>+DATE(2026,6,24)+7</f>
        <v>46204</v>
      </c>
      <c r="AP129" s="314"/>
      <c r="AQ129" s="366"/>
      <c r="AR129" s="314"/>
      <c r="AS129" s="311"/>
      <c r="AT129" s="318"/>
      <c r="AU129" s="318"/>
      <c r="AV129" s="321"/>
      <c r="AW129" s="320"/>
      <c r="AX129" s="318"/>
      <c r="AY129" s="321"/>
      <c r="AZ129" s="320"/>
      <c r="BA129" s="318"/>
      <c r="BB129" s="321"/>
      <c r="BC129" s="322"/>
      <c r="BD129" s="299"/>
      <c r="BE129" s="299"/>
      <c r="BF129" s="323">
        <f t="shared" si="16"/>
        <v>46021</v>
      </c>
      <c r="BG129" s="324" t="str">
        <f t="shared" ca="1" si="11"/>
        <v>N/A</v>
      </c>
      <c r="BH129" s="375">
        <v>46159</v>
      </c>
      <c r="BI129" s="325">
        <f t="shared" ca="1" si="13"/>
        <v>25</v>
      </c>
      <c r="BJ129" s="375">
        <v>46184</v>
      </c>
      <c r="BK129" s="325">
        <f t="shared" ca="1" si="14"/>
        <v>13</v>
      </c>
      <c r="BL129" s="375">
        <v>46197</v>
      </c>
      <c r="BM129" s="326"/>
      <c r="BN129" s="408"/>
      <c r="BO129" s="327" t="s">
        <v>220</v>
      </c>
      <c r="BP129" s="327" t="s">
        <v>376</v>
      </c>
      <c r="BQ129" s="328" t="s">
        <v>21</v>
      </c>
      <c r="BR129" s="329" t="s">
        <v>923</v>
      </c>
      <c r="BS129" s="331"/>
      <c r="BT129" s="327"/>
      <c r="BU129" s="327"/>
      <c r="BV129" s="327"/>
      <c r="BW129" s="331"/>
      <c r="BX129" s="302">
        <v>46204</v>
      </c>
      <c r="BY129" s="302"/>
      <c r="BZ129" s="302"/>
      <c r="CA129" s="295"/>
      <c r="CB129" s="332"/>
      <c r="CC129" s="332"/>
      <c r="CD129" s="332"/>
      <c r="CE129" s="333">
        <v>46055</v>
      </c>
      <c r="CF129" s="334" t="str">
        <f t="shared" si="18"/>
        <v/>
      </c>
    </row>
    <row r="130" spans="1:84" s="334" customFormat="1" ht="387.75" hidden="1" customHeight="1">
      <c r="A130" s="373">
        <v>116</v>
      </c>
      <c r="B130" s="430" t="s">
        <v>299</v>
      </c>
      <c r="C130" s="307" t="s">
        <v>924</v>
      </c>
      <c r="D130" s="308" t="s">
        <v>925</v>
      </c>
      <c r="E130" s="309" t="str" cm="1">
        <f t="array" ref="E130">IFERROR(LOOKUP(2,1/('[1]Contracts Log'!$F:$F=$D130),'[1]Contracts Log'!$G:$G),"")</f>
        <v>1.TB.01.006.03</v>
      </c>
      <c r="F130" s="309" t="str" cm="1">
        <f t="array" ref="F130">IFERROR(LOOKUP(2,1/('[1]Contracts Log'!$F:$F=$D130),'[1]Contracts Log'!$C:$C),"")</f>
        <v>Village Boutique Hotel</v>
      </c>
      <c r="G130" s="309" t="str" cm="1">
        <f t="array" ref="G130">IFERROR(LOOKUP(2,1/('[1]Contracts Log'!$F:$F=$D130),'[1]Contracts Log'!$K:$K),"")</f>
        <v>Supply of Composite Panels</v>
      </c>
      <c r="H130" s="309" t="str" cm="1">
        <f t="array" ref="H130">IFERROR(LOOKUP(2,1/('[1]Contracts Log'!$F:$F=$D130),'[1]Contracts Log'!$J:$J),"")</f>
        <v>Nova Composites Manufcturing L.L.C</v>
      </c>
      <c r="I130" s="310">
        <v>1</v>
      </c>
      <c r="J130" s="310"/>
      <c r="K130" s="310"/>
      <c r="L130" s="310"/>
      <c r="M130" s="310"/>
      <c r="N130" s="310"/>
      <c r="O130" s="304"/>
      <c r="P130" s="416"/>
      <c r="Q130" s="304"/>
      <c r="R130" s="416"/>
      <c r="S130" s="417"/>
      <c r="T130" s="416"/>
      <c r="U130" s="304"/>
      <c r="V130" s="335" t="s">
        <v>926</v>
      </c>
      <c r="W130" s="240">
        <v>46059</v>
      </c>
      <c r="X130" s="417"/>
      <c r="Y130" s="417"/>
      <c r="Z130" s="335" t="s">
        <v>927</v>
      </c>
      <c r="AA130" s="240">
        <v>46077</v>
      </c>
      <c r="AB130" s="240"/>
      <c r="AC130" s="240"/>
      <c r="AD130" s="335" t="s">
        <v>928</v>
      </c>
      <c r="AE130" s="240">
        <v>46218</v>
      </c>
      <c r="AF130" s="315">
        <v>58</v>
      </c>
      <c r="AG130" s="315"/>
      <c r="AH130" s="315"/>
      <c r="AI130" s="315"/>
      <c r="AJ130" s="363"/>
      <c r="AK130" s="311"/>
      <c r="AL130" s="315"/>
      <c r="AM130" s="315"/>
      <c r="AN130" s="365"/>
      <c r="AO130" s="311"/>
      <c r="AP130" s="314"/>
      <c r="AQ130" s="366"/>
      <c r="AR130" s="314"/>
      <c r="AS130" s="311"/>
      <c r="AT130" s="318"/>
      <c r="AU130" s="318"/>
      <c r="AV130" s="321"/>
      <c r="AW130" s="320"/>
      <c r="AX130" s="318"/>
      <c r="AY130" s="321"/>
      <c r="AZ130" s="320"/>
      <c r="BA130" s="318"/>
      <c r="BB130" s="321"/>
      <c r="BC130" s="322"/>
      <c r="BD130" s="299"/>
      <c r="BE130" s="299"/>
      <c r="BF130" s="323">
        <f t="shared" si="16"/>
        <v>46218</v>
      </c>
      <c r="BG130" s="324">
        <f t="shared" ca="1" si="11"/>
        <v>82</v>
      </c>
      <c r="BH130" s="299"/>
      <c r="BI130" s="325">
        <f t="shared" ca="1" si="13"/>
        <v>0</v>
      </c>
      <c r="BJ130" s="299"/>
      <c r="BK130" s="325">
        <f t="shared" ca="1" si="14"/>
        <v>0</v>
      </c>
      <c r="BL130" s="299"/>
      <c r="BM130" s="326"/>
      <c r="BN130" s="408"/>
      <c r="BO130" s="327" t="s">
        <v>437</v>
      </c>
      <c r="BP130" s="327" t="s">
        <v>20</v>
      </c>
      <c r="BQ130" s="328" t="s">
        <v>43</v>
      </c>
      <c r="BR130" s="329" t="s">
        <v>1102</v>
      </c>
      <c r="BS130" s="331"/>
      <c r="BT130" s="327"/>
      <c r="BU130" s="327"/>
      <c r="BV130" s="327"/>
      <c r="BW130" s="331"/>
      <c r="BX130" s="302"/>
      <c r="BY130" s="302"/>
      <c r="BZ130" s="302"/>
      <c r="CA130" s="295"/>
      <c r="CB130" s="332"/>
      <c r="CC130" s="332"/>
      <c r="CD130" s="332"/>
      <c r="CE130" s="333">
        <v>46070</v>
      </c>
      <c r="CF130" s="334" t="str">
        <f t="shared" si="18"/>
        <v/>
      </c>
    </row>
    <row r="131" spans="1:84" s="334" customFormat="1" ht="167.25" hidden="1" customHeight="1">
      <c r="A131" s="373">
        <v>117</v>
      </c>
      <c r="B131" s="430" t="s">
        <v>310</v>
      </c>
      <c r="C131" s="307" t="s">
        <v>929</v>
      </c>
      <c r="D131" s="308" t="s">
        <v>925</v>
      </c>
      <c r="E131" s="309" t="str" cm="1">
        <f t="array" ref="E131">IFERROR(LOOKUP(2,1/('[1]Contracts Log'!$F:$F=$D131),'[1]Contracts Log'!$G:$G),"")</f>
        <v>1.TB.01.006.03</v>
      </c>
      <c r="F131" s="309" t="str" cm="1">
        <f t="array" ref="F131">IFERROR(LOOKUP(2,1/('[1]Contracts Log'!$F:$F=$D131),'[1]Contracts Log'!$C:$C),"")</f>
        <v>Village Boutique Hotel</v>
      </c>
      <c r="G131" s="309" t="str" cm="1">
        <f t="array" ref="G131">IFERROR(LOOKUP(2,1/('[1]Contracts Log'!$F:$F=$D131),'[1]Contracts Log'!$K:$K),"")</f>
        <v>Supply of Composite Panels</v>
      </c>
      <c r="H131" s="309" t="str" cm="1">
        <f t="array" ref="H131">IFERROR(LOOKUP(2,1/('[1]Contracts Log'!$F:$F=$D131),'[1]Contracts Log'!$J:$J),"")</f>
        <v>Nova Composites Manufcturing L.L.C</v>
      </c>
      <c r="I131" s="310"/>
      <c r="J131" s="310">
        <v>1</v>
      </c>
      <c r="K131" s="310"/>
      <c r="L131" s="310"/>
      <c r="M131" s="310"/>
      <c r="N131" s="310"/>
      <c r="O131" s="304"/>
      <c r="P131" s="416"/>
      <c r="Q131" s="304"/>
      <c r="R131" s="416"/>
      <c r="S131" s="417"/>
      <c r="T131" s="416"/>
      <c r="U131" s="304"/>
      <c r="V131" s="335" t="s">
        <v>926</v>
      </c>
      <c r="W131" s="240">
        <v>46059</v>
      </c>
      <c r="X131" s="417"/>
      <c r="Y131" s="417"/>
      <c r="Z131" s="335" t="s">
        <v>927</v>
      </c>
      <c r="AA131" s="240">
        <v>46077</v>
      </c>
      <c r="AB131" s="240"/>
      <c r="AC131" s="240"/>
      <c r="AD131" s="335"/>
      <c r="AE131" s="240"/>
      <c r="AF131" s="313"/>
      <c r="AG131" s="313"/>
      <c r="AH131" s="313"/>
      <c r="AI131" s="313"/>
      <c r="AJ131" s="336"/>
      <c r="AK131" s="320"/>
      <c r="AL131" s="313"/>
      <c r="AM131" s="313"/>
      <c r="AN131" s="351"/>
      <c r="AO131" s="320"/>
      <c r="AP131" s="321"/>
      <c r="AQ131" s="352"/>
      <c r="AR131" s="321"/>
      <c r="AS131" s="320"/>
      <c r="AT131" s="340">
        <v>227125</v>
      </c>
      <c r="AU131" s="341"/>
      <c r="AV131" s="314"/>
      <c r="AW131" s="311"/>
      <c r="AX131" s="341"/>
      <c r="AY131" s="314"/>
      <c r="AZ131" s="311"/>
      <c r="BA131" s="341"/>
      <c r="BB131" s="314"/>
      <c r="BC131" s="364"/>
      <c r="BD131" s="299"/>
      <c r="BE131" s="299"/>
      <c r="BF131" s="323">
        <f t="shared" si="16"/>
        <v>46059</v>
      </c>
      <c r="BG131" s="324">
        <f t="shared" ca="1" si="11"/>
        <v>0</v>
      </c>
      <c r="BH131" s="299"/>
      <c r="BI131" s="325" t="str">
        <f t="shared" ca="1" si="13"/>
        <v>N/A</v>
      </c>
      <c r="BJ131" s="299"/>
      <c r="BK131" s="325">
        <f t="shared" ca="1" si="14"/>
        <v>0</v>
      </c>
      <c r="BL131" s="299"/>
      <c r="BM131" s="326"/>
      <c r="BN131" s="408"/>
      <c r="BO131" s="327" t="s">
        <v>437</v>
      </c>
      <c r="BP131" s="327" t="s">
        <v>20</v>
      </c>
      <c r="BQ131" s="328" t="s">
        <v>41</v>
      </c>
      <c r="BR131" s="329" t="s">
        <v>1103</v>
      </c>
      <c r="BS131" s="331"/>
      <c r="BT131" s="327"/>
      <c r="BU131" s="327"/>
      <c r="BV131" s="327"/>
      <c r="BW131" s="331"/>
      <c r="BX131" s="302"/>
      <c r="BY131" s="302"/>
      <c r="BZ131" s="302"/>
      <c r="CA131" s="295"/>
      <c r="CB131" s="332"/>
      <c r="CC131" s="332"/>
      <c r="CD131" s="332"/>
      <c r="CE131" s="333">
        <v>46070</v>
      </c>
      <c r="CF131" s="334" t="str">
        <f t="shared" si="18"/>
        <v/>
      </c>
    </row>
    <row r="132" spans="1:84" s="334" customFormat="1" ht="361.5" customHeight="1">
      <c r="A132" s="373">
        <v>118</v>
      </c>
      <c r="B132" s="430" t="s">
        <v>299</v>
      </c>
      <c r="C132" s="307" t="s">
        <v>924</v>
      </c>
      <c r="D132" s="308" t="s">
        <v>930</v>
      </c>
      <c r="E132" s="309" t="str" cm="1">
        <f t="array" ref="E132">IFERROR(LOOKUP(2,1/('[1]Contracts Log'!$F:$F=$D132),'[1]Contracts Log'!$G:$G),"")</f>
        <v>1.TB.01.006.03</v>
      </c>
      <c r="F132" s="309" t="str" cm="1">
        <f t="array" ref="F132">IFERROR(LOOKUP(2,1/('[1]Contracts Log'!$F:$F=$D132),'[1]Contracts Log'!$C:$C),"")</f>
        <v>Village Boutique Hotel</v>
      </c>
      <c r="G132" s="309" t="str" cm="1">
        <f t="array" ref="G132">IFERROR(LOOKUP(2,1/('[1]Contracts Log'!$F:$F=$D132),'[1]Contracts Log'!$K:$K),"")</f>
        <v>Installation of Composite Panels</v>
      </c>
      <c r="H132" s="309" t="str" cm="1">
        <f t="array" ref="H132">IFERROR(LOOKUP(2,1/('[1]Contracts Log'!$F:$F=$D132),'[1]Contracts Log'!$J:$J),"")</f>
        <v>Nova Composite Industrial Company</v>
      </c>
      <c r="I132" s="310">
        <v>1</v>
      </c>
      <c r="J132" s="310"/>
      <c r="K132" s="310"/>
      <c r="L132" s="310"/>
      <c r="M132" s="310"/>
      <c r="N132" s="310"/>
      <c r="O132" s="304"/>
      <c r="P132" s="416"/>
      <c r="Q132" s="304"/>
      <c r="R132" s="416"/>
      <c r="S132" s="417"/>
      <c r="T132" s="416"/>
      <c r="U132" s="304"/>
      <c r="V132" s="335" t="s">
        <v>931</v>
      </c>
      <c r="W132" s="240">
        <v>46059</v>
      </c>
      <c r="X132" s="417"/>
      <c r="Y132" s="417"/>
      <c r="Z132" s="335" t="s">
        <v>932</v>
      </c>
      <c r="AA132" s="240">
        <v>46077</v>
      </c>
      <c r="AB132" s="240"/>
      <c r="AC132" s="240"/>
      <c r="AD132" s="335" t="s">
        <v>933</v>
      </c>
      <c r="AE132" s="240">
        <v>46262</v>
      </c>
      <c r="AF132" s="315"/>
      <c r="AG132" s="315"/>
      <c r="AH132" s="315"/>
      <c r="AI132" s="315"/>
      <c r="AJ132" s="363"/>
      <c r="AK132" s="311"/>
      <c r="AL132" s="315"/>
      <c r="AM132" s="315"/>
      <c r="AN132" s="365"/>
      <c r="AO132" s="311"/>
      <c r="AP132" s="314"/>
      <c r="AQ132" s="366"/>
      <c r="AR132" s="314"/>
      <c r="AS132" s="311"/>
      <c r="AT132" s="318"/>
      <c r="AU132" s="318"/>
      <c r="AV132" s="321"/>
      <c r="AW132" s="320"/>
      <c r="AX132" s="318"/>
      <c r="AY132" s="321"/>
      <c r="AZ132" s="320"/>
      <c r="BA132" s="318"/>
      <c r="BB132" s="321"/>
      <c r="BC132" s="322"/>
      <c r="BD132" s="299"/>
      <c r="BE132" s="299"/>
      <c r="BF132" s="323">
        <f t="shared" si="16"/>
        <v>46262</v>
      </c>
      <c r="BG132" s="324">
        <f t="shared" ca="1" si="11"/>
        <v>0</v>
      </c>
      <c r="BH132" s="299"/>
      <c r="BI132" s="325">
        <f t="shared" ca="1" si="13"/>
        <v>0</v>
      </c>
      <c r="BJ132" s="299"/>
      <c r="BK132" s="325">
        <f t="shared" ca="1" si="14"/>
        <v>0</v>
      </c>
      <c r="BL132" s="299"/>
      <c r="BM132" s="326"/>
      <c r="BN132" s="408"/>
      <c r="BO132" s="327" t="s">
        <v>437</v>
      </c>
      <c r="BP132" s="327" t="s">
        <v>20</v>
      </c>
      <c r="BQ132" s="328" t="s">
        <v>47</v>
      </c>
      <c r="BR132" s="329" t="s">
        <v>1106</v>
      </c>
      <c r="BS132" s="331"/>
      <c r="BT132" s="327" t="s">
        <v>660</v>
      </c>
      <c r="BU132" s="327"/>
      <c r="BV132" s="327"/>
      <c r="BW132" s="331"/>
      <c r="BX132" s="302"/>
      <c r="BY132" s="302"/>
      <c r="BZ132" s="302"/>
      <c r="CA132" s="295"/>
      <c r="CB132" s="332"/>
      <c r="CC132" s="332"/>
      <c r="CD132" s="332"/>
      <c r="CE132" s="333">
        <v>46070</v>
      </c>
      <c r="CF132" s="334" t="str">
        <f t="shared" si="18"/>
        <v/>
      </c>
    </row>
    <row r="133" spans="1:84" s="334" customFormat="1" ht="157.5" customHeight="1">
      <c r="A133" s="373">
        <v>119</v>
      </c>
      <c r="B133" s="430" t="s">
        <v>310</v>
      </c>
      <c r="C133" s="307" t="s">
        <v>929</v>
      </c>
      <c r="D133" s="308" t="s">
        <v>930</v>
      </c>
      <c r="E133" s="309" t="str" cm="1">
        <f t="array" ref="E133">IFERROR(LOOKUP(2,1/('[1]Contracts Log'!$F:$F=$D133),'[1]Contracts Log'!$G:$G),"")</f>
        <v>1.TB.01.006.03</v>
      </c>
      <c r="F133" s="309" t="str" cm="1">
        <f t="array" ref="F133">IFERROR(LOOKUP(2,1/('[1]Contracts Log'!$F:$F=$D133),'[1]Contracts Log'!$C:$C),"")</f>
        <v>Village Boutique Hotel</v>
      </c>
      <c r="G133" s="309" t="str" cm="1">
        <f t="array" ref="G133">IFERROR(LOOKUP(2,1/('[1]Contracts Log'!$F:$F=$D133),'[1]Contracts Log'!$K:$K),"")</f>
        <v>Installation of Composite Panels</v>
      </c>
      <c r="H133" s="309" t="str" cm="1">
        <f t="array" ref="H133">IFERROR(LOOKUP(2,1/('[1]Contracts Log'!$F:$F=$D133),'[1]Contracts Log'!$J:$J),"")</f>
        <v>Nova Composite Industrial Company</v>
      </c>
      <c r="I133" s="310"/>
      <c r="J133" s="310">
        <v>1</v>
      </c>
      <c r="K133" s="310"/>
      <c r="L133" s="310"/>
      <c r="M133" s="310"/>
      <c r="N133" s="310"/>
      <c r="O133" s="304"/>
      <c r="P133" s="416"/>
      <c r="Q133" s="304"/>
      <c r="R133" s="416"/>
      <c r="S133" s="417"/>
      <c r="T133" s="416"/>
      <c r="U133" s="304"/>
      <c r="V133" s="335" t="s">
        <v>931</v>
      </c>
      <c r="W133" s="240">
        <v>46059</v>
      </c>
      <c r="X133" s="417"/>
      <c r="Y133" s="417"/>
      <c r="Z133" s="335" t="s">
        <v>932</v>
      </c>
      <c r="AA133" s="240">
        <v>46077</v>
      </c>
      <c r="AB133" s="240"/>
      <c r="AC133" s="240"/>
      <c r="AD133" s="335"/>
      <c r="AE133" s="240"/>
      <c r="AF133" s="313"/>
      <c r="AG133" s="313"/>
      <c r="AH133" s="313"/>
      <c r="AI133" s="313"/>
      <c r="AJ133" s="336"/>
      <c r="AK133" s="320"/>
      <c r="AL133" s="313"/>
      <c r="AM133" s="313"/>
      <c r="AN133" s="351"/>
      <c r="AO133" s="320"/>
      <c r="AP133" s="321"/>
      <c r="AQ133" s="352"/>
      <c r="AR133" s="321"/>
      <c r="AS133" s="320"/>
      <c r="AT133" s="340">
        <v>5725965</v>
      </c>
      <c r="AU133" s="341"/>
      <c r="AV133" s="314"/>
      <c r="AW133" s="311"/>
      <c r="AX133" s="341"/>
      <c r="AY133" s="314"/>
      <c r="AZ133" s="311"/>
      <c r="BA133" s="341"/>
      <c r="BB133" s="314"/>
      <c r="BC133" s="364"/>
      <c r="BD133" s="299"/>
      <c r="BE133" s="299"/>
      <c r="BF133" s="323">
        <f t="shared" si="16"/>
        <v>46059</v>
      </c>
      <c r="BG133" s="324">
        <f t="shared" ca="1" si="11"/>
        <v>0</v>
      </c>
      <c r="BH133" s="299"/>
      <c r="BI133" s="325" t="str">
        <f t="shared" ca="1" si="13"/>
        <v>N/A</v>
      </c>
      <c r="BJ133" s="299"/>
      <c r="BK133" s="325">
        <f t="shared" ca="1" si="14"/>
        <v>0</v>
      </c>
      <c r="BL133" s="299"/>
      <c r="BM133" s="326"/>
      <c r="BN133" s="408"/>
      <c r="BO133" s="327" t="s">
        <v>437</v>
      </c>
      <c r="BP133" s="327" t="s">
        <v>20</v>
      </c>
      <c r="BQ133" s="328" t="s">
        <v>41</v>
      </c>
      <c r="BR133" s="329" t="s">
        <v>1105</v>
      </c>
      <c r="BS133" s="331"/>
      <c r="BT133" s="327"/>
      <c r="BU133" s="327"/>
      <c r="BV133" s="327"/>
      <c r="BW133" s="331"/>
      <c r="BX133" s="302"/>
      <c r="BY133" s="302"/>
      <c r="BZ133" s="302"/>
      <c r="CA133" s="295"/>
      <c r="CB133" s="332"/>
      <c r="CC133" s="332"/>
      <c r="CD133" s="332"/>
      <c r="CE133" s="333">
        <v>46070</v>
      </c>
      <c r="CF133" s="334" t="str">
        <f t="shared" si="18"/>
        <v/>
      </c>
    </row>
    <row r="134" spans="1:84" s="334" customFormat="1" ht="408.75" hidden="1" customHeight="1">
      <c r="A134" s="373">
        <v>120</v>
      </c>
      <c r="B134" s="430" t="s">
        <v>299</v>
      </c>
      <c r="C134" s="307" t="s">
        <v>934</v>
      </c>
      <c r="D134" s="308" t="s">
        <v>465</v>
      </c>
      <c r="E134" s="309" t="str" cm="1">
        <f t="array" ref="E134">IFERROR(LOOKUP(2,1/('[1]Contracts Log'!$F:$F=$D134),'[1]Contracts Log'!$G:$G),"")</f>
        <v>1.TB.01.006.99</v>
      </c>
      <c r="F134" s="309" t="str" cm="1">
        <f t="array" ref="F134">IFERROR(LOOKUP(2,1/('[1]Contracts Log'!$F:$F=$D134),'[1]Contracts Log'!$C:$C),"")</f>
        <v>Village Boutique Hotel</v>
      </c>
      <c r="G134" s="309" t="str" cm="1">
        <f t="array" ref="G134">IFERROR(LOOKUP(2,1/('[1]Contracts Log'!$F:$F=$D134),'[1]Contracts Log'!$K:$K),"")</f>
        <v>Builders Works Package for Marina Lifestyle Hotel</v>
      </c>
      <c r="H134" s="309" t="str" cm="1">
        <f t="array" ref="H134">IFERROR(LOOKUP(2,1/('[1]Contracts Log'!$F:$F=$D134),'[1]Contracts Log'!$J:$J),"")</f>
        <v>Shandong Tiejun Electric Power Engineering Co. LTD. Branch</v>
      </c>
      <c r="I134" s="310">
        <v>1</v>
      </c>
      <c r="J134" s="310"/>
      <c r="K134" s="310"/>
      <c r="L134" s="310"/>
      <c r="M134" s="310"/>
      <c r="N134" s="310"/>
      <c r="O134" s="304"/>
      <c r="P134" s="416"/>
      <c r="Q134" s="304"/>
      <c r="R134" s="416"/>
      <c r="S134" s="417"/>
      <c r="T134" s="416"/>
      <c r="U134" s="304"/>
      <c r="V134" s="317" t="s">
        <v>935</v>
      </c>
      <c r="W134" s="431">
        <v>46084</v>
      </c>
      <c r="X134" s="417"/>
      <c r="Y134" s="417"/>
      <c r="Z134" s="335"/>
      <c r="AA134" s="240"/>
      <c r="AB134" s="240"/>
      <c r="AC134" s="240"/>
      <c r="AD134" s="335"/>
      <c r="AE134" s="240"/>
      <c r="AF134" s="315"/>
      <c r="AG134" s="315"/>
      <c r="AH134" s="315"/>
      <c r="AI134" s="315"/>
      <c r="AJ134" s="363"/>
      <c r="AK134" s="311"/>
      <c r="AL134" s="315"/>
      <c r="AM134" s="315"/>
      <c r="AN134" s="363" t="s">
        <v>936</v>
      </c>
      <c r="AO134" s="311">
        <f>+DATE(2026,8,3)+7</f>
        <v>46244</v>
      </c>
      <c r="AP134" s="314"/>
      <c r="AQ134" s="366"/>
      <c r="AR134" s="314"/>
      <c r="AS134" s="311"/>
      <c r="AT134" s="340"/>
      <c r="AU134" s="341"/>
      <c r="AV134" s="314"/>
      <c r="AW134" s="311"/>
      <c r="AX134" s="341"/>
      <c r="AY134" s="314"/>
      <c r="AZ134" s="311"/>
      <c r="BA134" s="341"/>
      <c r="BB134" s="314"/>
      <c r="BC134" s="364"/>
      <c r="BD134" s="299"/>
      <c r="BE134" s="299"/>
      <c r="BF134" s="323">
        <f t="shared" si="16"/>
        <v>46084</v>
      </c>
      <c r="BG134" s="324">
        <f t="shared" ca="1" si="11"/>
        <v>94</v>
      </c>
      <c r="BH134" s="375">
        <v>46178</v>
      </c>
      <c r="BI134" s="325">
        <f t="shared" ca="1" si="13"/>
        <v>44</v>
      </c>
      <c r="BJ134" s="375">
        <v>46222</v>
      </c>
      <c r="BK134" s="325">
        <f t="shared" ca="1" si="14"/>
        <v>15</v>
      </c>
      <c r="BL134" s="375">
        <v>46237</v>
      </c>
      <c r="BM134" s="326"/>
      <c r="BN134" s="408"/>
      <c r="BO134" s="327" t="s">
        <v>220</v>
      </c>
      <c r="BP134" s="327" t="s">
        <v>20</v>
      </c>
      <c r="BQ134" s="328" t="s">
        <v>53</v>
      </c>
      <c r="BR134" s="432" t="s">
        <v>937</v>
      </c>
      <c r="BS134" s="331"/>
      <c r="BT134" s="327"/>
      <c r="BU134" s="327"/>
      <c r="BV134" s="327"/>
      <c r="BW134" s="331"/>
      <c r="BX134" s="302">
        <v>46235</v>
      </c>
      <c r="BY134" s="302"/>
      <c r="BZ134" s="302"/>
      <c r="CA134" s="295"/>
      <c r="CB134" s="332"/>
      <c r="CC134" s="332"/>
      <c r="CD134" s="332"/>
      <c r="CE134" s="333">
        <v>46089</v>
      </c>
      <c r="CF134" s="334" t="str">
        <f t="shared" si="18"/>
        <v/>
      </c>
    </row>
    <row r="135" spans="1:84" s="334" customFormat="1" ht="409.5" hidden="1" customHeight="1">
      <c r="A135" s="373">
        <v>121</v>
      </c>
      <c r="B135" s="430" t="s">
        <v>299</v>
      </c>
      <c r="C135" s="307" t="s">
        <v>938</v>
      </c>
      <c r="D135" s="308" t="s">
        <v>721</v>
      </c>
      <c r="E135" s="309" t="str" cm="1">
        <f t="array" ref="E135">IFERROR(LOOKUP(2,1/('[1]Contracts Log'!$F:$F=$D135),'[1]Contracts Log'!$G:$G),"")</f>
        <v>1.TB.01.005.01</v>
      </c>
      <c r="F135" s="309" t="str" cm="1">
        <f t="array" ref="F135">IFERROR(LOOKUP(2,1/('[1]Contracts Log'!$F:$F=$D135),'[1]Contracts Log'!$C:$C),"")</f>
        <v>Red Sea Marine Life Institute</v>
      </c>
      <c r="G135" s="309" t="str" cm="1">
        <f t="array" ref="G135">IFERROR(LOOKUP(2,1/('[1]Contracts Log'!$F:$F=$D135),'[1]Contracts Log'!$K:$K),"")</f>
        <v>Fit Out Works for Red Sea Marine Life Institute</v>
      </c>
      <c r="H135" s="309" t="str" cm="1">
        <f t="array" ref="H135">IFERROR(LOOKUP(2,1/('[1]Contracts Log'!$F:$F=$D135),'[1]Contracts Log'!$J:$J),"")</f>
        <v>Alec Saudi Engineering and Contracting Company</v>
      </c>
      <c r="I135" s="310">
        <v>1</v>
      </c>
      <c r="J135" s="310"/>
      <c r="K135" s="310"/>
      <c r="L135" s="310"/>
      <c r="M135" s="310"/>
      <c r="N135" s="310"/>
      <c r="O135" s="304"/>
      <c r="P135" s="416"/>
      <c r="Q135" s="304"/>
      <c r="R135" s="416"/>
      <c r="S135" s="417"/>
      <c r="T135" s="416"/>
      <c r="U135" s="304"/>
      <c r="V135" s="335" t="s">
        <v>939</v>
      </c>
      <c r="W135" s="431">
        <v>46084</v>
      </c>
      <c r="X135" s="417"/>
      <c r="Y135" s="417"/>
      <c r="Z135" s="335" t="s">
        <v>940</v>
      </c>
      <c r="AA135" s="240">
        <v>46160</v>
      </c>
      <c r="AB135" s="240"/>
      <c r="AC135" s="240"/>
      <c r="AD135" s="335"/>
      <c r="AE135" s="240"/>
      <c r="AF135" s="315"/>
      <c r="AG135" s="315"/>
      <c r="AH135" s="315"/>
      <c r="AI135" s="315"/>
      <c r="AJ135" s="363"/>
      <c r="AK135" s="311"/>
      <c r="AL135" s="315"/>
      <c r="AM135" s="315"/>
      <c r="AN135" s="363" t="s">
        <v>941</v>
      </c>
      <c r="AO135" s="240">
        <f>+DATE(2026,5,2)+7</f>
        <v>46151</v>
      </c>
      <c r="AP135" s="314"/>
      <c r="AQ135" s="366"/>
      <c r="AR135" s="314"/>
      <c r="AS135" s="311"/>
      <c r="AT135" s="340"/>
      <c r="AU135" s="341"/>
      <c r="AV135" s="314"/>
      <c r="AW135" s="311"/>
      <c r="AX135" s="341"/>
      <c r="AY135" s="314"/>
      <c r="AZ135" s="311"/>
      <c r="BA135" s="341"/>
      <c r="BB135" s="314"/>
      <c r="BC135" s="364"/>
      <c r="BD135" s="299"/>
      <c r="BE135" s="299"/>
      <c r="BF135" s="323">
        <f t="shared" si="16"/>
        <v>46084</v>
      </c>
      <c r="BG135" s="324">
        <f t="shared" ca="1" si="11"/>
        <v>51</v>
      </c>
      <c r="BH135" s="375">
        <v>46135</v>
      </c>
      <c r="BI135" s="325">
        <f t="shared" ca="1" si="13"/>
        <v>5</v>
      </c>
      <c r="BJ135" s="375">
        <v>46140</v>
      </c>
      <c r="BK135" s="325">
        <f t="shared" ca="1" si="14"/>
        <v>4</v>
      </c>
      <c r="BL135" s="375">
        <v>46144</v>
      </c>
      <c r="BM135" s="326"/>
      <c r="BN135" s="408"/>
      <c r="BO135" s="327" t="s">
        <v>220</v>
      </c>
      <c r="BP135" s="327" t="s">
        <v>376</v>
      </c>
      <c r="BQ135" s="328" t="s">
        <v>21</v>
      </c>
      <c r="BR135" s="432" t="s">
        <v>942</v>
      </c>
      <c r="BS135" s="331"/>
      <c r="BT135" s="327"/>
      <c r="BU135" s="327"/>
      <c r="BV135" s="327"/>
      <c r="BW135" s="331"/>
      <c r="BX135" s="302">
        <v>46143</v>
      </c>
      <c r="BY135" s="302"/>
      <c r="BZ135" s="302"/>
      <c r="CA135" s="295"/>
      <c r="CB135" s="332"/>
      <c r="CC135" s="332"/>
      <c r="CD135" s="332"/>
      <c r="CE135" s="333">
        <v>46089</v>
      </c>
      <c r="CF135" s="334" t="str">
        <f t="shared" si="18"/>
        <v/>
      </c>
    </row>
    <row r="136" spans="1:84" s="334" customFormat="1" ht="357.75" hidden="1" customHeight="1">
      <c r="A136" s="414">
        <v>122</v>
      </c>
      <c r="B136" s="430" t="s">
        <v>299</v>
      </c>
      <c r="C136" s="307" t="s">
        <v>943</v>
      </c>
      <c r="D136" s="308" t="s">
        <v>858</v>
      </c>
      <c r="E136" s="309" t="str" cm="1">
        <f t="array" ref="E136">IFERROR(LOOKUP(2,1/('[1]Contracts Log'!$F:$F=$D136),'[1]Contracts Log'!$G:$G),"")</f>
        <v>1.TB.01.002.02</v>
      </c>
      <c r="F136" s="309" t="str" cm="1">
        <f t="array" ref="F136">IFERROR(LOOKUP(2,1/('[1]Contracts Log'!$F:$F=$D136),'[1]Contracts Log'!$C:$C),"")</f>
        <v>Marina Lifestyle Hotel &amp; Village</v>
      </c>
      <c r="G136" s="309" t="str" cm="1">
        <f t="array" ref="G136">IFERROR(LOOKUP(2,1/('[1]Contracts Log'!$F:$F=$D136),'[1]Contracts Log'!$K:$K),"")</f>
        <v>Fit-Out works of AMAALA Residences/Non-Branded (49 Nos)
for Marina Lifestyle Hotel</v>
      </c>
      <c r="H136" s="309" t="str" cm="1">
        <f t="array" ref="H136">IFERROR(LOOKUP(2,1/('[1]Contracts Log'!$F:$F=$D136),'[1]Contracts Log'!$J:$J),"")</f>
        <v>Havelock One Interiors Company</v>
      </c>
      <c r="I136" s="310">
        <v>1</v>
      </c>
      <c r="J136" s="310"/>
      <c r="K136" s="310"/>
      <c r="L136" s="310"/>
      <c r="M136" s="310"/>
      <c r="N136" s="310"/>
      <c r="O136" s="304"/>
      <c r="P136" s="416"/>
      <c r="Q136" s="304"/>
      <c r="R136" s="416"/>
      <c r="S136" s="417"/>
      <c r="T136" s="416"/>
      <c r="U136" s="304"/>
      <c r="V136" s="335" t="s">
        <v>944</v>
      </c>
      <c r="W136" s="240">
        <v>46082</v>
      </c>
      <c r="X136" s="417"/>
      <c r="Y136" s="417"/>
      <c r="Z136" s="335" t="s">
        <v>945</v>
      </c>
      <c r="AA136" s="240">
        <v>46138</v>
      </c>
      <c r="AB136" s="240"/>
      <c r="AC136" s="240"/>
      <c r="AD136" s="335" t="s">
        <v>946</v>
      </c>
      <c r="AE136" s="240">
        <v>46251</v>
      </c>
      <c r="AF136" s="315"/>
      <c r="AG136" s="315"/>
      <c r="AH136" s="315"/>
      <c r="AI136" s="315"/>
      <c r="AJ136" s="363"/>
      <c r="AK136" s="311"/>
      <c r="AL136" s="315"/>
      <c r="AM136" s="315"/>
      <c r="AN136" s="365"/>
      <c r="AO136" s="311"/>
      <c r="AP136" s="314"/>
      <c r="AQ136" s="366"/>
      <c r="AR136" s="314"/>
      <c r="AS136" s="311"/>
      <c r="AT136" s="340"/>
      <c r="AU136" s="341"/>
      <c r="AV136" s="314"/>
      <c r="AW136" s="311"/>
      <c r="AX136" s="341"/>
      <c r="AY136" s="314"/>
      <c r="AZ136" s="311"/>
      <c r="BA136" s="341"/>
      <c r="BB136" s="314"/>
      <c r="BC136" s="364"/>
      <c r="BD136" s="299"/>
      <c r="BE136" s="299"/>
      <c r="BF136" s="323">
        <f t="shared" si="16"/>
        <v>46251</v>
      </c>
      <c r="BG136" s="324">
        <f t="shared" ca="1" si="11"/>
        <v>49</v>
      </c>
      <c r="BH136" s="299"/>
      <c r="BI136" s="325">
        <f t="shared" ca="1" si="13"/>
        <v>0</v>
      </c>
      <c r="BJ136" s="299"/>
      <c r="BK136" s="325">
        <f t="shared" ca="1" si="14"/>
        <v>0</v>
      </c>
      <c r="BL136" s="299"/>
      <c r="BM136" s="326"/>
      <c r="BN136" s="408"/>
      <c r="BO136" s="327" t="s">
        <v>437</v>
      </c>
      <c r="BP136" s="327" t="s">
        <v>20</v>
      </c>
      <c r="BQ136" s="328" t="s">
        <v>43</v>
      </c>
      <c r="BR136" s="329" t="s">
        <v>1087</v>
      </c>
      <c r="BS136" s="331"/>
      <c r="BT136" s="327"/>
      <c r="BU136" s="327"/>
      <c r="BV136" s="327"/>
      <c r="BW136" s="331"/>
      <c r="BX136" s="302"/>
      <c r="BY136" s="302"/>
      <c r="BZ136" s="302"/>
      <c r="CA136" s="295"/>
      <c r="CB136" s="332"/>
      <c r="CC136" s="332"/>
      <c r="CD136" s="332"/>
      <c r="CE136" s="333">
        <v>46113</v>
      </c>
      <c r="CF136" s="334" t="str">
        <f t="shared" si="18"/>
        <v/>
      </c>
    </row>
    <row r="137" spans="1:84" s="334" customFormat="1" ht="409.5" hidden="1" customHeight="1">
      <c r="A137" s="373">
        <v>123</v>
      </c>
      <c r="B137" s="430" t="s">
        <v>299</v>
      </c>
      <c r="C137" s="307" t="s">
        <v>947</v>
      </c>
      <c r="D137" s="308" t="s">
        <v>772</v>
      </c>
      <c r="E137" s="309" t="str" cm="1">
        <f t="array" ref="E137">IFERROR(LOOKUP(2,1/('[1]Contracts Log'!$F:$F=$D137),'[1]Contracts Log'!$G:$G),"")</f>
        <v>1.TB.01.031.01</v>
      </c>
      <c r="F137" s="309" t="str" cm="1">
        <f t="array" ref="F137">IFERROR(LOOKUP(2,1/('[1]Contracts Log'!$F:$F=$D137),'[1]Contracts Log'!$C:$C),"")</f>
        <v>The Marina</v>
      </c>
      <c r="G137" s="309" t="str" cm="1">
        <f t="array" ref="G137">IFERROR(LOOKUP(2,1/('[1]Contracts Log'!$F:$F=$D137),'[1]Contracts Log'!$K:$K),"")</f>
        <v>Constructing Boardwalks &amp; Jetties for Hijaz Island at Amaala
Development</v>
      </c>
      <c r="H137" s="309" t="str" cm="1">
        <f t="array" ref="H137">IFERROR(LOOKUP(2,1/('[1]Contracts Log'!$F:$F=$D137),'[1]Contracts Log'!$J:$J),"")</f>
        <v>Elmar Marinas Khaleej LLC</v>
      </c>
      <c r="I137" s="310">
        <v>1</v>
      </c>
      <c r="J137" s="310"/>
      <c r="K137" s="310"/>
      <c r="L137" s="310"/>
      <c r="M137" s="310"/>
      <c r="N137" s="310"/>
      <c r="O137" s="304"/>
      <c r="P137" s="416"/>
      <c r="Q137" s="304"/>
      <c r="R137" s="416"/>
      <c r="S137" s="417"/>
      <c r="T137" s="416"/>
      <c r="U137" s="304"/>
      <c r="V137" s="335" t="s">
        <v>948</v>
      </c>
      <c r="W137" s="240">
        <v>46097</v>
      </c>
      <c r="X137" s="417"/>
      <c r="Y137" s="417"/>
      <c r="Z137" s="335"/>
      <c r="AA137" s="240"/>
      <c r="AB137" s="240"/>
      <c r="AC137" s="240"/>
      <c r="AD137" s="335"/>
      <c r="AE137" s="240"/>
      <c r="AF137" s="315">
        <v>92</v>
      </c>
      <c r="AG137" s="315">
        <v>92</v>
      </c>
      <c r="AH137" s="315"/>
      <c r="AI137" s="315"/>
      <c r="AJ137" s="363"/>
      <c r="AK137" s="311"/>
      <c r="AL137" s="315"/>
      <c r="AM137" s="315"/>
      <c r="AN137" s="363" t="s">
        <v>949</v>
      </c>
      <c r="AO137" s="311">
        <f>+DATE(2026,7,28)+7</f>
        <v>46238</v>
      </c>
      <c r="AP137" s="314"/>
      <c r="AQ137" s="366"/>
      <c r="AR137" s="314"/>
      <c r="AS137" s="311"/>
      <c r="AT137" s="340"/>
      <c r="AU137" s="341"/>
      <c r="AV137" s="314"/>
      <c r="AW137" s="311"/>
      <c r="AX137" s="341"/>
      <c r="AY137" s="314"/>
      <c r="AZ137" s="311"/>
      <c r="BA137" s="341"/>
      <c r="BB137" s="314"/>
      <c r="BC137" s="364"/>
      <c r="BD137" s="299"/>
      <c r="BE137" s="299"/>
      <c r="BF137" s="323">
        <f t="shared" si="16"/>
        <v>46097</v>
      </c>
      <c r="BG137" s="324">
        <f t="shared" ca="1" si="11"/>
        <v>90</v>
      </c>
      <c r="BH137" s="375">
        <v>46187</v>
      </c>
      <c r="BI137" s="325">
        <f t="shared" ca="1" si="13"/>
        <v>27</v>
      </c>
      <c r="BJ137" s="375">
        <v>46214</v>
      </c>
      <c r="BK137" s="325">
        <f t="shared" ca="1" si="14"/>
        <v>86</v>
      </c>
      <c r="BL137" s="299"/>
      <c r="BM137" s="326"/>
      <c r="BN137" s="408"/>
      <c r="BO137" s="327" t="s">
        <v>220</v>
      </c>
      <c r="BP137" s="327" t="s">
        <v>567</v>
      </c>
      <c r="BQ137" s="328" t="s">
        <v>21</v>
      </c>
      <c r="BR137" s="329" t="s">
        <v>950</v>
      </c>
      <c r="BS137" s="331"/>
      <c r="BT137" s="327"/>
      <c r="BU137" s="327"/>
      <c r="BV137" s="327"/>
      <c r="BW137" s="331"/>
      <c r="BX137" s="302">
        <v>46235</v>
      </c>
      <c r="BY137" s="302"/>
      <c r="BZ137" s="302"/>
      <c r="CA137" s="295"/>
      <c r="CB137" s="332"/>
      <c r="CC137" s="332"/>
      <c r="CD137" s="332"/>
      <c r="CE137" s="333">
        <v>46113</v>
      </c>
      <c r="CF137" s="334" t="str">
        <f t="shared" si="18"/>
        <v/>
      </c>
    </row>
    <row r="138" spans="1:84" s="334" customFormat="1" ht="381" hidden="1" customHeight="1">
      <c r="A138" s="373">
        <v>124</v>
      </c>
      <c r="B138" s="430" t="s">
        <v>299</v>
      </c>
      <c r="C138" s="307" t="s">
        <v>924</v>
      </c>
      <c r="D138" s="308" t="s">
        <v>951</v>
      </c>
      <c r="E138" s="309" t="str" cm="1">
        <f t="array" ref="E138">IFERROR(LOOKUP(2,1/('[1]Contracts Log'!$F:$F=$D138),'[1]Contracts Log'!$G:$G),"")</f>
        <v>1.TB.01.005.01</v>
      </c>
      <c r="F138" s="309" t="str" cm="1">
        <f t="array" ref="F138">IFERROR(LOOKUP(2,1/('[1]Contracts Log'!$F:$F=$D138),'[1]Contracts Log'!$C:$C),"")</f>
        <v>Red Sea Marine Life Institute</v>
      </c>
      <c r="G138" s="309" t="str" cm="1">
        <f t="array" ref="G138">IFERROR(LOOKUP(2,1/('[1]Contracts Log'!$F:$F=$D138),'[1]Contracts Log'!$K:$K),"")</f>
        <v>ICT / ELV Works</v>
      </c>
      <c r="H138" s="309" t="str" cm="1">
        <f t="array" ref="H138">IFERROR(LOOKUP(2,1/('[1]Contracts Log'!$F:$F=$D138),'[1]Contracts Log'!$J:$J),"")</f>
        <v>Nesma United Industries Company Ltd.</v>
      </c>
      <c r="I138" s="310">
        <v>1</v>
      </c>
      <c r="J138" s="310"/>
      <c r="K138" s="310"/>
      <c r="L138" s="310"/>
      <c r="M138" s="310"/>
      <c r="N138" s="310"/>
      <c r="O138" s="304"/>
      <c r="P138" s="416"/>
      <c r="Q138" s="304"/>
      <c r="R138" s="416"/>
      <c r="S138" s="417"/>
      <c r="T138" s="416"/>
      <c r="U138" s="304"/>
      <c r="V138" s="335" t="s">
        <v>952</v>
      </c>
      <c r="W138" s="240">
        <v>46090</v>
      </c>
      <c r="X138" s="417"/>
      <c r="Y138" s="417"/>
      <c r="Z138" s="335" t="s">
        <v>953</v>
      </c>
      <c r="AA138" s="240">
        <v>46126</v>
      </c>
      <c r="AB138" s="240"/>
      <c r="AC138" s="240"/>
      <c r="AD138" s="335" t="s">
        <v>954</v>
      </c>
      <c r="AE138" s="240">
        <v>46156</v>
      </c>
      <c r="AF138" s="315">
        <v>305</v>
      </c>
      <c r="AG138" s="315">
        <v>254</v>
      </c>
      <c r="AH138" s="315"/>
      <c r="AI138" s="315"/>
      <c r="AJ138" s="363"/>
      <c r="AK138" s="311"/>
      <c r="AL138" s="315"/>
      <c r="AM138" s="315"/>
      <c r="AN138" s="365"/>
      <c r="AO138" s="311"/>
      <c r="AP138" s="314"/>
      <c r="AQ138" s="366"/>
      <c r="AR138" s="314"/>
      <c r="AS138" s="311"/>
      <c r="AT138" s="340"/>
      <c r="AU138" s="341"/>
      <c r="AV138" s="314"/>
      <c r="AW138" s="311"/>
      <c r="AX138" s="341"/>
      <c r="AY138" s="314"/>
      <c r="AZ138" s="311"/>
      <c r="BA138" s="341"/>
      <c r="BB138" s="314"/>
      <c r="BC138" s="364"/>
      <c r="BD138" s="299"/>
      <c r="BE138" s="299"/>
      <c r="BF138" s="323">
        <f t="shared" si="16"/>
        <v>46156</v>
      </c>
      <c r="BG138" s="324">
        <f t="shared" ca="1" si="11"/>
        <v>102</v>
      </c>
      <c r="BH138" s="375">
        <v>46258</v>
      </c>
      <c r="BI138" s="325">
        <f t="shared" ca="1" si="13"/>
        <v>42</v>
      </c>
      <c r="BJ138" s="299"/>
      <c r="BK138" s="325">
        <f t="shared" ca="1" si="14"/>
        <v>0</v>
      </c>
      <c r="BL138" s="299"/>
      <c r="BM138" s="326"/>
      <c r="BN138" s="408"/>
      <c r="BO138" s="327" t="s">
        <v>437</v>
      </c>
      <c r="BP138" s="327" t="s">
        <v>20</v>
      </c>
      <c r="BQ138" s="328" t="s">
        <v>47</v>
      </c>
      <c r="BR138" s="329" t="s">
        <v>955</v>
      </c>
      <c r="BS138" s="331"/>
      <c r="BT138" s="327"/>
      <c r="BU138" s="327"/>
      <c r="BV138" s="327"/>
      <c r="BW138" s="331"/>
      <c r="BX138" s="302"/>
      <c r="BY138" s="302"/>
      <c r="BZ138" s="302"/>
      <c r="CA138" s="295"/>
      <c r="CB138" s="332"/>
      <c r="CC138" s="332"/>
      <c r="CD138" s="332"/>
      <c r="CE138" s="333">
        <v>46117</v>
      </c>
      <c r="CF138" s="334" t="str">
        <f t="shared" si="18"/>
        <v/>
      </c>
    </row>
    <row r="139" spans="1:84" s="334" customFormat="1" ht="302.5" hidden="1" customHeight="1">
      <c r="A139" s="373">
        <v>125</v>
      </c>
      <c r="B139" s="430" t="s">
        <v>299</v>
      </c>
      <c r="C139" s="307" t="s">
        <v>956</v>
      </c>
      <c r="D139" s="308" t="s">
        <v>782</v>
      </c>
      <c r="E139" s="309" t="str" cm="1">
        <f t="array" ref="E139">IFERROR(LOOKUP(2,1/('[1]Contracts Log'!$F:$F=$D139),'[1]Contracts Log'!$G:$G),"")</f>
        <v>1.TB.01.006.99</v>
      </c>
      <c r="F139" s="309" t="str" cm="1">
        <f t="array" ref="F139">IFERROR(LOOKUP(2,1/('[1]Contracts Log'!$F:$F=$D139),'[1]Contracts Log'!$C:$C),"")</f>
        <v>Village Boutique Hotel</v>
      </c>
      <c r="G139" s="309" t="str" cm="1">
        <f t="array" ref="G139">IFERROR(LOOKUP(2,1/('[1]Contracts Log'!$F:$F=$D139),'[1]Contracts Log'!$K:$K),"")</f>
        <v xml:space="preserve">Fit out works for Village Boutique Hotel </v>
      </c>
      <c r="H139" s="309" t="str" cm="1">
        <f t="array" ref="H139">IFERROR(LOOKUP(2,1/('[1]Contracts Log'!$F:$F=$D139),'[1]Contracts Log'!$J:$J),"")</f>
        <v>DEPA Saudi Arabia for Contracting and Interior Decoration Co. Ltd</v>
      </c>
      <c r="I139" s="310">
        <v>1</v>
      </c>
      <c r="J139" s="310"/>
      <c r="K139" s="310"/>
      <c r="L139" s="310"/>
      <c r="M139" s="310"/>
      <c r="N139" s="310"/>
      <c r="O139" s="304"/>
      <c r="P139" s="416"/>
      <c r="Q139" s="304"/>
      <c r="R139" s="416"/>
      <c r="S139" s="417"/>
      <c r="T139" s="416"/>
      <c r="U139" s="304"/>
      <c r="V139" s="335" t="s">
        <v>957</v>
      </c>
      <c r="W139" s="240">
        <v>46111</v>
      </c>
      <c r="X139" s="417"/>
      <c r="Y139" s="417"/>
      <c r="Z139" s="335"/>
      <c r="AA139" s="240"/>
      <c r="AB139" s="240"/>
      <c r="AC139" s="240"/>
      <c r="AD139" s="335"/>
      <c r="AE139" s="240"/>
      <c r="AF139" s="315">
        <v>118</v>
      </c>
      <c r="AG139" s="315">
        <v>118</v>
      </c>
      <c r="AH139" s="315"/>
      <c r="AI139" s="315"/>
      <c r="AJ139" s="363"/>
      <c r="AK139" s="311"/>
      <c r="AL139" s="315"/>
      <c r="AM139" s="315"/>
      <c r="AN139" s="365"/>
      <c r="AO139" s="311"/>
      <c r="AP139" s="314"/>
      <c r="AQ139" s="366"/>
      <c r="AR139" s="314"/>
      <c r="AS139" s="311"/>
      <c r="AT139" s="340"/>
      <c r="AU139" s="341"/>
      <c r="AV139" s="314"/>
      <c r="AW139" s="311"/>
      <c r="AX139" s="341"/>
      <c r="AY139" s="314"/>
      <c r="AZ139" s="311"/>
      <c r="BA139" s="341"/>
      <c r="BB139" s="314"/>
      <c r="BC139" s="364"/>
      <c r="BD139" s="299"/>
      <c r="BE139" s="299"/>
      <c r="BF139" s="323">
        <f t="shared" si="16"/>
        <v>46111</v>
      </c>
      <c r="BG139" s="324">
        <f t="shared" ca="1" si="11"/>
        <v>127</v>
      </c>
      <c r="BH139" s="375">
        <v>46238</v>
      </c>
      <c r="BI139" s="325">
        <f t="shared" ca="1" si="13"/>
        <v>62</v>
      </c>
      <c r="BJ139" s="299"/>
      <c r="BK139" s="325">
        <f t="shared" ca="1" si="14"/>
        <v>0</v>
      </c>
      <c r="BL139" s="299"/>
      <c r="BM139" s="326"/>
      <c r="BN139" s="408"/>
      <c r="BO139" s="327" t="s">
        <v>437</v>
      </c>
      <c r="BP139" s="327" t="s">
        <v>20</v>
      </c>
      <c r="BQ139" s="328" t="s">
        <v>45</v>
      </c>
      <c r="BR139" s="329" t="s">
        <v>1097</v>
      </c>
      <c r="BS139" s="331"/>
      <c r="BT139" s="327"/>
      <c r="BU139" s="327"/>
      <c r="BV139" s="327"/>
      <c r="BW139" s="331"/>
      <c r="BX139" s="302"/>
      <c r="BY139" s="302"/>
      <c r="BZ139" s="302"/>
      <c r="CA139" s="295"/>
      <c r="CB139" s="332"/>
      <c r="CC139" s="332"/>
      <c r="CD139" s="332"/>
      <c r="CE139" s="333">
        <v>46117</v>
      </c>
      <c r="CF139" s="334" t="str">
        <f t="shared" si="18"/>
        <v/>
      </c>
    </row>
    <row r="140" spans="1:84" s="334" customFormat="1" ht="409.5" hidden="1" customHeight="1">
      <c r="A140" s="414">
        <v>126</v>
      </c>
      <c r="B140" s="430" t="s">
        <v>299</v>
      </c>
      <c r="C140" s="307" t="s">
        <v>958</v>
      </c>
      <c r="D140" s="308" t="s">
        <v>756</v>
      </c>
      <c r="E140" s="309" t="str" cm="1">
        <f t="array" ref="E140">IFERROR(LOOKUP(2,1/('[1]Contracts Log'!$F:$F=$D140),'[1]Contracts Log'!$G:$G),"")</f>
        <v>1TB.01.002.99</v>
      </c>
      <c r="F140" s="309" t="str" cm="1">
        <f t="array" ref="F140">IFERROR(LOOKUP(2,1/('[1]Contracts Log'!$F:$F=$D140),'[1]Contracts Log'!$C:$C),"")</f>
        <v>Marina Lifestyle Hotel &amp; Village</v>
      </c>
      <c r="G140" s="309" t="str" cm="1">
        <f t="array" ref="G140">IFERROR(LOOKUP(2,1/('[1]Contracts Log'!$F:$F=$D140),'[1]Contracts Log'!$K:$K),"")</f>
        <v>MLH - Havelock One Interiors Company - Fit-Out Works</v>
      </c>
      <c r="H140" s="309" t="str" cm="1">
        <f t="array" ref="H140">IFERROR(LOOKUP(2,1/('[1]Contracts Log'!$F:$F=$D140),'[1]Contracts Log'!$J:$J),"")</f>
        <v>Havelock One Interiors WLL – KSA</v>
      </c>
      <c r="I140" s="310">
        <v>1</v>
      </c>
      <c r="J140" s="310"/>
      <c r="K140" s="310"/>
      <c r="L140" s="310"/>
      <c r="M140" s="310"/>
      <c r="N140" s="310"/>
      <c r="O140" s="304"/>
      <c r="P140" s="416"/>
      <c r="Q140" s="304"/>
      <c r="R140" s="416"/>
      <c r="S140" s="417"/>
      <c r="T140" s="416"/>
      <c r="U140" s="304"/>
      <c r="V140" s="335" t="s">
        <v>1081</v>
      </c>
      <c r="W140" s="317" t="s">
        <v>1082</v>
      </c>
      <c r="X140" s="417"/>
      <c r="Y140" s="417"/>
      <c r="Z140" s="335"/>
      <c r="AA140" s="240"/>
      <c r="AB140" s="240"/>
      <c r="AC140" s="240"/>
      <c r="AD140" s="335"/>
      <c r="AE140" s="240"/>
      <c r="AF140" s="315"/>
      <c r="AG140" s="315"/>
      <c r="AH140" s="315"/>
      <c r="AI140" s="315"/>
      <c r="AJ140" s="363"/>
      <c r="AK140" s="311"/>
      <c r="AL140" s="315"/>
      <c r="AM140" s="315"/>
      <c r="AN140" s="365"/>
      <c r="AO140" s="311"/>
      <c r="AP140" s="314"/>
      <c r="AQ140" s="366"/>
      <c r="AR140" s="314"/>
      <c r="AS140" s="311"/>
      <c r="AT140" s="340"/>
      <c r="AU140" s="341"/>
      <c r="AV140" s="314"/>
      <c r="AW140" s="311"/>
      <c r="AX140" s="341"/>
      <c r="AY140" s="314"/>
      <c r="AZ140" s="311"/>
      <c r="BA140" s="341"/>
      <c r="BB140" s="314"/>
      <c r="BC140" s="364"/>
      <c r="BD140" s="299"/>
      <c r="BE140" s="299"/>
      <c r="BF140" s="323" t="e">
        <f t="shared" si="16"/>
        <v>#VALUE!</v>
      </c>
      <c r="BG140" s="324" t="e">
        <f t="shared" ca="1" si="11"/>
        <v>#VALUE!</v>
      </c>
      <c r="BH140" s="426">
        <v>46239</v>
      </c>
      <c r="BI140" s="325">
        <f t="shared" ca="1" si="13"/>
        <v>61</v>
      </c>
      <c r="BJ140" s="299"/>
      <c r="BK140" s="325">
        <f t="shared" ca="1" si="14"/>
        <v>0</v>
      </c>
      <c r="BL140" s="299"/>
      <c r="BM140" s="326"/>
      <c r="BN140" s="408"/>
      <c r="BO140" s="327" t="s">
        <v>437</v>
      </c>
      <c r="BP140" s="327" t="s">
        <v>20</v>
      </c>
      <c r="BQ140" s="328" t="s">
        <v>45</v>
      </c>
      <c r="BR140" s="329" t="s">
        <v>1080</v>
      </c>
      <c r="BS140" s="331"/>
      <c r="BT140" s="327"/>
      <c r="BU140" s="327"/>
      <c r="BV140" s="327"/>
      <c r="BW140" s="331"/>
      <c r="BX140" s="302"/>
      <c r="BY140" s="302"/>
      <c r="BZ140" s="302"/>
      <c r="CA140" s="295"/>
      <c r="CB140" s="332"/>
      <c r="CC140" s="332"/>
      <c r="CD140" s="332"/>
      <c r="CE140" s="333">
        <v>46118</v>
      </c>
      <c r="CF140" s="334" t="str">
        <f t="shared" si="18"/>
        <v/>
      </c>
    </row>
    <row r="141" spans="1:84" s="334" customFormat="1" ht="204.75" hidden="1" customHeight="1">
      <c r="A141" s="373">
        <v>127</v>
      </c>
      <c r="B141" s="430" t="s">
        <v>310</v>
      </c>
      <c r="C141" s="307" t="s">
        <v>959</v>
      </c>
      <c r="D141" s="308" t="s">
        <v>756</v>
      </c>
      <c r="E141" s="309" t="str" cm="1">
        <f t="array" ref="E141">IFERROR(LOOKUP(2,1/('[1]Contracts Log'!$F:$F=$D141),'[1]Contracts Log'!$G:$G),"")</f>
        <v>1TB.01.002.99</v>
      </c>
      <c r="F141" s="309" t="str" cm="1">
        <f t="array" ref="F141">IFERROR(LOOKUP(2,1/('[1]Contracts Log'!$F:$F=$D141),'[1]Contracts Log'!$C:$C),"")</f>
        <v>Marina Lifestyle Hotel &amp; Village</v>
      </c>
      <c r="G141" s="309" t="str" cm="1">
        <f t="array" ref="G141">IFERROR(LOOKUP(2,1/('[1]Contracts Log'!$F:$F=$D141),'[1]Contracts Log'!$K:$K),"")</f>
        <v>MLH - Havelock One Interiors Company - Fit-Out Works</v>
      </c>
      <c r="H141" s="309" t="str" cm="1">
        <f t="array" ref="H141">IFERROR(LOOKUP(2,1/('[1]Contracts Log'!$F:$F=$D141),'[1]Contracts Log'!$J:$J),"")</f>
        <v>Havelock One Interiors WLL – KSA</v>
      </c>
      <c r="I141" s="310"/>
      <c r="J141" s="310">
        <v>1</v>
      </c>
      <c r="K141" s="310"/>
      <c r="L141" s="310"/>
      <c r="M141" s="310"/>
      <c r="N141" s="310"/>
      <c r="O141" s="304"/>
      <c r="P141" s="416"/>
      <c r="Q141" s="304"/>
      <c r="R141" s="416"/>
      <c r="S141" s="417"/>
      <c r="T141" s="416"/>
      <c r="U141" s="304"/>
      <c r="V141" s="335" t="s">
        <v>960</v>
      </c>
      <c r="W141" s="240">
        <v>46126</v>
      </c>
      <c r="X141" s="417"/>
      <c r="Y141" s="417"/>
      <c r="Z141" s="335" t="s">
        <v>961</v>
      </c>
      <c r="AA141" s="240">
        <v>46138</v>
      </c>
      <c r="AB141" s="240"/>
      <c r="AC141" s="240"/>
      <c r="AD141" s="335"/>
      <c r="AE141" s="240"/>
      <c r="AF141" s="315"/>
      <c r="AG141" s="315"/>
      <c r="AH141" s="315"/>
      <c r="AI141" s="315"/>
      <c r="AJ141" s="363"/>
      <c r="AK141" s="311"/>
      <c r="AL141" s="315"/>
      <c r="AM141" s="315"/>
      <c r="AN141" s="365"/>
      <c r="AO141" s="311"/>
      <c r="AP141" s="314"/>
      <c r="AQ141" s="366"/>
      <c r="AR141" s="314"/>
      <c r="AS141" s="311"/>
      <c r="AT141" s="340">
        <v>28292924.329999998</v>
      </c>
      <c r="AU141" s="341"/>
      <c r="AV141" s="314"/>
      <c r="AW141" s="311"/>
      <c r="AX141" s="341"/>
      <c r="AY141" s="314"/>
      <c r="AZ141" s="311"/>
      <c r="BA141" s="341"/>
      <c r="BB141" s="314"/>
      <c r="BC141" s="364"/>
      <c r="BD141" s="299"/>
      <c r="BE141" s="299"/>
      <c r="BF141" s="323">
        <f t="shared" si="16"/>
        <v>46126</v>
      </c>
      <c r="BG141" s="324">
        <f t="shared" ca="1" si="11"/>
        <v>0</v>
      </c>
      <c r="BH141" s="299"/>
      <c r="BI141" s="325" t="str">
        <f t="shared" ca="1" si="13"/>
        <v>N/A</v>
      </c>
      <c r="BJ141" s="299"/>
      <c r="BK141" s="325">
        <f t="shared" ca="1" si="14"/>
        <v>0</v>
      </c>
      <c r="BL141" s="299"/>
      <c r="BM141" s="326"/>
      <c r="BN141" s="408"/>
      <c r="BO141" s="327" t="s">
        <v>437</v>
      </c>
      <c r="BP141" s="327" t="s">
        <v>20</v>
      </c>
      <c r="BQ141" s="328" t="s">
        <v>41</v>
      </c>
      <c r="BR141" s="329" t="s">
        <v>962</v>
      </c>
      <c r="BS141" s="331"/>
      <c r="BT141" s="327"/>
      <c r="BU141" s="327"/>
      <c r="BV141" s="327"/>
      <c r="BW141" s="331"/>
      <c r="BX141" s="302"/>
      <c r="BY141" s="302"/>
      <c r="BZ141" s="302"/>
      <c r="CA141" s="295"/>
      <c r="CB141" s="332"/>
      <c r="CC141" s="332"/>
      <c r="CD141" s="332"/>
      <c r="CE141" s="333">
        <v>46126</v>
      </c>
      <c r="CF141" s="334" t="str">
        <f t="shared" si="18"/>
        <v/>
      </c>
    </row>
    <row r="142" spans="1:84" s="334" customFormat="1" ht="408.75" hidden="1" customHeight="1">
      <c r="A142" s="373">
        <v>128</v>
      </c>
      <c r="B142" s="430" t="s">
        <v>299</v>
      </c>
      <c r="C142" s="307" t="s">
        <v>959</v>
      </c>
      <c r="D142" s="308" t="s">
        <v>772</v>
      </c>
      <c r="E142" s="309" t="str" cm="1">
        <f t="array" ref="E142">IFERROR(LOOKUP(2,1/('[1]Contracts Log'!$F:$F=$D142),'[1]Contracts Log'!$G:$G),"")</f>
        <v>1.TB.01.031.01</v>
      </c>
      <c r="F142" s="309" t="str" cm="1">
        <f t="array" ref="F142">IFERROR(LOOKUP(2,1/('[1]Contracts Log'!$F:$F=$D142),'[1]Contracts Log'!$C:$C),"")</f>
        <v>The Marina</v>
      </c>
      <c r="G142" s="309" t="str" cm="1">
        <f t="array" ref="G142">IFERROR(LOOKUP(2,1/('[1]Contracts Log'!$F:$F=$D142),'[1]Contracts Log'!$K:$K),"")</f>
        <v>Constructing Boardwalks &amp; Jetties for Hijaz Island at Amaala
Development</v>
      </c>
      <c r="H142" s="309" t="str" cm="1">
        <f t="array" ref="H142">IFERROR(LOOKUP(2,1/('[1]Contracts Log'!$F:$F=$D142),'[1]Contracts Log'!$J:$J),"")</f>
        <v>Elmar Marinas Khaleej LLC</v>
      </c>
      <c r="I142" s="310"/>
      <c r="J142" s="310">
        <v>1</v>
      </c>
      <c r="K142" s="310"/>
      <c r="L142" s="310"/>
      <c r="M142" s="310"/>
      <c r="N142" s="310"/>
      <c r="O142" s="304"/>
      <c r="P142" s="416"/>
      <c r="Q142" s="304"/>
      <c r="R142" s="416"/>
      <c r="S142" s="417"/>
      <c r="T142" s="416"/>
      <c r="U142" s="304"/>
      <c r="V142" s="335" t="s">
        <v>963</v>
      </c>
      <c r="W142" s="240">
        <v>46086</v>
      </c>
      <c r="X142" s="417"/>
      <c r="Y142" s="417"/>
      <c r="Z142" s="335"/>
      <c r="AA142" s="240"/>
      <c r="AB142" s="240"/>
      <c r="AC142" s="240"/>
      <c r="AD142" s="335" t="s">
        <v>964</v>
      </c>
      <c r="AE142" s="240">
        <v>46277</v>
      </c>
      <c r="AF142" s="315"/>
      <c r="AG142" s="315"/>
      <c r="AH142" s="315"/>
      <c r="AI142" s="315"/>
      <c r="AJ142" s="363"/>
      <c r="AK142" s="311"/>
      <c r="AL142" s="315"/>
      <c r="AM142" s="315"/>
      <c r="AN142" s="365"/>
      <c r="AO142" s="311"/>
      <c r="AP142" s="314"/>
      <c r="AQ142" s="366"/>
      <c r="AR142" s="314"/>
      <c r="AS142" s="311"/>
      <c r="AT142" s="340">
        <v>801604.76</v>
      </c>
      <c r="AU142" s="341"/>
      <c r="AV142" s="314"/>
      <c r="AW142" s="311"/>
      <c r="AX142" s="341"/>
      <c r="AY142" s="314"/>
      <c r="AZ142" s="311"/>
      <c r="BA142" s="341"/>
      <c r="BB142" s="314"/>
      <c r="BC142" s="364"/>
      <c r="BD142" s="299"/>
      <c r="BE142" s="299"/>
      <c r="BF142" s="323">
        <f t="shared" si="16"/>
        <v>46277</v>
      </c>
      <c r="BG142" s="324">
        <f t="shared" ca="1" si="11"/>
        <v>23</v>
      </c>
      <c r="BH142" s="299"/>
      <c r="BI142" s="325">
        <f t="shared" ca="1" si="13"/>
        <v>0</v>
      </c>
      <c r="BJ142" s="299"/>
      <c r="BK142" s="325">
        <f t="shared" ca="1" si="14"/>
        <v>0</v>
      </c>
      <c r="BL142" s="299"/>
      <c r="BM142" s="326"/>
      <c r="BN142" s="408"/>
      <c r="BO142" s="327" t="s">
        <v>437</v>
      </c>
      <c r="BP142" s="327" t="s">
        <v>20</v>
      </c>
      <c r="BQ142" s="328" t="s">
        <v>43</v>
      </c>
      <c r="BR142" s="329" t="s">
        <v>1099</v>
      </c>
      <c r="BS142" s="331"/>
      <c r="BT142" s="327"/>
      <c r="BU142" s="327"/>
      <c r="BV142" s="327"/>
      <c r="BW142" s="331"/>
      <c r="BX142" s="302"/>
      <c r="BY142" s="302"/>
      <c r="BZ142" s="302"/>
      <c r="CA142" s="295"/>
      <c r="CB142" s="332"/>
      <c r="CC142" s="332"/>
      <c r="CD142" s="332"/>
      <c r="CE142" s="333">
        <v>46131</v>
      </c>
      <c r="CF142" s="334" t="str">
        <f t="shared" si="18"/>
        <v/>
      </c>
    </row>
    <row r="143" spans="1:84" s="334" customFormat="1" ht="355.5" hidden="1" customHeight="1">
      <c r="A143" s="414">
        <v>129</v>
      </c>
      <c r="B143" s="430" t="s">
        <v>299</v>
      </c>
      <c r="C143" s="307" t="s">
        <v>924</v>
      </c>
      <c r="D143" s="308" t="s">
        <v>965</v>
      </c>
      <c r="E143" s="309" t="str" cm="1">
        <f t="array" ref="E143">IFERROR(LOOKUP(2,1/('[1]Contracts Log'!$F:$F=$D143),'[1]Contracts Log'!$G:$G),"")</f>
        <v>1.TB.01.009.01</v>
      </c>
      <c r="F143" s="309" t="str" cm="1">
        <f t="array" ref="F143">IFERROR(LOOKUP(2,1/('[1]Contracts Log'!$F:$F=$D143),'[1]Contracts Log'!$C:$C),"")</f>
        <v>Marina Hotel 3</v>
      </c>
      <c r="G143" s="309" t="str" cm="1">
        <f t="array" ref="G143">IFERROR(LOOKUP(2,1/('[1]Contracts Log'!$F:$F=$D143),'[1]Contracts Log'!$K:$K),"")</f>
        <v>MH3 - Kitchen, Laundry &amp; Waste</v>
      </c>
      <c r="H143" s="309" t="str" cm="1">
        <f t="array" ref="H143">IFERROR(LOOKUP(2,1/('[1]Contracts Log'!$F:$F=$D143),'[1]Contracts Log'!$J:$J),"")</f>
        <v>AL RAQTAN &amp; PARTNERS CO. FOR TRADING AND INDUSTRY</v>
      </c>
      <c r="I143" s="310">
        <v>1</v>
      </c>
      <c r="J143" s="310"/>
      <c r="K143" s="310"/>
      <c r="L143" s="310"/>
      <c r="M143" s="310"/>
      <c r="N143" s="310"/>
      <c r="O143" s="304"/>
      <c r="P143" s="416"/>
      <c r="Q143" s="304"/>
      <c r="R143" s="416"/>
      <c r="S143" s="417"/>
      <c r="T143" s="416"/>
      <c r="U143" s="304"/>
      <c r="V143" s="335" t="s">
        <v>966</v>
      </c>
      <c r="W143" s="240">
        <v>46050</v>
      </c>
      <c r="X143" s="417"/>
      <c r="Y143" s="417"/>
      <c r="Z143" s="335" t="s">
        <v>967</v>
      </c>
      <c r="AA143" s="240">
        <v>46132</v>
      </c>
      <c r="AB143" s="240"/>
      <c r="AC143" s="240"/>
      <c r="AD143" s="335" t="s">
        <v>968</v>
      </c>
      <c r="AE143" s="240">
        <v>46159</v>
      </c>
      <c r="AF143" s="315"/>
      <c r="AG143" s="315"/>
      <c r="AH143" s="315"/>
      <c r="AI143" s="315"/>
      <c r="AJ143" s="363"/>
      <c r="AK143" s="311"/>
      <c r="AL143" s="315"/>
      <c r="AM143" s="315"/>
      <c r="AN143" s="365"/>
      <c r="AO143" s="311"/>
      <c r="AP143" s="314"/>
      <c r="AQ143" s="366"/>
      <c r="AR143" s="314"/>
      <c r="AS143" s="311"/>
      <c r="AT143" s="340"/>
      <c r="AU143" s="341"/>
      <c r="AV143" s="314"/>
      <c r="AW143" s="311"/>
      <c r="AX143" s="341"/>
      <c r="AY143" s="314"/>
      <c r="AZ143" s="311"/>
      <c r="BA143" s="341"/>
      <c r="BB143" s="314"/>
      <c r="BC143" s="364"/>
      <c r="BD143" s="299"/>
      <c r="BE143" s="299"/>
      <c r="BF143" s="323">
        <f t="shared" si="16"/>
        <v>46159</v>
      </c>
      <c r="BG143" s="324">
        <f t="shared" ref="BG143:BG183" ca="1" si="19">IF(OR(B143="",B143="DEOT"),"",IF(AND($BQ143="Closed",$BF143&lt;DATE(2025,12,31)),"N/A",IF(AND($BO143&lt;&gt;"Pending",$BO143&lt;&gt;"Assessment Report Issued"),"N/A",IF(OR($BQ143="Awaiting conclusion of EOT",BT143="Revise &amp; resubmit"),0,IFERROR(IF(BH143="",TODAY()-BF143,BH143-BF143),"")))))</f>
        <v>141</v>
      </c>
      <c r="BH143" s="299"/>
      <c r="BI143" s="325">
        <f t="shared" ca="1" si="13"/>
        <v>0</v>
      </c>
      <c r="BJ143" s="299"/>
      <c r="BK143" s="325">
        <f t="shared" ca="1" si="14"/>
        <v>0</v>
      </c>
      <c r="BL143" s="299"/>
      <c r="BM143" s="326"/>
      <c r="BN143" s="408"/>
      <c r="BO143" s="327" t="s">
        <v>437</v>
      </c>
      <c r="BP143" s="327" t="s">
        <v>20</v>
      </c>
      <c r="BQ143" s="328" t="s">
        <v>43</v>
      </c>
      <c r="BR143" s="329" t="s">
        <v>1069</v>
      </c>
      <c r="BS143" s="331"/>
      <c r="BT143" s="327"/>
      <c r="BU143" s="327"/>
      <c r="BV143" s="327"/>
      <c r="BW143" s="331"/>
      <c r="BX143" s="302"/>
      <c r="BY143" s="302"/>
      <c r="BZ143" s="302"/>
      <c r="CA143" s="295"/>
      <c r="CB143" s="332"/>
      <c r="CC143" s="332"/>
      <c r="CD143" s="332"/>
      <c r="CE143" s="333">
        <v>46131</v>
      </c>
      <c r="CF143" s="334" t="str">
        <f t="shared" si="18"/>
        <v/>
      </c>
    </row>
    <row r="144" spans="1:84" s="334" customFormat="1" ht="351.75" hidden="1" customHeight="1">
      <c r="A144" s="414">
        <v>130</v>
      </c>
      <c r="B144" s="430" t="s">
        <v>299</v>
      </c>
      <c r="C144" s="307" t="s">
        <v>969</v>
      </c>
      <c r="D144" s="308" t="s">
        <v>684</v>
      </c>
      <c r="E144" s="309" t="str" cm="1">
        <f t="array" ref="E144">IFERROR(LOOKUP(2,1/('[1]Contracts Log'!$F:$F=$D144),'[1]Contracts Log'!$G:$G),"")</f>
        <v>1.TB.01.006.99</v>
      </c>
      <c r="F144" s="309" t="str" cm="1">
        <f t="array" ref="F144">IFERROR(LOOKUP(2,1/('[1]Contracts Log'!$F:$F=$D144),'[1]Contracts Log'!$C:$C),"")</f>
        <v>Village Boutique Hotel</v>
      </c>
      <c r="G144" s="309" t="str" cm="1">
        <f t="array" ref="G144">IFERROR(LOOKUP(2,1/('[1]Contracts Log'!$F:$F=$D144),'[1]Contracts Log'!$K:$K),"")</f>
        <v>Construction of Amaala Triple Bay Marina - Village Boutique Hotel Fit-Out Package 2</v>
      </c>
      <c r="H144" s="309" t="str" cm="1">
        <f t="array" ref="H144">IFERROR(LOOKUP(2,1/('[1]Contracts Log'!$F:$F=$D144),'[1]Contracts Log'!$J:$J),"")</f>
        <v>Havelock One Interiors Company</v>
      </c>
      <c r="I144" s="310">
        <v>1</v>
      </c>
      <c r="J144" s="310"/>
      <c r="K144" s="310"/>
      <c r="L144" s="310"/>
      <c r="M144" s="310"/>
      <c r="N144" s="310"/>
      <c r="O144" s="304"/>
      <c r="P144" s="416"/>
      <c r="Q144" s="304"/>
      <c r="R144" s="416"/>
      <c r="S144" s="417"/>
      <c r="T144" s="416"/>
      <c r="U144" s="304"/>
      <c r="V144" s="335" t="s">
        <v>970</v>
      </c>
      <c r="W144" s="240">
        <v>46134</v>
      </c>
      <c r="X144" s="417"/>
      <c r="Y144" s="417"/>
      <c r="Z144" s="335"/>
      <c r="AA144" s="240"/>
      <c r="AB144" s="240"/>
      <c r="AC144" s="240"/>
      <c r="AD144" s="335"/>
      <c r="AE144" s="240"/>
      <c r="AF144" s="315">
        <v>117</v>
      </c>
      <c r="AG144" s="315"/>
      <c r="AH144" s="315"/>
      <c r="AI144" s="315"/>
      <c r="AJ144" s="363"/>
      <c r="AK144" s="311"/>
      <c r="AL144" s="315"/>
      <c r="AM144" s="315"/>
      <c r="AN144" s="365"/>
      <c r="AO144" s="311"/>
      <c r="AP144" s="314"/>
      <c r="AQ144" s="366"/>
      <c r="AR144" s="314"/>
      <c r="AS144" s="311"/>
      <c r="AT144" s="340"/>
      <c r="AU144" s="341"/>
      <c r="AV144" s="314"/>
      <c r="AW144" s="311"/>
      <c r="AX144" s="341"/>
      <c r="AY144" s="314"/>
      <c r="AZ144" s="311"/>
      <c r="BA144" s="341"/>
      <c r="BB144" s="314"/>
      <c r="BC144" s="364"/>
      <c r="BD144" s="299"/>
      <c r="BE144" s="299"/>
      <c r="BF144" s="323">
        <f t="shared" si="16"/>
        <v>46134</v>
      </c>
      <c r="BG144" s="324">
        <f t="shared" ca="1" si="19"/>
        <v>166</v>
      </c>
      <c r="BH144" s="299"/>
      <c r="BI144" s="325">
        <f t="shared" ref="BI144:BI183" ca="1" si="20">IF($B144="DEOT","",IFERROR(IF($B144="COST EAR","N/A",IF(BH144="",0,IF(BJ144="",TODAY()-BH144,BJ144-BH144))),""))</f>
        <v>0</v>
      </c>
      <c r="BJ144" s="299"/>
      <c r="BK144" s="325">
        <f t="shared" ref="BK144:BK183" ca="1" si="21">IF($B144="DEOT","",IFERROR(IF(BJ144="",0,IF(BL144="",TODAY()-BJ144,BL144-BJ144)),""))</f>
        <v>0</v>
      </c>
      <c r="BL144" s="299"/>
      <c r="BM144" s="326"/>
      <c r="BN144" s="408"/>
      <c r="BO144" s="327" t="s">
        <v>437</v>
      </c>
      <c r="BP144" s="327" t="s">
        <v>20</v>
      </c>
      <c r="BQ144" s="328" t="s">
        <v>43</v>
      </c>
      <c r="BR144" s="329" t="s">
        <v>1095</v>
      </c>
      <c r="BS144" s="331"/>
      <c r="BT144" s="327"/>
      <c r="BU144" s="327"/>
      <c r="BV144" s="327"/>
      <c r="BW144" s="331"/>
      <c r="BX144" s="302"/>
      <c r="BY144" s="302"/>
      <c r="BZ144" s="302"/>
      <c r="CA144" s="295"/>
      <c r="CB144" s="332"/>
      <c r="CC144" s="332"/>
      <c r="CD144" s="332"/>
      <c r="CE144" s="333">
        <v>46135</v>
      </c>
      <c r="CF144" s="334" t="str">
        <f t="shared" si="18"/>
        <v/>
      </c>
    </row>
    <row r="145" spans="1:84" s="334" customFormat="1" ht="372" hidden="1" customHeight="1">
      <c r="A145" s="373">
        <v>131</v>
      </c>
      <c r="B145" s="430" t="s">
        <v>299</v>
      </c>
      <c r="C145" s="307" t="s">
        <v>971</v>
      </c>
      <c r="D145" s="308" t="s">
        <v>721</v>
      </c>
      <c r="E145" s="309" t="str" cm="1">
        <f t="array" ref="E145">IFERROR(LOOKUP(2,1/('[1]Contracts Log'!$F:$F=$D145),'[1]Contracts Log'!$G:$G),"")</f>
        <v>1.TB.01.005.01</v>
      </c>
      <c r="F145" s="309" t="str" cm="1">
        <f t="array" ref="F145">IFERROR(LOOKUP(2,1/('[1]Contracts Log'!$F:$F=$D145),'[1]Contracts Log'!$C:$C),"")</f>
        <v>Red Sea Marine Life Institute</v>
      </c>
      <c r="G145" s="309" t="str" cm="1">
        <f t="array" ref="G145">IFERROR(LOOKUP(2,1/('[1]Contracts Log'!$F:$F=$D145),'[1]Contracts Log'!$K:$K),"")</f>
        <v>Fit Out Works for Red Sea Marine Life Institute</v>
      </c>
      <c r="H145" s="309" t="str" cm="1">
        <f t="array" ref="H145">IFERROR(LOOKUP(2,1/('[1]Contracts Log'!$F:$F=$D145),'[1]Contracts Log'!$J:$J),"")</f>
        <v>Alec Saudi Engineering and Contracting Company</v>
      </c>
      <c r="I145" s="310">
        <v>1</v>
      </c>
      <c r="J145" s="310"/>
      <c r="K145" s="310"/>
      <c r="L145" s="310"/>
      <c r="M145" s="310"/>
      <c r="N145" s="310"/>
      <c r="O145" s="304"/>
      <c r="P145" s="416"/>
      <c r="Q145" s="304"/>
      <c r="R145" s="416"/>
      <c r="S145" s="417"/>
      <c r="T145" s="416"/>
      <c r="U145" s="304"/>
      <c r="V145" s="335" t="s">
        <v>972</v>
      </c>
      <c r="W145" s="240">
        <v>46149</v>
      </c>
      <c r="X145" s="417"/>
      <c r="Y145" s="417"/>
      <c r="Z145" s="335" t="s">
        <v>973</v>
      </c>
      <c r="AA145" s="240">
        <v>46160</v>
      </c>
      <c r="AB145" s="240"/>
      <c r="AC145" s="240"/>
      <c r="AD145" s="335" t="s">
        <v>974</v>
      </c>
      <c r="AE145" s="240">
        <v>46259</v>
      </c>
      <c r="AF145" s="315"/>
      <c r="AG145" s="315"/>
      <c r="AH145" s="315"/>
      <c r="AI145" s="315"/>
      <c r="AJ145" s="363"/>
      <c r="AK145" s="311"/>
      <c r="AL145" s="315"/>
      <c r="AM145" s="315"/>
      <c r="AN145" s="365"/>
      <c r="AO145" s="311"/>
      <c r="AP145" s="314"/>
      <c r="AQ145" s="366"/>
      <c r="AR145" s="314"/>
      <c r="AS145" s="311"/>
      <c r="AT145" s="340"/>
      <c r="AU145" s="341"/>
      <c r="AV145" s="314"/>
      <c r="AW145" s="311"/>
      <c r="AX145" s="341"/>
      <c r="AY145" s="314"/>
      <c r="AZ145" s="311"/>
      <c r="BA145" s="341"/>
      <c r="BB145" s="314"/>
      <c r="BC145" s="364"/>
      <c r="BD145" s="299"/>
      <c r="BE145" s="299"/>
      <c r="BF145" s="323">
        <f t="shared" si="16"/>
        <v>46259</v>
      </c>
      <c r="BG145" s="324">
        <f t="shared" ca="1" si="19"/>
        <v>41</v>
      </c>
      <c r="BH145" s="299"/>
      <c r="BI145" s="325">
        <f t="shared" ca="1" si="20"/>
        <v>0</v>
      </c>
      <c r="BJ145" s="299"/>
      <c r="BK145" s="325">
        <f t="shared" ca="1" si="21"/>
        <v>0</v>
      </c>
      <c r="BL145" s="299"/>
      <c r="BM145" s="326"/>
      <c r="BN145" s="408"/>
      <c r="BO145" s="327" t="s">
        <v>437</v>
      </c>
      <c r="BP145" s="327" t="s">
        <v>20</v>
      </c>
      <c r="BQ145" s="328" t="s">
        <v>43</v>
      </c>
      <c r="BR145" s="329" t="s">
        <v>975</v>
      </c>
      <c r="BS145" s="331"/>
      <c r="BT145" s="327"/>
      <c r="BU145" s="327"/>
      <c r="BV145" s="327"/>
      <c r="BW145" s="331"/>
      <c r="BX145" s="302"/>
      <c r="BY145" s="302"/>
      <c r="BZ145" s="302"/>
      <c r="CA145" s="295"/>
      <c r="CB145" s="332"/>
      <c r="CC145" s="332"/>
      <c r="CD145" s="332"/>
      <c r="CE145" s="333">
        <v>46152</v>
      </c>
      <c r="CF145" s="334" t="str">
        <f t="shared" si="18"/>
        <v/>
      </c>
    </row>
    <row r="146" spans="1:84" s="334" customFormat="1" ht="159" hidden="1" customHeight="1">
      <c r="A146" s="373">
        <v>132</v>
      </c>
      <c r="B146" s="430" t="s">
        <v>299</v>
      </c>
      <c r="C146" s="307" t="s">
        <v>976</v>
      </c>
      <c r="D146" s="308" t="s">
        <v>977</v>
      </c>
      <c r="E146" s="309" t="str" cm="1">
        <f t="array" ref="E146">IFERROR(LOOKUP(2,1/('[1]Contracts Log'!$F:$F=$D146),'[1]Contracts Log'!$G:$G),"")</f>
        <v>1.TB.01.100.00</v>
      </c>
      <c r="F146" s="309" t="str" cm="1">
        <f t="array" ref="F146">IFERROR(LOOKUP(2,1/('[1]Contracts Log'!$F:$F=$D146),'[1]Contracts Log'!$C:$C),"")</f>
        <v>Marina Village - Wide</v>
      </c>
      <c r="G146" s="309" t="str" cm="1">
        <f t="array" ref="G146">IFERROR(LOOKUP(2,1/('[1]Contracts Log'!$F:$F=$D146),'[1]Contracts Log'!$K:$K),"")</f>
        <v>Design and Construction of Pop-Ins Retail Development Works</v>
      </c>
      <c r="H146" s="309" t="str" cm="1">
        <f t="array" ref="H146">IFERROR(LOOKUP(2,1/('[1]Contracts Log'!$F:$F=$D146),'[1]Contracts Log'!$J:$J),"")</f>
        <v>ID Work Limited Co</v>
      </c>
      <c r="I146" s="310">
        <v>1</v>
      </c>
      <c r="J146" s="310"/>
      <c r="K146" s="310"/>
      <c r="L146" s="310"/>
      <c r="M146" s="310"/>
      <c r="N146" s="310"/>
      <c r="O146" s="304"/>
      <c r="P146" s="416"/>
      <c r="Q146" s="304"/>
      <c r="R146" s="416"/>
      <c r="S146" s="417"/>
      <c r="T146" s="416"/>
      <c r="U146" s="304"/>
      <c r="V146" s="335" t="s">
        <v>978</v>
      </c>
      <c r="W146" s="240">
        <v>46086</v>
      </c>
      <c r="X146" s="417"/>
      <c r="Y146" s="417"/>
      <c r="Z146" s="335"/>
      <c r="AA146" s="240"/>
      <c r="AB146" s="240"/>
      <c r="AC146" s="240"/>
      <c r="AD146" s="335"/>
      <c r="AE146" s="240"/>
      <c r="AF146" s="315">
        <v>124</v>
      </c>
      <c r="AG146" s="315"/>
      <c r="AH146" s="315"/>
      <c r="AI146" s="315"/>
      <c r="AJ146" s="363"/>
      <c r="AK146" s="311"/>
      <c r="AL146" s="315"/>
      <c r="AM146" s="315"/>
      <c r="AN146" s="365"/>
      <c r="AO146" s="311"/>
      <c r="AP146" s="314"/>
      <c r="AQ146" s="366"/>
      <c r="AR146" s="314"/>
      <c r="AS146" s="311"/>
      <c r="AT146" s="340"/>
      <c r="AU146" s="341"/>
      <c r="AV146" s="314"/>
      <c r="AW146" s="311"/>
      <c r="AX146" s="341"/>
      <c r="AY146" s="314"/>
      <c r="AZ146" s="311"/>
      <c r="BA146" s="341"/>
      <c r="BB146" s="314"/>
      <c r="BC146" s="364"/>
      <c r="BD146" s="299"/>
      <c r="BE146" s="299"/>
      <c r="BF146" s="323">
        <f t="shared" si="16"/>
        <v>46086</v>
      </c>
      <c r="BG146" s="324">
        <f t="shared" ca="1" si="19"/>
        <v>0</v>
      </c>
      <c r="BH146" s="299"/>
      <c r="BI146" s="325">
        <f t="shared" ca="1" si="20"/>
        <v>0</v>
      </c>
      <c r="BJ146" s="299"/>
      <c r="BK146" s="325">
        <f t="shared" ca="1" si="21"/>
        <v>0</v>
      </c>
      <c r="BL146" s="299"/>
      <c r="BM146" s="326"/>
      <c r="BN146" s="408"/>
      <c r="BO146" s="327" t="s">
        <v>437</v>
      </c>
      <c r="BP146" s="327" t="s">
        <v>20</v>
      </c>
      <c r="BQ146" s="328" t="s">
        <v>37</v>
      </c>
      <c r="BR146" s="428" t="s">
        <v>979</v>
      </c>
      <c r="BS146" s="331"/>
      <c r="BT146" s="327" t="s">
        <v>660</v>
      </c>
      <c r="BU146" s="327"/>
      <c r="BV146" s="327"/>
      <c r="BW146" s="331"/>
      <c r="BX146" s="302"/>
      <c r="BY146" s="302"/>
      <c r="BZ146" s="302"/>
      <c r="CA146" s="295"/>
      <c r="CB146" s="332"/>
      <c r="CC146" s="332"/>
      <c r="CD146" s="332"/>
      <c r="CE146" s="333">
        <v>46153</v>
      </c>
      <c r="CF146" s="334" t="str">
        <f t="shared" si="18"/>
        <v/>
      </c>
    </row>
    <row r="147" spans="1:84" s="334" customFormat="1" ht="269.5" hidden="1" customHeight="1">
      <c r="A147" s="373">
        <v>133</v>
      </c>
      <c r="B147" s="430" t="s">
        <v>299</v>
      </c>
      <c r="C147" s="346" t="s">
        <v>980</v>
      </c>
      <c r="D147" s="427" t="s">
        <v>596</v>
      </c>
      <c r="E147" s="309" t="str" cm="1">
        <f t="array" ref="E147">IFERROR(LOOKUP(2,1/('[1]Contracts Log'!$F:$F=$D147),'[1]Contracts Log'!$G:$G),"")</f>
        <v>1.TB.01.031.10</v>
      </c>
      <c r="F147" s="309" t="str" cm="1">
        <f t="array" ref="F147">IFERROR(LOOKUP(2,1/('[1]Contracts Log'!$F:$F=$D147),'[1]Contracts Log'!$C:$C),"")</f>
        <v>The Marina</v>
      </c>
      <c r="G147" s="309" t="str" cm="1">
        <f t="array" ref="G147">IFERROR(LOOKUP(2,1/('[1]Contracts Log'!$F:$F=$D147),'[1]Contracts Log'!$K:$K),"")</f>
        <v>Design, Engineering, Procurement and Construction of Floating Pontoons for a The Marina at AMAALA Triple Bay</v>
      </c>
      <c r="H147" s="309" t="str" cm="1">
        <f t="array" ref="H147">IFERROR(LOOKUP(2,1/('[1]Contracts Log'!$F:$F=$D147),'[1]Contracts Log'!$J:$J),"")</f>
        <v xml:space="preserve">MME Marine Engineering LLC </v>
      </c>
      <c r="I147" s="310">
        <v>1</v>
      </c>
      <c r="J147" s="310"/>
      <c r="K147" s="310"/>
      <c r="L147" s="310"/>
      <c r="M147" s="310"/>
      <c r="N147" s="310"/>
      <c r="O147" s="304"/>
      <c r="P147" s="416"/>
      <c r="Q147" s="304"/>
      <c r="R147" s="416"/>
      <c r="S147" s="417"/>
      <c r="T147" s="416"/>
      <c r="U147" s="304"/>
      <c r="V147" s="421" t="s">
        <v>981</v>
      </c>
      <c r="W147" s="422">
        <v>46153</v>
      </c>
      <c r="X147" s="417"/>
      <c r="Y147" s="417"/>
      <c r="Z147" s="335"/>
      <c r="AA147" s="240"/>
      <c r="AB147" s="240"/>
      <c r="AC147" s="240"/>
      <c r="AD147" s="335"/>
      <c r="AE147" s="240"/>
      <c r="AF147" s="433">
        <v>280</v>
      </c>
      <c r="AG147" s="315"/>
      <c r="AH147" s="315"/>
      <c r="AI147" s="315"/>
      <c r="AJ147" s="363"/>
      <c r="AK147" s="311"/>
      <c r="AL147" s="315"/>
      <c r="AM147" s="315"/>
      <c r="AN147" s="365"/>
      <c r="AO147" s="311"/>
      <c r="AP147" s="314"/>
      <c r="AQ147" s="366"/>
      <c r="AR147" s="314"/>
      <c r="AS147" s="311"/>
      <c r="AT147" s="340"/>
      <c r="AU147" s="341"/>
      <c r="AV147" s="314"/>
      <c r="AW147" s="311"/>
      <c r="AX147" s="341"/>
      <c r="AY147" s="314"/>
      <c r="AZ147" s="311"/>
      <c r="BA147" s="341"/>
      <c r="BB147" s="314"/>
      <c r="BC147" s="364"/>
      <c r="BD147" s="299"/>
      <c r="BE147" s="299"/>
      <c r="BF147" s="323">
        <f t="shared" si="16"/>
        <v>46153</v>
      </c>
      <c r="BG147" s="324">
        <f t="shared" ca="1" si="19"/>
        <v>147</v>
      </c>
      <c r="BH147" s="299"/>
      <c r="BI147" s="325">
        <f t="shared" ca="1" si="20"/>
        <v>0</v>
      </c>
      <c r="BJ147" s="299"/>
      <c r="BK147" s="325">
        <f t="shared" ca="1" si="21"/>
        <v>0</v>
      </c>
      <c r="BL147" s="299"/>
      <c r="BM147" s="326"/>
      <c r="BN147" s="408"/>
      <c r="BO147" s="327" t="s">
        <v>437</v>
      </c>
      <c r="BP147" s="327" t="s">
        <v>20</v>
      </c>
      <c r="BQ147" s="328" t="s">
        <v>43</v>
      </c>
      <c r="BR147" s="329" t="s">
        <v>1101</v>
      </c>
      <c r="BS147" s="331"/>
      <c r="BT147" s="327"/>
      <c r="BU147" s="327"/>
      <c r="BV147" s="327"/>
      <c r="BW147" s="331"/>
      <c r="BX147" s="302"/>
      <c r="BY147" s="302"/>
      <c r="BZ147" s="302"/>
      <c r="CA147" s="295"/>
      <c r="CB147" s="332"/>
      <c r="CC147" s="332"/>
      <c r="CD147" s="332"/>
      <c r="CE147" s="333">
        <v>46159</v>
      </c>
      <c r="CF147" s="334" t="str">
        <f t="shared" si="18"/>
        <v/>
      </c>
    </row>
    <row r="148" spans="1:84" s="334" customFormat="1" ht="371.5" hidden="1" customHeight="1">
      <c r="A148" s="414">
        <v>134</v>
      </c>
      <c r="B148" s="430" t="s">
        <v>299</v>
      </c>
      <c r="C148" s="346" t="s">
        <v>982</v>
      </c>
      <c r="D148" s="427" t="s">
        <v>983</v>
      </c>
      <c r="E148" s="309" t="str" cm="1">
        <f t="array" ref="E148">IFERROR(LOOKUP(2,1/('[1]Contracts Log'!$F:$F=$D148),'[1]Contracts Log'!$G:$G),"")</f>
        <v>1.TB.01.009.01</v>
      </c>
      <c r="F148" s="309" t="str" cm="1">
        <f t="array" ref="F148">IFERROR(LOOKUP(2,1/('[1]Contracts Log'!$F:$F=$D148),'[1]Contracts Log'!$C:$C),"")</f>
        <v>Marina Hotel 3</v>
      </c>
      <c r="G148" s="309" t="str" cm="1">
        <f t="array" ref="G148">IFERROR(LOOKUP(2,1/('[1]Contracts Log'!$F:$F=$D148),'[1]Contracts Log'!$K:$K),"")</f>
        <v>Marina Hotel 3 – Swimming Pools and Water Features</v>
      </c>
      <c r="H148" s="309" t="str" cm="1">
        <f t="array" ref="H148">IFERROR(LOOKUP(2,1/('[1]Contracts Log'!$F:$F=$D148),'[1]Contracts Log'!$J:$J),"")</f>
        <v>MENTIGAT AL-MUTQADMA Ltd (Advance Products Company LTD.)</v>
      </c>
      <c r="I148" s="310">
        <v>1</v>
      </c>
      <c r="J148" s="310"/>
      <c r="K148" s="310"/>
      <c r="L148" s="310"/>
      <c r="M148" s="310"/>
      <c r="N148" s="310"/>
      <c r="O148" s="304"/>
      <c r="P148" s="416"/>
      <c r="Q148" s="304"/>
      <c r="R148" s="416"/>
      <c r="S148" s="417"/>
      <c r="T148" s="416"/>
      <c r="U148" s="304"/>
      <c r="V148" s="421" t="s">
        <v>984</v>
      </c>
      <c r="W148" s="422">
        <v>46144</v>
      </c>
      <c r="X148" s="417"/>
      <c r="Y148" s="417"/>
      <c r="Z148" s="335" t="s">
        <v>985</v>
      </c>
      <c r="AA148" s="240">
        <v>46238</v>
      </c>
      <c r="AB148" s="240"/>
      <c r="AC148" s="240"/>
      <c r="AD148" s="335"/>
      <c r="AE148" s="240"/>
      <c r="AF148" s="433">
        <v>246</v>
      </c>
      <c r="AG148" s="315"/>
      <c r="AH148" s="315"/>
      <c r="AI148" s="315"/>
      <c r="AJ148" s="363"/>
      <c r="AK148" s="311"/>
      <c r="AL148" s="315"/>
      <c r="AM148" s="315"/>
      <c r="AN148" s="365"/>
      <c r="AO148" s="311"/>
      <c r="AP148" s="314"/>
      <c r="AQ148" s="366"/>
      <c r="AR148" s="314"/>
      <c r="AS148" s="311"/>
      <c r="AT148" s="340"/>
      <c r="AU148" s="341"/>
      <c r="AV148" s="314"/>
      <c r="AW148" s="311"/>
      <c r="AX148" s="341"/>
      <c r="AY148" s="314"/>
      <c r="AZ148" s="311"/>
      <c r="BA148" s="341"/>
      <c r="BB148" s="314"/>
      <c r="BC148" s="364"/>
      <c r="BD148" s="299"/>
      <c r="BE148" s="299"/>
      <c r="BF148" s="323">
        <f t="shared" ref="BF148:BF183" si="22">IF(B148="","",IF(OR(B148="DEOT",B148="N/A"),"N/A",IF(OR(B148="FULL TIA EAR",B148="COST EAR",B148="HLEAR"),MAX(W148+0,AE148,AC148))))</f>
        <v>46144</v>
      </c>
      <c r="BG148" s="324">
        <f t="shared" ca="1" si="19"/>
        <v>0</v>
      </c>
      <c r="BH148" s="299"/>
      <c r="BI148" s="325">
        <f t="shared" ca="1" si="20"/>
        <v>0</v>
      </c>
      <c r="BJ148" s="299"/>
      <c r="BK148" s="325">
        <f t="shared" ca="1" si="21"/>
        <v>0</v>
      </c>
      <c r="BL148" s="299"/>
      <c r="BM148" s="326"/>
      <c r="BN148" s="408"/>
      <c r="BO148" s="327" t="s">
        <v>437</v>
      </c>
      <c r="BP148" s="327" t="s">
        <v>20</v>
      </c>
      <c r="BQ148" s="328" t="s">
        <v>37</v>
      </c>
      <c r="BR148" s="329" t="s">
        <v>986</v>
      </c>
      <c r="BS148" s="331"/>
      <c r="BT148" s="327" t="s">
        <v>660</v>
      </c>
      <c r="BU148" s="327"/>
      <c r="BV148" s="327"/>
      <c r="BW148" s="331"/>
      <c r="BX148" s="302"/>
      <c r="BY148" s="302"/>
      <c r="BZ148" s="302"/>
      <c r="CA148" s="295"/>
      <c r="CB148" s="332"/>
      <c r="CC148" s="332"/>
      <c r="CD148" s="332"/>
      <c r="CE148" s="333">
        <v>46159</v>
      </c>
      <c r="CF148" s="334" t="str">
        <f t="shared" si="18"/>
        <v/>
      </c>
    </row>
    <row r="149" spans="1:84" s="334" customFormat="1" ht="255.75" hidden="1" customHeight="1">
      <c r="A149" s="434">
        <v>135</v>
      </c>
      <c r="B149" s="430" t="s">
        <v>299</v>
      </c>
      <c r="C149" s="346" t="s">
        <v>987</v>
      </c>
      <c r="D149" s="308" t="s">
        <v>822</v>
      </c>
      <c r="E149" s="309" t="str" cm="1">
        <f t="array" ref="E149">IFERROR(LOOKUP(2,1/('[1]Contracts Log'!$F:$F=$D149),'[1]Contracts Log'!$G:$G),"")</f>
        <v>1.TB.01.009.01</v>
      </c>
      <c r="F149" s="309" t="str" cm="1">
        <f t="array" ref="F149">IFERROR(LOOKUP(2,1/('[1]Contracts Log'!$F:$F=$D149),'[1]Contracts Log'!$C:$C),"")</f>
        <v>Marina Hotel 3</v>
      </c>
      <c r="G149" s="309" t="str" cm="1">
        <f t="array" ref="G149">IFERROR(LOOKUP(2,1/('[1]Contracts Log'!$F:$F=$D149),'[1]Contracts Log'!$K:$K),"")</f>
        <v>AMAALA Triple Bay – Marina Hotel 3 – Guest Rooms &amp; Corridor Fit-Out Works Package.</v>
      </c>
      <c r="H149" s="309" t="str" cm="1">
        <f t="array" ref="H149">IFERROR(LOOKUP(2,1/('[1]Contracts Log'!$F:$F=$D149),'[1]Contracts Log'!$J:$J),"")</f>
        <v>IMAR Overseas Saudi Arabia Company</v>
      </c>
      <c r="I149" s="310">
        <v>1</v>
      </c>
      <c r="J149" s="310"/>
      <c r="K149" s="310"/>
      <c r="L149" s="310"/>
      <c r="M149" s="310"/>
      <c r="N149" s="310"/>
      <c r="O149" s="304"/>
      <c r="P149" s="416"/>
      <c r="Q149" s="304"/>
      <c r="R149" s="416"/>
      <c r="S149" s="417"/>
      <c r="T149" s="416"/>
      <c r="U149" s="304"/>
      <c r="V149" s="335" t="s">
        <v>988</v>
      </c>
      <c r="W149" s="240">
        <v>46120</v>
      </c>
      <c r="X149" s="417"/>
      <c r="Y149" s="417"/>
      <c r="Z149" s="335" t="s">
        <v>989</v>
      </c>
      <c r="AA149" s="240">
        <v>46181</v>
      </c>
      <c r="AB149" s="240"/>
      <c r="AC149" s="240"/>
      <c r="AD149" s="335" t="s">
        <v>990</v>
      </c>
      <c r="AE149" s="240">
        <v>46190</v>
      </c>
      <c r="AF149" s="315">
        <v>273</v>
      </c>
      <c r="AG149" s="315"/>
      <c r="AH149" s="315"/>
      <c r="AI149" s="315"/>
      <c r="AJ149" s="363"/>
      <c r="AK149" s="311"/>
      <c r="AL149" s="315"/>
      <c r="AM149" s="315"/>
      <c r="AN149" s="365"/>
      <c r="AO149" s="311"/>
      <c r="AP149" s="314"/>
      <c r="AQ149" s="366"/>
      <c r="AR149" s="314"/>
      <c r="AS149" s="311"/>
      <c r="AT149" s="340"/>
      <c r="AU149" s="341"/>
      <c r="AV149" s="314"/>
      <c r="AW149" s="311"/>
      <c r="AX149" s="341"/>
      <c r="AY149" s="314"/>
      <c r="AZ149" s="311"/>
      <c r="BA149" s="341"/>
      <c r="BB149" s="314"/>
      <c r="BC149" s="364"/>
      <c r="BD149" s="299"/>
      <c r="BE149" s="299"/>
      <c r="BF149" s="323">
        <f t="shared" si="22"/>
        <v>46190</v>
      </c>
      <c r="BG149" s="324">
        <f t="shared" ca="1" si="19"/>
        <v>0</v>
      </c>
      <c r="BH149" s="375">
        <v>46190</v>
      </c>
      <c r="BI149" s="325">
        <f t="shared" ca="1" si="20"/>
        <v>8</v>
      </c>
      <c r="BJ149" s="375">
        <v>46198</v>
      </c>
      <c r="BK149" s="325">
        <f t="shared" ca="1" si="21"/>
        <v>102</v>
      </c>
      <c r="BL149" s="299"/>
      <c r="BM149" s="326"/>
      <c r="BN149" s="408"/>
      <c r="BO149" s="327" t="s">
        <v>437</v>
      </c>
      <c r="BP149" s="327" t="s">
        <v>20</v>
      </c>
      <c r="BQ149" s="328" t="s">
        <v>43</v>
      </c>
      <c r="BR149" s="329" t="s">
        <v>1070</v>
      </c>
      <c r="BS149" s="331"/>
      <c r="BT149" s="327"/>
      <c r="BU149" s="327"/>
      <c r="BV149" s="327"/>
      <c r="BW149" s="331"/>
      <c r="BX149" s="302"/>
      <c r="BY149" s="302"/>
      <c r="BZ149" s="302"/>
      <c r="CA149" s="295"/>
      <c r="CB149" s="332"/>
      <c r="CC149" s="332"/>
      <c r="CD149" s="332"/>
      <c r="CE149" s="333">
        <v>46160</v>
      </c>
      <c r="CF149" s="334" t="str">
        <f t="shared" si="18"/>
        <v/>
      </c>
    </row>
    <row r="150" spans="1:84" s="334" customFormat="1" ht="159" hidden="1" customHeight="1">
      <c r="A150" s="373">
        <v>136</v>
      </c>
      <c r="B150" s="430" t="s">
        <v>299</v>
      </c>
      <c r="C150" s="346" t="s">
        <v>991</v>
      </c>
      <c r="D150" s="308" t="s">
        <v>822</v>
      </c>
      <c r="E150" s="309" t="str" cm="1">
        <f t="array" ref="E150">IFERROR(LOOKUP(2,1/('[1]Contracts Log'!$F:$F=$D150),'[1]Contracts Log'!$G:$G),"")</f>
        <v>1.TB.01.009.01</v>
      </c>
      <c r="F150" s="309" t="str" cm="1">
        <f t="array" ref="F150">IFERROR(LOOKUP(2,1/('[1]Contracts Log'!$F:$F=$D150),'[1]Contracts Log'!$C:$C),"")</f>
        <v>Marina Hotel 3</v>
      </c>
      <c r="G150" s="309" t="str" cm="1">
        <f t="array" ref="G150">IFERROR(LOOKUP(2,1/('[1]Contracts Log'!$F:$F=$D150),'[1]Contracts Log'!$K:$K),"")</f>
        <v>AMAALA Triple Bay – Marina Hotel 3 – Guest Rooms &amp; Corridor Fit-Out Works Package.</v>
      </c>
      <c r="H150" s="309" t="str" cm="1">
        <f t="array" ref="H150">IFERROR(LOOKUP(2,1/('[1]Contracts Log'!$F:$F=$D150),'[1]Contracts Log'!$J:$J),"")</f>
        <v>IMAR Overseas Saudi Arabia Company</v>
      </c>
      <c r="I150" s="310"/>
      <c r="J150" s="310">
        <v>1</v>
      </c>
      <c r="K150" s="310"/>
      <c r="L150" s="310"/>
      <c r="M150" s="310"/>
      <c r="N150" s="310"/>
      <c r="O150" s="304"/>
      <c r="P150" s="416"/>
      <c r="Q150" s="304"/>
      <c r="R150" s="416"/>
      <c r="S150" s="417"/>
      <c r="T150" s="416"/>
      <c r="U150" s="304"/>
      <c r="V150" s="335" t="s">
        <v>988</v>
      </c>
      <c r="W150" s="240">
        <v>46120</v>
      </c>
      <c r="X150" s="417"/>
      <c r="Y150" s="417"/>
      <c r="Z150" s="335"/>
      <c r="AA150" s="240"/>
      <c r="AB150" s="240"/>
      <c r="AC150" s="240"/>
      <c r="AD150" s="335"/>
      <c r="AE150" s="240"/>
      <c r="AF150" s="315"/>
      <c r="AG150" s="315"/>
      <c r="AH150" s="315"/>
      <c r="AI150" s="315"/>
      <c r="AJ150" s="363"/>
      <c r="AK150" s="311"/>
      <c r="AL150" s="315"/>
      <c r="AM150" s="315"/>
      <c r="AN150" s="365"/>
      <c r="AO150" s="311"/>
      <c r="AP150" s="314"/>
      <c r="AQ150" s="366"/>
      <c r="AR150" s="314"/>
      <c r="AS150" s="311"/>
      <c r="AT150" s="340">
        <v>1797154.46</v>
      </c>
      <c r="AU150" s="341"/>
      <c r="AV150" s="314"/>
      <c r="AW150" s="311"/>
      <c r="AX150" s="341"/>
      <c r="AY150" s="314"/>
      <c r="AZ150" s="311"/>
      <c r="BA150" s="341"/>
      <c r="BB150" s="314"/>
      <c r="BC150" s="364"/>
      <c r="BD150" s="299"/>
      <c r="BE150" s="299"/>
      <c r="BF150" s="323">
        <f t="shared" si="22"/>
        <v>46120</v>
      </c>
      <c r="BG150" s="324">
        <f t="shared" ca="1" si="19"/>
        <v>0</v>
      </c>
      <c r="BH150" s="299"/>
      <c r="BI150" s="325">
        <f t="shared" ca="1" si="20"/>
        <v>0</v>
      </c>
      <c r="BJ150" s="299"/>
      <c r="BK150" s="325">
        <f t="shared" ca="1" si="21"/>
        <v>0</v>
      </c>
      <c r="BL150" s="299"/>
      <c r="BM150" s="326"/>
      <c r="BN150" s="408"/>
      <c r="BO150" s="327" t="s">
        <v>437</v>
      </c>
      <c r="BP150" s="327" t="s">
        <v>20</v>
      </c>
      <c r="BQ150" s="328" t="s">
        <v>41</v>
      </c>
      <c r="BR150" s="329" t="s">
        <v>1071</v>
      </c>
      <c r="BS150" s="331"/>
      <c r="BT150" s="327"/>
      <c r="BU150" s="327"/>
      <c r="BV150" s="327"/>
      <c r="BW150" s="331"/>
      <c r="BX150" s="302"/>
      <c r="BY150" s="302"/>
      <c r="BZ150" s="302"/>
      <c r="CA150" s="295"/>
      <c r="CB150" s="332"/>
      <c r="CC150" s="332"/>
      <c r="CD150" s="332"/>
      <c r="CE150" s="333">
        <v>46160</v>
      </c>
      <c r="CF150" s="334" t="str">
        <f t="shared" si="18"/>
        <v/>
      </c>
    </row>
    <row r="151" spans="1:84" s="334" customFormat="1" ht="409" hidden="1" customHeight="1">
      <c r="A151" s="373">
        <v>137</v>
      </c>
      <c r="B151" s="430" t="s">
        <v>299</v>
      </c>
      <c r="C151" s="307" t="s">
        <v>992</v>
      </c>
      <c r="D151" s="308" t="s">
        <v>993</v>
      </c>
      <c r="E151" s="309" t="str" cm="1">
        <f t="array" ref="E151">IFERROR(LOOKUP(2,1/('[1]Contracts Log'!$F:$F=$D151),'[1]Contracts Log'!$G:$G),"")</f>
        <v>1.OC.00.999.99</v>
      </c>
      <c r="F151" s="309" t="str" cm="1">
        <f t="array" ref="F151">IFERROR(LOOKUP(2,1/('[1]Contracts Log'!$F:$F=$D151),'[1]Contracts Log'!$C:$C),"")</f>
        <v>Marine Life Operation Facility</v>
      </c>
      <c r="G151" s="309" t="str" cm="1">
        <f t="array" ref="G151">IFERROR(LOOKUP(2,1/('[1]Contracts Log'!$F:$F=$D151),'[1]Contracts Log'!$K:$K),"")</f>
        <v>Package 2 – Design and Build components, changes to base build, AV and Exhibition features</v>
      </c>
      <c r="H151" s="309" t="str" cm="1">
        <f t="array" ref="H151">IFERROR(LOOKUP(2,1/('[1]Contracts Log'!$F:$F=$D151),'[1]Contracts Log'!$J:$J),"")</f>
        <v>Alec Interior Decoration</v>
      </c>
      <c r="I151" s="310">
        <v>1</v>
      </c>
      <c r="J151" s="310"/>
      <c r="K151" s="310"/>
      <c r="L151" s="310"/>
      <c r="M151" s="310"/>
      <c r="N151" s="310"/>
      <c r="O151" s="304"/>
      <c r="P151" s="416"/>
      <c r="Q151" s="304"/>
      <c r="R151" s="416"/>
      <c r="S151" s="417"/>
      <c r="T151" s="416"/>
      <c r="U151" s="304"/>
      <c r="V151" s="335" t="s">
        <v>994</v>
      </c>
      <c r="W151" s="240">
        <v>46132</v>
      </c>
      <c r="X151" s="417"/>
      <c r="Y151" s="417"/>
      <c r="Z151" s="335" t="s">
        <v>995</v>
      </c>
      <c r="AA151" s="240">
        <v>46179</v>
      </c>
      <c r="AB151" s="240"/>
      <c r="AC151" s="240"/>
      <c r="AD151" s="335" t="s">
        <v>996</v>
      </c>
      <c r="AE151" s="240">
        <v>46230</v>
      </c>
      <c r="AF151" s="315">
        <v>305</v>
      </c>
      <c r="AG151" s="315"/>
      <c r="AH151" s="315"/>
      <c r="AI151" s="315"/>
      <c r="AJ151" s="363"/>
      <c r="AK151" s="311"/>
      <c r="AL151" s="315"/>
      <c r="AM151" s="315"/>
      <c r="AN151" s="365"/>
      <c r="AO151" s="311"/>
      <c r="AP151" s="314"/>
      <c r="AQ151" s="366"/>
      <c r="AR151" s="314"/>
      <c r="AS151" s="311"/>
      <c r="AT151" s="340"/>
      <c r="AU151" s="341"/>
      <c r="AV151" s="314"/>
      <c r="AW151" s="311"/>
      <c r="AX151" s="341"/>
      <c r="AY151" s="314"/>
      <c r="AZ151" s="311"/>
      <c r="BA151" s="341"/>
      <c r="BB151" s="314"/>
      <c r="BC151" s="364"/>
      <c r="BD151" s="299"/>
      <c r="BE151" s="299"/>
      <c r="BF151" s="323">
        <f t="shared" si="22"/>
        <v>46230</v>
      </c>
      <c r="BG151" s="324">
        <f t="shared" ca="1" si="19"/>
        <v>58</v>
      </c>
      <c r="BH151" s="375">
        <v>46288</v>
      </c>
      <c r="BI151" s="325">
        <f t="shared" ca="1" si="20"/>
        <v>12</v>
      </c>
      <c r="BJ151" s="299"/>
      <c r="BK151" s="325">
        <f t="shared" ca="1" si="21"/>
        <v>0</v>
      </c>
      <c r="BL151" s="299"/>
      <c r="BM151" s="326"/>
      <c r="BN151" s="408"/>
      <c r="BO151" s="327" t="s">
        <v>437</v>
      </c>
      <c r="BP151" s="327" t="s">
        <v>20</v>
      </c>
      <c r="BQ151" s="328" t="s">
        <v>45</v>
      </c>
      <c r="BR151" s="329" t="s">
        <v>997</v>
      </c>
      <c r="BS151" s="331"/>
      <c r="BT151" s="327"/>
      <c r="BU151" s="327"/>
      <c r="BV151" s="327"/>
      <c r="BW151" s="331"/>
      <c r="BX151" s="302"/>
      <c r="BY151" s="302"/>
      <c r="BZ151" s="302"/>
      <c r="CA151" s="295"/>
      <c r="CB151" s="332"/>
      <c r="CC151" s="332"/>
      <c r="CD151" s="332"/>
      <c r="CE151" s="333">
        <v>46168</v>
      </c>
      <c r="CF151" s="334" t="str">
        <f>IF(AND(A151&gt;0,CE151=0),"Insert Entry Date","")</f>
        <v/>
      </c>
    </row>
    <row r="152" spans="1:84" s="334" customFormat="1" ht="389.25" hidden="1" customHeight="1">
      <c r="A152" s="373">
        <v>138</v>
      </c>
      <c r="B152" s="430" t="s">
        <v>299</v>
      </c>
      <c r="C152" s="346" t="s">
        <v>987</v>
      </c>
      <c r="D152" s="308" t="s">
        <v>540</v>
      </c>
      <c r="E152" s="309" t="str" cm="1">
        <f t="array" ref="E152">IFERROR(LOOKUP(2,1/('[1]Contracts Log'!$F:$F=$D152),'[1]Contracts Log'!$G:$G),"")</f>
        <v>1.TB.01.002.99</v>
      </c>
      <c r="F152" s="309" t="str" cm="1">
        <f t="array" ref="F152">IFERROR(LOOKUP(2,1/('[1]Contracts Log'!$F:$F=$D152),'[1]Contracts Log'!$C:$C),"")</f>
        <v>Marina Lifestyle Hotel &amp; Village</v>
      </c>
      <c r="G152" s="309" t="str" cm="1">
        <f t="array" ref="G152">IFERROR(LOOKUP(2,1/('[1]Contracts Log'!$F:$F=$D152),'[1]Contracts Log'!$K:$K),"")</f>
        <v>Structural Steel Works</v>
      </c>
      <c r="H152" s="309" t="str" cm="1">
        <f t="array" ref="H152">IFERROR(LOOKUP(2,1/('[1]Contracts Log'!$F:$F=$D152),'[1]Contracts Log'!$J:$J),"")</f>
        <v>Cleveland Bridge Steel Co. LTD</v>
      </c>
      <c r="I152" s="310">
        <v>1</v>
      </c>
      <c r="J152" s="310"/>
      <c r="K152" s="310"/>
      <c r="L152" s="310"/>
      <c r="M152" s="310"/>
      <c r="N152" s="310"/>
      <c r="O152" s="304"/>
      <c r="P152" s="416"/>
      <c r="Q152" s="304"/>
      <c r="R152" s="416"/>
      <c r="S152" s="417"/>
      <c r="T152" s="416"/>
      <c r="U152" s="304"/>
      <c r="V152" s="335" t="s">
        <v>998</v>
      </c>
      <c r="W152" s="240">
        <v>46121</v>
      </c>
      <c r="X152" s="417"/>
      <c r="Y152" s="417"/>
      <c r="Z152" s="335"/>
      <c r="AA152" s="240" t="s">
        <v>305</v>
      </c>
      <c r="AB152" s="240"/>
      <c r="AC152" s="240"/>
      <c r="AD152" s="335" t="s">
        <v>999</v>
      </c>
      <c r="AE152" s="240">
        <v>46162</v>
      </c>
      <c r="AF152" s="315">
        <v>522</v>
      </c>
      <c r="AG152" s="315">
        <v>460</v>
      </c>
      <c r="AH152" s="315"/>
      <c r="AI152" s="315"/>
      <c r="AJ152" s="363"/>
      <c r="AK152" s="311"/>
      <c r="AL152" s="315"/>
      <c r="AM152" s="315"/>
      <c r="AN152" s="363" t="s">
        <v>1000</v>
      </c>
      <c r="AO152" s="311">
        <f>+DATE(2026,10,1)+7</f>
        <v>46303</v>
      </c>
      <c r="AP152" s="314"/>
      <c r="AQ152" s="366"/>
      <c r="AR152" s="314"/>
      <c r="AS152" s="311"/>
      <c r="AT152" s="340"/>
      <c r="AU152" s="341"/>
      <c r="AV152" s="314"/>
      <c r="AW152" s="311"/>
      <c r="AX152" s="341"/>
      <c r="AY152" s="314"/>
      <c r="AZ152" s="311"/>
      <c r="BA152" s="341"/>
      <c r="BB152" s="314"/>
      <c r="BC152" s="364"/>
      <c r="BD152" s="299"/>
      <c r="BE152" s="299"/>
      <c r="BF152" s="323">
        <f t="shared" si="22"/>
        <v>46162</v>
      </c>
      <c r="BG152" s="324">
        <f t="shared" ca="1" si="19"/>
        <v>36</v>
      </c>
      <c r="BH152" s="375">
        <v>46198</v>
      </c>
      <c r="BI152" s="325">
        <f t="shared" ca="1" si="20"/>
        <v>34</v>
      </c>
      <c r="BJ152" s="375">
        <v>46232</v>
      </c>
      <c r="BK152" s="325">
        <f t="shared" ca="1" si="21"/>
        <v>68</v>
      </c>
      <c r="BL152" s="299"/>
      <c r="BM152" s="326"/>
      <c r="BN152" s="408"/>
      <c r="BO152" s="327" t="s">
        <v>220</v>
      </c>
      <c r="BP152" s="327" t="s">
        <v>20</v>
      </c>
      <c r="BQ152" s="328" t="s">
        <v>53</v>
      </c>
      <c r="BR152" s="329" t="s">
        <v>1001</v>
      </c>
      <c r="BS152" s="331"/>
      <c r="BT152" s="327"/>
      <c r="BU152" s="327"/>
      <c r="BV152" s="327"/>
      <c r="BW152" s="331"/>
      <c r="BX152" s="302">
        <v>46296</v>
      </c>
      <c r="BY152" s="302"/>
      <c r="BZ152" s="302"/>
      <c r="CA152" s="295"/>
      <c r="CB152" s="332"/>
      <c r="CC152" s="332"/>
      <c r="CD152" s="332"/>
      <c r="CE152" s="333">
        <v>46173</v>
      </c>
      <c r="CF152" s="334" t="str">
        <f t="shared" ref="CF152:CF183" si="23">IF(AND(A152&gt;0,CE152=0),"Insert Entry Date","")</f>
        <v/>
      </c>
    </row>
    <row r="153" spans="1:84" s="334" customFormat="1" ht="122.5" hidden="1" customHeight="1">
      <c r="A153" s="373">
        <v>139</v>
      </c>
      <c r="B153" s="430" t="s">
        <v>299</v>
      </c>
      <c r="C153" s="307" t="s">
        <v>1002</v>
      </c>
      <c r="D153" s="308" t="s">
        <v>577</v>
      </c>
      <c r="E153" s="309" t="str" cm="1">
        <f t="array" ref="E153">IFERROR(LOOKUP(2,1/('[1]Contracts Log'!$F:$F=$D153),'[1]Contracts Log'!$G:$G),"")</f>
        <v>1.TB.01.003.01</v>
      </c>
      <c r="F153" s="309" t="str" cm="1">
        <f t="array" ref="F153">IFERROR(LOOKUP(2,1/('[1]Contracts Log'!$F:$F=$D153),'[1]Contracts Log'!$C:$C),"")</f>
        <v xml:space="preserve">AMAALA Yacht Club </v>
      </c>
      <c r="G153" s="309" t="str" cm="1">
        <f t="array" ref="G153">IFERROR(LOOKUP(2,1/('[1]Contracts Log'!$F:$F=$D153),'[1]Contracts Log'!$K:$K),"")</f>
        <v>Fit-out works for Amaala Yacht Club</v>
      </c>
      <c r="H153" s="309" t="str" cm="1">
        <f t="array" ref="H153">IFERROR(LOOKUP(2,1/('[1]Contracts Log'!$F:$F=$D153),'[1]Contracts Log'!$J:$J),"")</f>
        <v>DEPA Saudi Arabia for Contracting and Interior Decoration Co. Ltd</v>
      </c>
      <c r="I153" s="310">
        <v>1</v>
      </c>
      <c r="J153" s="310"/>
      <c r="K153" s="310"/>
      <c r="L153" s="310"/>
      <c r="M153" s="310"/>
      <c r="N153" s="310"/>
      <c r="O153" s="304"/>
      <c r="P153" s="416"/>
      <c r="Q153" s="304"/>
      <c r="R153" s="416"/>
      <c r="S153" s="417"/>
      <c r="T153" s="416"/>
      <c r="U153" s="304"/>
      <c r="V153" s="335" t="s">
        <v>1003</v>
      </c>
      <c r="W153" s="240">
        <v>46060</v>
      </c>
      <c r="X153" s="417"/>
      <c r="Y153" s="417"/>
      <c r="Z153" s="335"/>
      <c r="AA153" s="240"/>
      <c r="AB153" s="240"/>
      <c r="AC153" s="240"/>
      <c r="AD153" s="335"/>
      <c r="AE153" s="240"/>
      <c r="AF153" s="315">
        <v>63</v>
      </c>
      <c r="AG153" s="315">
        <v>63</v>
      </c>
      <c r="AH153" s="315"/>
      <c r="AI153" s="315"/>
      <c r="AJ153" s="363"/>
      <c r="AK153" s="311"/>
      <c r="AL153" s="315"/>
      <c r="AM153" s="315"/>
      <c r="AN153" s="365"/>
      <c r="AO153" s="311"/>
      <c r="AP153" s="314"/>
      <c r="AQ153" s="366"/>
      <c r="AR153" s="314"/>
      <c r="AS153" s="311"/>
      <c r="AT153" s="340"/>
      <c r="AU153" s="341"/>
      <c r="AV153" s="314"/>
      <c r="AW153" s="311"/>
      <c r="AX153" s="341"/>
      <c r="AY153" s="314"/>
      <c r="AZ153" s="311"/>
      <c r="BA153" s="341"/>
      <c r="BB153" s="314"/>
      <c r="BC153" s="364"/>
      <c r="BD153" s="299"/>
      <c r="BE153" s="299"/>
      <c r="BF153" s="323">
        <f t="shared" si="22"/>
        <v>46060</v>
      </c>
      <c r="BG153" s="324">
        <f t="shared" ca="1" si="19"/>
        <v>0</v>
      </c>
      <c r="BH153" s="299"/>
      <c r="BI153" s="325">
        <f t="shared" ca="1" si="20"/>
        <v>0</v>
      </c>
      <c r="BJ153" s="299"/>
      <c r="BK153" s="325">
        <f t="shared" ca="1" si="21"/>
        <v>0</v>
      </c>
      <c r="BL153" s="299"/>
      <c r="BM153" s="326"/>
      <c r="BN153" s="408"/>
      <c r="BO153" s="327" t="s">
        <v>437</v>
      </c>
      <c r="BP153" s="327" t="s">
        <v>20</v>
      </c>
      <c r="BQ153" s="328" t="s">
        <v>37</v>
      </c>
      <c r="BR153" s="329" t="s">
        <v>1004</v>
      </c>
      <c r="BS153" s="331"/>
      <c r="BT153" s="327" t="s">
        <v>660</v>
      </c>
      <c r="BU153" s="327"/>
      <c r="BV153" s="327"/>
      <c r="BW153" s="331"/>
      <c r="BX153" s="302"/>
      <c r="BY153" s="302"/>
      <c r="BZ153" s="302"/>
      <c r="CA153" s="295"/>
      <c r="CB153" s="332"/>
      <c r="CC153" s="332"/>
      <c r="CD153" s="332"/>
      <c r="CE153" s="333">
        <v>46175</v>
      </c>
      <c r="CF153" s="334" t="str">
        <f t="shared" si="23"/>
        <v/>
      </c>
    </row>
    <row r="154" spans="1:84" s="334" customFormat="1" ht="409.5" hidden="1" customHeight="1">
      <c r="A154" s="373">
        <v>140</v>
      </c>
      <c r="B154" s="430" t="s">
        <v>299</v>
      </c>
      <c r="C154" s="307" t="s">
        <v>1005</v>
      </c>
      <c r="D154" s="308" t="s">
        <v>577</v>
      </c>
      <c r="E154" s="309" t="str" cm="1">
        <f t="array" ref="E154">IFERROR(LOOKUP(2,1/('[1]Contracts Log'!$F:$F=$D154),'[1]Contracts Log'!$G:$G),"")</f>
        <v>1.TB.01.003.01</v>
      </c>
      <c r="F154" s="309" t="str" cm="1">
        <f t="array" ref="F154">IFERROR(LOOKUP(2,1/('[1]Contracts Log'!$F:$F=$D154),'[1]Contracts Log'!$C:$C),"")</f>
        <v xml:space="preserve">AMAALA Yacht Club </v>
      </c>
      <c r="G154" s="309" t="str" cm="1">
        <f t="array" ref="G154">IFERROR(LOOKUP(2,1/('[1]Contracts Log'!$F:$F=$D154),'[1]Contracts Log'!$K:$K),"")</f>
        <v>Fit-out works for Amaala Yacht Club</v>
      </c>
      <c r="H154" s="309" t="str" cm="1">
        <f t="array" ref="H154">IFERROR(LOOKUP(2,1/('[1]Contracts Log'!$F:$F=$D154),'[1]Contracts Log'!$J:$J),"")</f>
        <v>DEPA Saudi Arabia for Contracting and Interior Decoration Co. Ltd</v>
      </c>
      <c r="I154" s="310">
        <v>1</v>
      </c>
      <c r="J154" s="310"/>
      <c r="K154" s="310"/>
      <c r="L154" s="310"/>
      <c r="M154" s="310"/>
      <c r="N154" s="310"/>
      <c r="O154" s="304"/>
      <c r="P154" s="416"/>
      <c r="Q154" s="304"/>
      <c r="R154" s="416"/>
      <c r="S154" s="417"/>
      <c r="T154" s="416"/>
      <c r="U154" s="304"/>
      <c r="V154" s="335" t="s">
        <v>1006</v>
      </c>
      <c r="W154" s="240">
        <v>46167</v>
      </c>
      <c r="X154" s="417"/>
      <c r="Y154" s="417"/>
      <c r="Z154" s="335"/>
      <c r="AA154" s="240" t="s">
        <v>305</v>
      </c>
      <c r="AB154" s="240"/>
      <c r="AC154" s="240"/>
      <c r="AD154" s="335"/>
      <c r="AE154" s="240"/>
      <c r="AF154" s="315"/>
      <c r="AG154" s="315"/>
      <c r="AH154" s="315"/>
      <c r="AI154" s="315"/>
      <c r="AJ154" s="363"/>
      <c r="AK154" s="311"/>
      <c r="AL154" s="315"/>
      <c r="AM154" s="315"/>
      <c r="AN154" s="363" t="s">
        <v>1007</v>
      </c>
      <c r="AO154" s="311">
        <f>+DATE(2026,8,2)+7</f>
        <v>46243</v>
      </c>
      <c r="AP154" s="314"/>
      <c r="AQ154" s="366"/>
      <c r="AR154" s="314"/>
      <c r="AS154" s="311"/>
      <c r="AT154" s="340"/>
      <c r="AU154" s="341"/>
      <c r="AV154" s="314"/>
      <c r="AW154" s="311"/>
      <c r="AX154" s="341"/>
      <c r="AY154" s="314"/>
      <c r="AZ154" s="311"/>
      <c r="BA154" s="341"/>
      <c r="BB154" s="314"/>
      <c r="BC154" s="364"/>
      <c r="BD154" s="299"/>
      <c r="BE154" s="299"/>
      <c r="BF154" s="323">
        <f t="shared" si="22"/>
        <v>46167</v>
      </c>
      <c r="BG154" s="324">
        <f t="shared" ca="1" si="19"/>
        <v>36</v>
      </c>
      <c r="BH154" s="375">
        <v>46203</v>
      </c>
      <c r="BI154" s="325">
        <f t="shared" ca="1" si="20"/>
        <v>14</v>
      </c>
      <c r="BJ154" s="375">
        <v>46217</v>
      </c>
      <c r="BK154" s="325">
        <f t="shared" ca="1" si="21"/>
        <v>83</v>
      </c>
      <c r="BL154" s="299"/>
      <c r="BM154" s="326"/>
      <c r="BN154" s="408"/>
      <c r="BO154" s="327" t="s">
        <v>220</v>
      </c>
      <c r="BP154" s="327" t="s">
        <v>20</v>
      </c>
      <c r="BQ154" s="328" t="s">
        <v>37</v>
      </c>
      <c r="BR154" s="329" t="s">
        <v>1008</v>
      </c>
      <c r="BS154" s="331"/>
      <c r="BT154" s="327"/>
      <c r="BU154" s="327"/>
      <c r="BV154" s="327"/>
      <c r="BW154" s="331"/>
      <c r="BX154" s="302">
        <v>46235</v>
      </c>
      <c r="BY154" s="302"/>
      <c r="BZ154" s="302"/>
      <c r="CA154" s="295"/>
      <c r="CB154" s="332"/>
      <c r="CC154" s="332"/>
      <c r="CD154" s="332"/>
      <c r="CE154" s="333">
        <v>46188</v>
      </c>
      <c r="CF154" s="334" t="str">
        <f t="shared" si="23"/>
        <v/>
      </c>
    </row>
    <row r="155" spans="1:84" s="334" customFormat="1" ht="289.5" hidden="1" customHeight="1">
      <c r="A155" s="373">
        <v>141</v>
      </c>
      <c r="B155" s="430" t="s">
        <v>299</v>
      </c>
      <c r="C155" s="346" t="s">
        <v>987</v>
      </c>
      <c r="D155" s="308" t="s">
        <v>641</v>
      </c>
      <c r="E155" s="309" t="str" cm="1">
        <f t="array" ref="E155">IFERROR(LOOKUP(2,1/('[1]Contracts Log'!$F:$F=$D155),'[1]Contracts Log'!$G:$G),"")</f>
        <v>1.TB.01.100.00</v>
      </c>
      <c r="F155" s="309" t="str" cm="1">
        <f t="array" ref="F155">IFERROR(LOOKUP(2,1/('[1]Contracts Log'!$F:$F=$D155),'[1]Contracts Log'!$C:$C),"")</f>
        <v>Marina Village - Wide</v>
      </c>
      <c r="G155" s="309" t="str" cm="1">
        <f t="array" ref="G155">IFERROR(LOOKUP(2,1/('[1]Contracts Log'!$F:$F=$D155),'[1]Contracts Log'!$K:$K),"")</f>
        <v>AMAALA  Secondary Infrastructure Concrete Chambers MV Cabling  Dry  Wet Utilities South Corridor Works Package</v>
      </c>
      <c r="H155" s="309" t="str" cm="1">
        <f t="array" ref="H155">IFERROR(LOOKUP(2,1/('[1]Contracts Log'!$F:$F=$D155),'[1]Contracts Log'!$J:$J),"")</f>
        <v>Arab Supply &amp; Trading Co. (ASTRA Construction)</v>
      </c>
      <c r="I155" s="310">
        <v>1</v>
      </c>
      <c r="J155" s="310"/>
      <c r="K155" s="310"/>
      <c r="L155" s="310"/>
      <c r="M155" s="310"/>
      <c r="N155" s="310"/>
      <c r="O155" s="304"/>
      <c r="P155" s="416"/>
      <c r="Q155" s="304"/>
      <c r="R155" s="416"/>
      <c r="S155" s="417"/>
      <c r="T155" s="416"/>
      <c r="U155" s="304"/>
      <c r="V155" s="335" t="s">
        <v>1009</v>
      </c>
      <c r="W155" s="240">
        <v>46173</v>
      </c>
      <c r="X155" s="417"/>
      <c r="Y155" s="417"/>
      <c r="Z155" s="335" t="s">
        <v>1010</v>
      </c>
      <c r="AA155" s="240">
        <v>46188</v>
      </c>
      <c r="AB155" s="240"/>
      <c r="AC155" s="240"/>
      <c r="AD155" s="335" t="s">
        <v>1011</v>
      </c>
      <c r="AE155" s="240">
        <v>46278</v>
      </c>
      <c r="AF155" s="315"/>
      <c r="AG155" s="315"/>
      <c r="AH155" s="315"/>
      <c r="AI155" s="315"/>
      <c r="AJ155" s="363"/>
      <c r="AK155" s="311"/>
      <c r="AL155" s="315"/>
      <c r="AM155" s="315"/>
      <c r="AN155" s="365"/>
      <c r="AO155" s="311"/>
      <c r="AP155" s="314"/>
      <c r="AQ155" s="366"/>
      <c r="AR155" s="314"/>
      <c r="AS155" s="311"/>
      <c r="AT155" s="340"/>
      <c r="AU155" s="341"/>
      <c r="AV155" s="314"/>
      <c r="AW155" s="311"/>
      <c r="AX155" s="341"/>
      <c r="AY155" s="314"/>
      <c r="AZ155" s="311"/>
      <c r="BA155" s="341"/>
      <c r="BB155" s="314"/>
      <c r="BC155" s="364"/>
      <c r="BD155" s="299"/>
      <c r="BE155" s="299"/>
      <c r="BF155" s="323">
        <f t="shared" si="22"/>
        <v>46278</v>
      </c>
      <c r="BG155" s="324">
        <f t="shared" ca="1" si="19"/>
        <v>22</v>
      </c>
      <c r="BH155" s="299"/>
      <c r="BI155" s="325">
        <f t="shared" ca="1" si="20"/>
        <v>0</v>
      </c>
      <c r="BJ155" s="299"/>
      <c r="BK155" s="325">
        <f t="shared" ca="1" si="21"/>
        <v>0</v>
      </c>
      <c r="BL155" s="299"/>
      <c r="BM155" s="326"/>
      <c r="BN155" s="408"/>
      <c r="BO155" s="327" t="s">
        <v>437</v>
      </c>
      <c r="BP155" s="327" t="s">
        <v>20</v>
      </c>
      <c r="BQ155" s="328" t="s">
        <v>45</v>
      </c>
      <c r="BR155" s="329" t="s">
        <v>1012</v>
      </c>
      <c r="BS155" s="331"/>
      <c r="BT155" s="327"/>
      <c r="BU155" s="327"/>
      <c r="BV155" s="327"/>
      <c r="BW155" s="331"/>
      <c r="BX155" s="302"/>
      <c r="BY155" s="302"/>
      <c r="BZ155" s="302"/>
      <c r="CA155" s="295"/>
      <c r="CB155" s="332"/>
      <c r="CC155" s="332"/>
      <c r="CD155" s="332"/>
      <c r="CE155" s="333">
        <v>46181</v>
      </c>
      <c r="CF155" s="334" t="str">
        <f t="shared" si="23"/>
        <v/>
      </c>
    </row>
    <row r="156" spans="1:84" s="334" customFormat="1" ht="246.75" hidden="1" customHeight="1">
      <c r="A156" s="414">
        <v>142</v>
      </c>
      <c r="B156" s="430" t="s">
        <v>299</v>
      </c>
      <c r="C156" s="307" t="s">
        <v>1013</v>
      </c>
      <c r="D156" s="308" t="s">
        <v>555</v>
      </c>
      <c r="E156" s="309" t="str" cm="1">
        <f t="array" ref="E156">IFERROR(LOOKUP(2,1/('[1]Contracts Log'!$F:$F=$D156),'[1]Contracts Log'!$G:$G),"")</f>
        <v>1.TB.01.002.99</v>
      </c>
      <c r="F156" s="309" t="str" cm="1">
        <f t="array" ref="F156">IFERROR(LOOKUP(2,1/('[1]Contracts Log'!$F:$F=$D156),'[1]Contracts Log'!$C:$C),"")</f>
        <v>Marina Lifestyle Hotel &amp; Village</v>
      </c>
      <c r="G156" s="309" t="str" cm="1">
        <f t="array" ref="G156">IFERROR(LOOKUP(2,1/('[1]Contracts Log'!$F:$F=$D156),'[1]Contracts Log'!$K:$K),"")</f>
        <v>MEP &amp; ICT / ELV Works for Marina Lifestyle Hotel</v>
      </c>
      <c r="H156" s="309" t="str" cm="1">
        <f t="array" ref="H156">IFERROR(LOOKUP(2,1/('[1]Contracts Log'!$F:$F=$D156),'[1]Contracts Log'!$J:$J),"")</f>
        <v>Shapoorji Pallonji Mideast LLC</v>
      </c>
      <c r="I156" s="310">
        <v>1</v>
      </c>
      <c r="J156" s="310"/>
      <c r="K156" s="310"/>
      <c r="L156" s="310"/>
      <c r="M156" s="310"/>
      <c r="N156" s="310"/>
      <c r="O156" s="304"/>
      <c r="P156" s="416"/>
      <c r="Q156" s="304"/>
      <c r="R156" s="416"/>
      <c r="S156" s="417"/>
      <c r="T156" s="416"/>
      <c r="U156" s="304"/>
      <c r="V156" s="335" t="s">
        <v>1014</v>
      </c>
      <c r="W156" s="240">
        <v>46144</v>
      </c>
      <c r="X156" s="417"/>
      <c r="Y156" s="417"/>
      <c r="Z156" s="335"/>
      <c r="AA156" s="240"/>
      <c r="AB156" s="240"/>
      <c r="AC156" s="240"/>
      <c r="AD156" s="335"/>
      <c r="AE156" s="240"/>
      <c r="AF156" s="315">
        <v>506</v>
      </c>
      <c r="AG156" s="315">
        <v>506</v>
      </c>
      <c r="AH156" s="315"/>
      <c r="AI156" s="315"/>
      <c r="AJ156" s="363"/>
      <c r="AK156" s="311"/>
      <c r="AL156" s="315"/>
      <c r="AM156" s="315"/>
      <c r="AN156" s="365"/>
      <c r="AO156" s="311"/>
      <c r="AP156" s="314"/>
      <c r="AQ156" s="366"/>
      <c r="AR156" s="314"/>
      <c r="AS156" s="311"/>
      <c r="AT156" s="340"/>
      <c r="AU156" s="341"/>
      <c r="AV156" s="314"/>
      <c r="AW156" s="311"/>
      <c r="AX156" s="341"/>
      <c r="AY156" s="314"/>
      <c r="AZ156" s="311"/>
      <c r="BA156" s="341"/>
      <c r="BB156" s="314"/>
      <c r="BC156" s="364"/>
      <c r="BD156" s="299"/>
      <c r="BE156" s="299"/>
      <c r="BF156" s="323">
        <f t="shared" si="22"/>
        <v>46144</v>
      </c>
      <c r="BG156" s="324">
        <f t="shared" ca="1" si="19"/>
        <v>96</v>
      </c>
      <c r="BH156" s="375">
        <v>46240</v>
      </c>
      <c r="BI156" s="325">
        <f t="shared" ca="1" si="20"/>
        <v>55</v>
      </c>
      <c r="BJ156" s="375">
        <v>46295</v>
      </c>
      <c r="BK156" s="325">
        <f t="shared" ca="1" si="21"/>
        <v>5</v>
      </c>
      <c r="BL156" s="299"/>
      <c r="BM156" s="326"/>
      <c r="BN156" s="408"/>
      <c r="BO156" s="327" t="s">
        <v>437</v>
      </c>
      <c r="BP156" s="327" t="s">
        <v>20</v>
      </c>
      <c r="BQ156" s="328" t="s">
        <v>47</v>
      </c>
      <c r="BR156" s="329" t="s">
        <v>1083</v>
      </c>
      <c r="BS156" s="331"/>
      <c r="BT156" s="327"/>
      <c r="BU156" s="327"/>
      <c r="BV156" s="327"/>
      <c r="BW156" s="331"/>
      <c r="BX156" s="302"/>
      <c r="BY156" s="302"/>
      <c r="BZ156" s="302"/>
      <c r="CA156" s="295"/>
      <c r="CB156" s="332"/>
      <c r="CC156" s="332"/>
      <c r="CD156" s="332"/>
      <c r="CE156" s="333">
        <v>46201</v>
      </c>
      <c r="CF156" s="334" t="str">
        <f t="shared" si="23"/>
        <v/>
      </c>
    </row>
    <row r="157" spans="1:84" s="334" customFormat="1" ht="175.5" hidden="1" customHeight="1">
      <c r="A157" s="414">
        <v>143</v>
      </c>
      <c r="B157" s="430" t="s">
        <v>299</v>
      </c>
      <c r="C157" s="307" t="s">
        <v>1015</v>
      </c>
      <c r="D157" s="308" t="s">
        <v>562</v>
      </c>
      <c r="E157" s="309" t="str" cm="1">
        <f t="array" ref="E157">IFERROR(LOOKUP(2,1/('[1]Contracts Log'!$F:$F=$D157),'[1]Contracts Log'!$G:$G),"")</f>
        <v>1.TB.01.006.99</v>
      </c>
      <c r="F157" s="309" t="str" cm="1">
        <f t="array" ref="F157">IFERROR(LOOKUP(2,1/('[1]Contracts Log'!$F:$F=$D157),'[1]Contracts Log'!$C:$C),"")</f>
        <v>Village Boutique Hotel</v>
      </c>
      <c r="G157" s="309" t="str" cm="1">
        <f t="array" ref="G157">IFERROR(LOOKUP(2,1/('[1]Contracts Log'!$F:$F=$D157),'[1]Contracts Log'!$K:$K),"")</f>
        <v>MEP &amp; ICT / ELV Works for Village Boutique Hotel</v>
      </c>
      <c r="H157" s="309" t="str" cm="1">
        <f t="array" ref="H157">IFERROR(LOOKUP(2,1/('[1]Contracts Log'!$F:$F=$D157),'[1]Contracts Log'!$J:$J),"")</f>
        <v>Shapoorji Pallonji Mideast LLC</v>
      </c>
      <c r="I157" s="310">
        <v>1</v>
      </c>
      <c r="J157" s="310"/>
      <c r="K157" s="310"/>
      <c r="L157" s="310"/>
      <c r="M157" s="310"/>
      <c r="N157" s="310"/>
      <c r="O157" s="304"/>
      <c r="P157" s="416"/>
      <c r="Q157" s="304"/>
      <c r="R157" s="416"/>
      <c r="S157" s="417"/>
      <c r="T157" s="416"/>
      <c r="U157" s="304"/>
      <c r="V157" s="335" t="s">
        <v>1016</v>
      </c>
      <c r="W157" s="240">
        <v>46144</v>
      </c>
      <c r="X157" s="417"/>
      <c r="Y157" s="417"/>
      <c r="Z157" s="335"/>
      <c r="AA157" s="240"/>
      <c r="AB157" s="240"/>
      <c r="AC157" s="240"/>
      <c r="AD157" s="335"/>
      <c r="AE157" s="240"/>
      <c r="AF157" s="315">
        <v>494</v>
      </c>
      <c r="AG157" s="315"/>
      <c r="AH157" s="315"/>
      <c r="AI157" s="315"/>
      <c r="AJ157" s="363"/>
      <c r="AK157" s="311"/>
      <c r="AL157" s="315"/>
      <c r="AM157" s="315"/>
      <c r="AN157" s="365"/>
      <c r="AO157" s="311"/>
      <c r="AP157" s="314"/>
      <c r="AQ157" s="366"/>
      <c r="AR157" s="314"/>
      <c r="AS157" s="311"/>
      <c r="AT157" s="340"/>
      <c r="AU157" s="341"/>
      <c r="AV157" s="314"/>
      <c r="AW157" s="311"/>
      <c r="AX157" s="341"/>
      <c r="AY157" s="314"/>
      <c r="AZ157" s="311"/>
      <c r="BA157" s="341"/>
      <c r="BB157" s="314"/>
      <c r="BC157" s="364"/>
      <c r="BD157" s="299"/>
      <c r="BE157" s="299"/>
      <c r="BF157" s="323">
        <f t="shared" si="22"/>
        <v>46144</v>
      </c>
      <c r="BG157" s="324">
        <f t="shared" ca="1" si="19"/>
        <v>0</v>
      </c>
      <c r="BH157" s="299"/>
      <c r="BI157" s="325">
        <f t="shared" ca="1" si="20"/>
        <v>0</v>
      </c>
      <c r="BJ157" s="299"/>
      <c r="BK157" s="325">
        <f t="shared" ca="1" si="21"/>
        <v>0</v>
      </c>
      <c r="BL157" s="299"/>
      <c r="BM157" s="326"/>
      <c r="BN157" s="408"/>
      <c r="BO157" s="327" t="s">
        <v>437</v>
      </c>
      <c r="BP157" s="327" t="s">
        <v>20</v>
      </c>
      <c r="BQ157" s="328" t="s">
        <v>37</v>
      </c>
      <c r="BR157" s="329" t="s">
        <v>1017</v>
      </c>
      <c r="BS157" s="331"/>
      <c r="BT157" s="327" t="s">
        <v>660</v>
      </c>
      <c r="BU157" s="327"/>
      <c r="BV157" s="327"/>
      <c r="BW157" s="331"/>
      <c r="BX157" s="302"/>
      <c r="BY157" s="302"/>
      <c r="BZ157" s="302"/>
      <c r="CA157" s="295"/>
      <c r="CB157" s="332"/>
      <c r="CC157" s="332"/>
      <c r="CD157" s="332"/>
      <c r="CE157" s="333">
        <v>46201</v>
      </c>
      <c r="CF157" s="334" t="str">
        <f t="shared" si="23"/>
        <v/>
      </c>
    </row>
    <row r="158" spans="1:84" s="334" customFormat="1" ht="271.5" hidden="1" customHeight="1">
      <c r="A158" s="373">
        <v>144</v>
      </c>
      <c r="B158" s="430" t="s">
        <v>310</v>
      </c>
      <c r="C158" s="307" t="s">
        <v>1018</v>
      </c>
      <c r="D158" s="308" t="s">
        <v>898</v>
      </c>
      <c r="E158" s="309" t="str" cm="1">
        <f t="array" ref="E158">IFERROR(LOOKUP(2,1/('[1]Contracts Log'!$F:$F=$D158),'[1]Contracts Log'!$G:$G),"")</f>
        <v>1.TB.01.002.02</v>
      </c>
      <c r="F158" s="309" t="str" cm="1">
        <f t="array" ref="F158">IFERROR(LOOKUP(2,1/('[1]Contracts Log'!$F:$F=$D158),'[1]Contracts Log'!$C:$C),"")</f>
        <v>Marina Lifestyle Hotel &amp; Village</v>
      </c>
      <c r="G158" s="309" t="str" cm="1">
        <f t="array" ref="G158">IFERROR(LOOKUP(2,1/('[1]Contracts Log'!$F:$F=$D158),'[1]Contracts Log'!$K:$K),"")</f>
        <v>Fit Out &amp; MEP works for New Facilities</v>
      </c>
      <c r="H158" s="309" t="str" cm="1">
        <f t="array" ref="H158">IFERROR(LOOKUP(2,1/('[1]Contracts Log'!$F:$F=$D158),'[1]Contracts Log'!$J:$J),"")</f>
        <v>Havelock One Interiors Company</v>
      </c>
      <c r="I158" s="310"/>
      <c r="J158" s="310">
        <v>1</v>
      </c>
      <c r="K158" s="310"/>
      <c r="L158" s="310"/>
      <c r="M158" s="310"/>
      <c r="N158" s="310"/>
      <c r="O158" s="304"/>
      <c r="P158" s="416"/>
      <c r="Q158" s="304"/>
      <c r="R158" s="416"/>
      <c r="S158" s="417"/>
      <c r="T158" s="416"/>
      <c r="U158" s="304"/>
      <c r="V158" s="335" t="s">
        <v>1019</v>
      </c>
      <c r="W158" s="240">
        <v>46205</v>
      </c>
      <c r="X158" s="417"/>
      <c r="Y158" s="417"/>
      <c r="Z158" s="335"/>
      <c r="AA158" s="240"/>
      <c r="AB158" s="240"/>
      <c r="AC158" s="240"/>
      <c r="AD158" s="335"/>
      <c r="AE158" s="240"/>
      <c r="AF158" s="315"/>
      <c r="AG158" s="315"/>
      <c r="AH158" s="315"/>
      <c r="AI158" s="315"/>
      <c r="AJ158" s="363"/>
      <c r="AK158" s="311"/>
      <c r="AL158" s="315"/>
      <c r="AM158" s="315"/>
      <c r="AN158" s="365"/>
      <c r="AO158" s="311"/>
      <c r="AP158" s="314"/>
      <c r="AQ158" s="366"/>
      <c r="AR158" s="314"/>
      <c r="AS158" s="311"/>
      <c r="AT158" s="340">
        <v>906144</v>
      </c>
      <c r="AU158" s="341"/>
      <c r="AV158" s="314"/>
      <c r="AW158" s="311"/>
      <c r="AX158" s="341"/>
      <c r="AY158" s="314"/>
      <c r="AZ158" s="311"/>
      <c r="BA158" s="341"/>
      <c r="BB158" s="314"/>
      <c r="BC158" s="364"/>
      <c r="BD158" s="299"/>
      <c r="BE158" s="299"/>
      <c r="BF158" s="323">
        <f t="shared" si="22"/>
        <v>46205</v>
      </c>
      <c r="BG158" s="324">
        <f t="shared" ca="1" si="19"/>
        <v>0</v>
      </c>
      <c r="BH158" s="299"/>
      <c r="BI158" s="325" t="str">
        <f t="shared" ca="1" si="20"/>
        <v>N/A</v>
      </c>
      <c r="BJ158" s="299"/>
      <c r="BK158" s="325">
        <f t="shared" ca="1" si="21"/>
        <v>0</v>
      </c>
      <c r="BL158" s="299"/>
      <c r="BM158" s="326"/>
      <c r="BN158" s="408"/>
      <c r="BO158" s="327" t="s">
        <v>437</v>
      </c>
      <c r="BP158" s="327" t="s">
        <v>20</v>
      </c>
      <c r="BQ158" s="328" t="s">
        <v>37</v>
      </c>
      <c r="BR158" s="329" t="s">
        <v>1020</v>
      </c>
      <c r="BS158" s="331"/>
      <c r="BT158" s="327" t="s">
        <v>660</v>
      </c>
      <c r="BU158" s="327"/>
      <c r="BV158" s="327"/>
      <c r="BW158" s="331"/>
      <c r="BX158" s="302"/>
      <c r="BY158" s="302"/>
      <c r="BZ158" s="302"/>
      <c r="CA158" s="295"/>
      <c r="CB158" s="332"/>
      <c r="CC158" s="332"/>
      <c r="CD158" s="332"/>
      <c r="CE158" s="333">
        <v>46208</v>
      </c>
      <c r="CF158" s="334" t="str">
        <f t="shared" si="23"/>
        <v/>
      </c>
    </row>
    <row r="159" spans="1:84" s="334" customFormat="1" ht="189.75" hidden="1" customHeight="1">
      <c r="A159" s="373">
        <v>145</v>
      </c>
      <c r="B159" s="430" t="s">
        <v>299</v>
      </c>
      <c r="C159" s="307" t="s">
        <v>902</v>
      </c>
      <c r="D159" s="308" t="s">
        <v>898</v>
      </c>
      <c r="E159" s="309" t="str" cm="1">
        <f t="array" ref="E159">IFERROR(LOOKUP(2,1/('[1]Contracts Log'!$F:$F=$D159),'[1]Contracts Log'!$G:$G),"")</f>
        <v>1.TB.01.002.02</v>
      </c>
      <c r="F159" s="309" t="str" cm="1">
        <f t="array" ref="F159">IFERROR(LOOKUP(2,1/('[1]Contracts Log'!$F:$F=$D159),'[1]Contracts Log'!$C:$C),"")</f>
        <v>Marina Lifestyle Hotel &amp; Village</v>
      </c>
      <c r="G159" s="309" t="str" cm="1">
        <f t="array" ref="G159">IFERROR(LOOKUP(2,1/('[1]Contracts Log'!$F:$F=$D159),'[1]Contracts Log'!$K:$K),"")</f>
        <v>Fit Out &amp; MEP works for New Facilities</v>
      </c>
      <c r="H159" s="309" t="str" cm="1">
        <f t="array" ref="H159">IFERROR(LOOKUP(2,1/('[1]Contracts Log'!$F:$F=$D159),'[1]Contracts Log'!$J:$J),"")</f>
        <v>Havelock One Interiors Company</v>
      </c>
      <c r="I159" s="310">
        <v>1</v>
      </c>
      <c r="J159" s="310"/>
      <c r="K159" s="310"/>
      <c r="L159" s="310"/>
      <c r="M159" s="310"/>
      <c r="N159" s="310"/>
      <c r="O159" s="304"/>
      <c r="P159" s="416"/>
      <c r="Q159" s="304"/>
      <c r="R159" s="416"/>
      <c r="S159" s="417"/>
      <c r="T159" s="416"/>
      <c r="U159" s="304"/>
      <c r="V159" s="335" t="s">
        <v>1021</v>
      </c>
      <c r="W159" s="240">
        <v>46209</v>
      </c>
      <c r="X159" s="417"/>
      <c r="Y159" s="417"/>
      <c r="Z159" s="335"/>
      <c r="AA159" s="240"/>
      <c r="AB159" s="240"/>
      <c r="AC159" s="240"/>
      <c r="AD159" s="335"/>
      <c r="AE159" s="240"/>
      <c r="AF159" s="315">
        <v>105</v>
      </c>
      <c r="AG159" s="315"/>
      <c r="AH159" s="315"/>
      <c r="AI159" s="315"/>
      <c r="AJ159" s="363"/>
      <c r="AK159" s="311"/>
      <c r="AL159" s="315"/>
      <c r="AM159" s="315"/>
      <c r="AN159" s="365"/>
      <c r="AO159" s="311"/>
      <c r="AP159" s="314"/>
      <c r="AQ159" s="366"/>
      <c r="AR159" s="314"/>
      <c r="AS159" s="311"/>
      <c r="AU159" s="341"/>
      <c r="AV159" s="314"/>
      <c r="AW159" s="311"/>
      <c r="AX159" s="341"/>
      <c r="AY159" s="314"/>
      <c r="AZ159" s="311"/>
      <c r="BA159" s="341"/>
      <c r="BB159" s="314"/>
      <c r="BC159" s="364"/>
      <c r="BD159" s="299"/>
      <c r="BE159" s="299"/>
      <c r="BF159" s="323">
        <f t="shared" si="22"/>
        <v>46209</v>
      </c>
      <c r="BG159" s="324">
        <f t="shared" ca="1" si="19"/>
        <v>91</v>
      </c>
      <c r="BH159" s="299"/>
      <c r="BI159" s="325">
        <f t="shared" ca="1" si="20"/>
        <v>0</v>
      </c>
      <c r="BJ159" s="299"/>
      <c r="BK159" s="325">
        <f t="shared" ca="1" si="21"/>
        <v>0</v>
      </c>
      <c r="BL159" s="299"/>
      <c r="BM159" s="326"/>
      <c r="BN159" s="408"/>
      <c r="BO159" s="327" t="s">
        <v>437</v>
      </c>
      <c r="BP159" s="327" t="s">
        <v>20</v>
      </c>
      <c r="BQ159" s="328" t="s">
        <v>37</v>
      </c>
      <c r="BR159" s="329" t="s">
        <v>1084</v>
      </c>
      <c r="BS159" s="331"/>
      <c r="BT159" s="327"/>
      <c r="BU159" s="327"/>
      <c r="BV159" s="327"/>
      <c r="BW159" s="331"/>
      <c r="BX159" s="302"/>
      <c r="BY159" s="302"/>
      <c r="BZ159" s="302"/>
      <c r="CA159" s="295"/>
      <c r="CB159" s="332"/>
      <c r="CC159" s="332"/>
      <c r="CD159" s="332"/>
      <c r="CE159" s="333">
        <v>46209</v>
      </c>
      <c r="CF159" s="334" t="str">
        <f t="shared" si="23"/>
        <v/>
      </c>
    </row>
    <row r="160" spans="1:84" s="334" customFormat="1" ht="184" hidden="1" customHeight="1">
      <c r="A160" s="373">
        <v>146</v>
      </c>
      <c r="B160" s="430" t="s">
        <v>310</v>
      </c>
      <c r="C160" s="307" t="s">
        <v>1022</v>
      </c>
      <c r="D160" s="308" t="s">
        <v>898</v>
      </c>
      <c r="E160" s="309" t="str" cm="1">
        <f t="array" ref="E160">IFERROR(LOOKUP(2,1/('[1]Contracts Log'!$F:$F=$D160),'[1]Contracts Log'!$G:$G),"")</f>
        <v>1.TB.01.002.02</v>
      </c>
      <c r="F160" s="309" t="str" cm="1">
        <f t="array" ref="F160">IFERROR(LOOKUP(2,1/('[1]Contracts Log'!$F:$F=$D160),'[1]Contracts Log'!$C:$C),"")</f>
        <v>Marina Lifestyle Hotel &amp; Village</v>
      </c>
      <c r="G160" s="309" t="str" cm="1">
        <f t="array" ref="G160">IFERROR(LOOKUP(2,1/('[1]Contracts Log'!$F:$F=$D160),'[1]Contracts Log'!$K:$K),"")</f>
        <v>Fit Out &amp; MEP works for New Facilities</v>
      </c>
      <c r="H160" s="309" t="str" cm="1">
        <f t="array" ref="H160">IFERROR(LOOKUP(2,1/('[1]Contracts Log'!$F:$F=$D160),'[1]Contracts Log'!$J:$J),"")</f>
        <v>Havelock One Interiors Company</v>
      </c>
      <c r="I160" s="310"/>
      <c r="J160" s="310">
        <v>1</v>
      </c>
      <c r="K160" s="310"/>
      <c r="L160" s="310"/>
      <c r="M160" s="310"/>
      <c r="N160" s="310"/>
      <c r="O160" s="304"/>
      <c r="P160" s="416"/>
      <c r="Q160" s="304"/>
      <c r="R160" s="416"/>
      <c r="S160" s="417"/>
      <c r="T160" s="416"/>
      <c r="U160" s="304"/>
      <c r="V160" s="335" t="s">
        <v>1021</v>
      </c>
      <c r="W160" s="240">
        <v>46209</v>
      </c>
      <c r="X160" s="417"/>
      <c r="Y160" s="417"/>
      <c r="Z160" s="335" t="s">
        <v>1023</v>
      </c>
      <c r="AA160" s="240">
        <v>46244</v>
      </c>
      <c r="AB160" s="240"/>
      <c r="AC160" s="240"/>
      <c r="AD160" s="335"/>
      <c r="AE160" s="240"/>
      <c r="AF160" s="315"/>
      <c r="AG160" s="315"/>
      <c r="AH160" s="315"/>
      <c r="AI160" s="315"/>
      <c r="AJ160" s="363"/>
      <c r="AK160" s="311"/>
      <c r="AL160" s="315"/>
      <c r="AM160" s="315"/>
      <c r="AN160" s="365"/>
      <c r="AO160" s="311"/>
      <c r="AP160" s="314"/>
      <c r="AQ160" s="366"/>
      <c r="AR160" s="314"/>
      <c r="AS160" s="311"/>
      <c r="AT160" s="340">
        <v>1014490.59</v>
      </c>
      <c r="AU160" s="341"/>
      <c r="AV160" s="314"/>
      <c r="AW160" s="311"/>
      <c r="AX160" s="341"/>
      <c r="AY160" s="314"/>
      <c r="AZ160" s="311"/>
      <c r="BA160" s="341"/>
      <c r="BB160" s="314"/>
      <c r="BC160" s="364"/>
      <c r="BD160" s="299"/>
      <c r="BE160" s="299"/>
      <c r="BF160" s="323">
        <f t="shared" si="22"/>
        <v>46209</v>
      </c>
      <c r="BG160" s="324">
        <f t="shared" ca="1" si="19"/>
        <v>0</v>
      </c>
      <c r="BH160" s="299"/>
      <c r="BI160" s="325" t="str">
        <f t="shared" ca="1" si="20"/>
        <v>N/A</v>
      </c>
      <c r="BJ160" s="299"/>
      <c r="BK160" s="325">
        <f t="shared" ca="1" si="21"/>
        <v>0</v>
      </c>
      <c r="BL160" s="299"/>
      <c r="BM160" s="326"/>
      <c r="BN160" s="408"/>
      <c r="BO160" s="327" t="s">
        <v>437</v>
      </c>
      <c r="BP160" s="327" t="s">
        <v>20</v>
      </c>
      <c r="BQ160" s="328" t="s">
        <v>37</v>
      </c>
      <c r="BR160" s="329" t="s">
        <v>1024</v>
      </c>
      <c r="BS160" s="331"/>
      <c r="BT160" s="327" t="s">
        <v>660</v>
      </c>
      <c r="BU160" s="327"/>
      <c r="BV160" s="327"/>
      <c r="BW160" s="331"/>
      <c r="BX160" s="302"/>
      <c r="BY160" s="302"/>
      <c r="BZ160" s="302"/>
      <c r="CA160" s="295"/>
      <c r="CB160" s="332"/>
      <c r="CC160" s="332"/>
      <c r="CD160" s="332"/>
      <c r="CE160" s="333">
        <v>46209</v>
      </c>
      <c r="CF160" s="334" t="str">
        <f t="shared" si="23"/>
        <v/>
      </c>
    </row>
    <row r="161" spans="1:84" s="334" customFormat="1" ht="135" hidden="1" customHeight="1">
      <c r="A161" s="414">
        <v>147</v>
      </c>
      <c r="B161" s="430" t="s">
        <v>299</v>
      </c>
      <c r="C161" s="307" t="s">
        <v>1025</v>
      </c>
      <c r="D161" s="308" t="s">
        <v>756</v>
      </c>
      <c r="E161" s="309" t="str" cm="1">
        <f t="array" ref="E161">IFERROR(LOOKUP(2,1/('[1]Contracts Log'!$F:$F=$D161),'[1]Contracts Log'!$G:$G),"")</f>
        <v>1TB.01.002.99</v>
      </c>
      <c r="F161" s="309" t="str" cm="1">
        <f t="array" ref="F161">IFERROR(LOOKUP(2,1/('[1]Contracts Log'!$F:$F=$D161),'[1]Contracts Log'!$C:$C),"")</f>
        <v>Marina Lifestyle Hotel &amp; Village</v>
      </c>
      <c r="G161" s="309" t="str" cm="1">
        <f t="array" ref="G161">IFERROR(LOOKUP(2,1/('[1]Contracts Log'!$F:$F=$D161),'[1]Contracts Log'!$K:$K),"")</f>
        <v>MLH - Havelock One Interiors Company - Fit-Out Works</v>
      </c>
      <c r="H161" s="309" t="str" cm="1">
        <f t="array" ref="H161">IFERROR(LOOKUP(2,1/('[1]Contracts Log'!$F:$F=$D161),'[1]Contracts Log'!$J:$J),"")</f>
        <v>Havelock One Interiors WLL – KSA</v>
      </c>
      <c r="I161" s="310">
        <v>1</v>
      </c>
      <c r="J161" s="310"/>
      <c r="K161" s="310"/>
      <c r="L161" s="310"/>
      <c r="M161" s="310"/>
      <c r="N161" s="310"/>
      <c r="O161" s="304"/>
      <c r="P161" s="416"/>
      <c r="Q161" s="304"/>
      <c r="R161" s="416"/>
      <c r="S161" s="417"/>
      <c r="T161" s="416"/>
      <c r="U161" s="304"/>
      <c r="V161" s="335" t="s">
        <v>1026</v>
      </c>
      <c r="W161" s="240">
        <v>46216</v>
      </c>
      <c r="X161" s="417"/>
      <c r="Y161" s="417"/>
      <c r="Z161" s="335"/>
      <c r="AA161" s="240"/>
      <c r="AB161" s="240"/>
      <c r="AC161" s="240"/>
      <c r="AD161" s="335"/>
      <c r="AE161" s="240"/>
      <c r="AF161" s="315">
        <v>413</v>
      </c>
      <c r="AG161" s="315"/>
      <c r="AH161" s="315"/>
      <c r="AI161" s="315"/>
      <c r="AJ161" s="363"/>
      <c r="AK161" s="311"/>
      <c r="AL161" s="315"/>
      <c r="AM161" s="315"/>
      <c r="AN161" s="365"/>
      <c r="AO161" s="311"/>
      <c r="AP161" s="314"/>
      <c r="AQ161" s="366"/>
      <c r="AR161" s="314"/>
      <c r="AS161" s="311"/>
      <c r="AT161" s="340"/>
      <c r="AU161" s="341"/>
      <c r="AV161" s="314"/>
      <c r="AW161" s="311"/>
      <c r="AX161" s="341"/>
      <c r="AY161" s="314"/>
      <c r="AZ161" s="311"/>
      <c r="BA161" s="341"/>
      <c r="BB161" s="314"/>
      <c r="BC161" s="364"/>
      <c r="BD161" s="299"/>
      <c r="BE161" s="299"/>
      <c r="BF161" s="323">
        <f t="shared" si="22"/>
        <v>46216</v>
      </c>
      <c r="BG161" s="324">
        <f t="shared" ca="1" si="19"/>
        <v>84</v>
      </c>
      <c r="BH161" s="299"/>
      <c r="BI161" s="325">
        <f t="shared" ca="1" si="20"/>
        <v>0</v>
      </c>
      <c r="BJ161" s="299"/>
      <c r="BK161" s="325">
        <f t="shared" ca="1" si="21"/>
        <v>0</v>
      </c>
      <c r="BL161" s="299"/>
      <c r="BM161" s="326"/>
      <c r="BN161" s="408"/>
      <c r="BO161" s="327" t="s">
        <v>437</v>
      </c>
      <c r="BP161" s="327" t="s">
        <v>20</v>
      </c>
      <c r="BQ161" s="328" t="s">
        <v>43</v>
      </c>
      <c r="BR161" s="329" t="s">
        <v>1085</v>
      </c>
      <c r="BS161" s="331"/>
      <c r="BT161" s="327"/>
      <c r="BU161" s="327"/>
      <c r="BV161" s="327"/>
      <c r="BW161" s="331"/>
      <c r="BX161" s="302"/>
      <c r="BY161" s="302"/>
      <c r="BZ161" s="302"/>
      <c r="CA161" s="295"/>
      <c r="CB161" s="332"/>
      <c r="CC161" s="332"/>
      <c r="CD161" s="332"/>
      <c r="CE161" s="333">
        <v>46216</v>
      </c>
      <c r="CF161" s="334" t="str">
        <f t="shared" si="23"/>
        <v/>
      </c>
    </row>
    <row r="162" spans="1:84" s="334" customFormat="1" ht="364.5" hidden="1" customHeight="1">
      <c r="A162" s="414">
        <v>148</v>
      </c>
      <c r="B162" s="430" t="s">
        <v>299</v>
      </c>
      <c r="C162" s="307" t="s">
        <v>1027</v>
      </c>
      <c r="D162" s="308" t="s">
        <v>562</v>
      </c>
      <c r="E162" s="309" t="str" cm="1">
        <f t="array" ref="E162">IFERROR(LOOKUP(2,1/('[1]Contracts Log'!$F:$F=$D162),'[1]Contracts Log'!$G:$G),"")</f>
        <v>1.TB.01.006.99</v>
      </c>
      <c r="F162" s="309" t="str" cm="1">
        <f t="array" ref="F162">IFERROR(LOOKUP(2,1/('[1]Contracts Log'!$F:$F=$D162),'[1]Contracts Log'!$C:$C),"")</f>
        <v>Village Boutique Hotel</v>
      </c>
      <c r="G162" s="309" t="str" cm="1">
        <f t="array" ref="G162">IFERROR(LOOKUP(2,1/('[1]Contracts Log'!$F:$F=$D162),'[1]Contracts Log'!$K:$K),"")</f>
        <v>MEP &amp; ICT / ELV Works for Village Boutique Hotel</v>
      </c>
      <c r="H162" s="309" t="str" cm="1">
        <f t="array" ref="H162">IFERROR(LOOKUP(2,1/('[1]Contracts Log'!$F:$F=$D162),'[1]Contracts Log'!$J:$J),"")</f>
        <v>Shapoorji Pallonji Mideast LLC</v>
      </c>
      <c r="I162" s="310">
        <v>1</v>
      </c>
      <c r="J162" s="310"/>
      <c r="K162" s="310"/>
      <c r="L162" s="310"/>
      <c r="M162" s="310"/>
      <c r="N162" s="310"/>
      <c r="O162" s="304"/>
      <c r="P162" s="416"/>
      <c r="Q162" s="304"/>
      <c r="R162" s="416"/>
      <c r="S162" s="417"/>
      <c r="T162" s="416"/>
      <c r="U162" s="304"/>
      <c r="V162" s="335" t="s">
        <v>1028</v>
      </c>
      <c r="W162" s="240">
        <v>46207</v>
      </c>
      <c r="X162" s="417"/>
      <c r="Y162" s="417"/>
      <c r="Z162" s="335"/>
      <c r="AA162" s="240"/>
      <c r="AB162" s="240"/>
      <c r="AC162" s="240"/>
      <c r="AD162" s="335"/>
      <c r="AE162" s="240"/>
      <c r="AF162" s="315"/>
      <c r="AG162" s="315"/>
      <c r="AH162" s="315"/>
      <c r="AI162" s="315"/>
      <c r="AJ162" s="363"/>
      <c r="AK162" s="311"/>
      <c r="AL162" s="315"/>
      <c r="AM162" s="315"/>
      <c r="AN162" s="363" t="s">
        <v>1029</v>
      </c>
      <c r="AO162" s="311">
        <f>+DATE(2026,9,14)+7</f>
        <v>46286</v>
      </c>
      <c r="AP162" s="314"/>
      <c r="AQ162" s="366"/>
      <c r="AR162" s="314"/>
      <c r="AS162" s="311"/>
      <c r="AT162" s="340"/>
      <c r="AU162" s="341"/>
      <c r="AV162" s="314"/>
      <c r="AW162" s="311"/>
      <c r="AX162" s="341"/>
      <c r="AY162" s="314"/>
      <c r="AZ162" s="311"/>
      <c r="BA162" s="341"/>
      <c r="BB162" s="314"/>
      <c r="BC162" s="364"/>
      <c r="BD162" s="299"/>
      <c r="BE162" s="299"/>
      <c r="BF162" s="323">
        <f t="shared" si="22"/>
        <v>46207</v>
      </c>
      <c r="BG162" s="324">
        <f t="shared" ca="1" si="19"/>
        <v>32</v>
      </c>
      <c r="BH162" s="375">
        <v>46239</v>
      </c>
      <c r="BI162" s="325">
        <f t="shared" ca="1" si="20"/>
        <v>61</v>
      </c>
      <c r="BJ162" s="299"/>
      <c r="BK162" s="325">
        <f t="shared" ca="1" si="21"/>
        <v>0</v>
      </c>
      <c r="BL162" s="299"/>
      <c r="BM162" s="326"/>
      <c r="BN162" s="408"/>
      <c r="BO162" s="327" t="s">
        <v>220</v>
      </c>
      <c r="BP162" s="327" t="s">
        <v>20</v>
      </c>
      <c r="BQ162" s="328" t="s">
        <v>53</v>
      </c>
      <c r="BR162" s="329" t="s">
        <v>1096</v>
      </c>
      <c r="BS162" s="331"/>
      <c r="BT162" s="327"/>
      <c r="BU162" s="327"/>
      <c r="BV162" s="327"/>
      <c r="BW162" s="331"/>
      <c r="BX162" s="302">
        <v>46266</v>
      </c>
      <c r="BY162" s="302"/>
      <c r="BZ162" s="302"/>
      <c r="CA162" s="295"/>
      <c r="CB162" s="332"/>
      <c r="CC162" s="332"/>
      <c r="CD162" s="332"/>
      <c r="CE162" s="333">
        <v>46217</v>
      </c>
      <c r="CF162" s="334" t="str">
        <f t="shared" si="23"/>
        <v/>
      </c>
    </row>
    <row r="163" spans="1:84" s="334" customFormat="1" ht="223.5" hidden="1" customHeight="1">
      <c r="A163" s="414">
        <v>149</v>
      </c>
      <c r="B163" s="430" t="s">
        <v>299</v>
      </c>
      <c r="C163" s="307" t="s">
        <v>1030</v>
      </c>
      <c r="D163" s="308" t="s">
        <v>858</v>
      </c>
      <c r="E163" s="309" t="str" cm="1">
        <f t="array" ref="E163">IFERROR(LOOKUP(2,1/('[1]Contracts Log'!$F:$F=$D163),'[1]Contracts Log'!$G:$G),"")</f>
        <v>1.TB.01.002.02</v>
      </c>
      <c r="F163" s="309" t="str" cm="1">
        <f t="array" ref="F163">IFERROR(LOOKUP(2,1/('[1]Contracts Log'!$F:$F=$D163),'[1]Contracts Log'!$C:$C),"")</f>
        <v>Marina Lifestyle Hotel &amp; Village</v>
      </c>
      <c r="G163" s="309" t="str" cm="1">
        <f t="array" ref="G163">IFERROR(LOOKUP(2,1/('[1]Contracts Log'!$F:$F=$D163),'[1]Contracts Log'!$K:$K),"")</f>
        <v>Fit-Out works of AMAALA Residences/Non-Branded (49 Nos)
for Marina Lifestyle Hotel</v>
      </c>
      <c r="H163" s="309" t="str" cm="1">
        <f t="array" ref="H163">IFERROR(LOOKUP(2,1/('[1]Contracts Log'!$F:$F=$D163),'[1]Contracts Log'!$J:$J),"")</f>
        <v>Havelock One Interiors Company</v>
      </c>
      <c r="I163" s="310">
        <v>1</v>
      </c>
      <c r="J163" s="310"/>
      <c r="K163" s="310"/>
      <c r="L163" s="310"/>
      <c r="M163" s="310"/>
      <c r="N163" s="310"/>
      <c r="O163" s="304"/>
      <c r="P163" s="416"/>
      <c r="Q163" s="304"/>
      <c r="R163" s="416"/>
      <c r="S163" s="417"/>
      <c r="T163" s="416"/>
      <c r="U163" s="304"/>
      <c r="V163" s="335" t="s">
        <v>1031</v>
      </c>
      <c r="W163" s="240">
        <v>46219</v>
      </c>
      <c r="X163" s="417"/>
      <c r="Y163" s="417"/>
      <c r="Z163" s="335" t="s">
        <v>1032</v>
      </c>
      <c r="AA163" s="240">
        <v>46226</v>
      </c>
      <c r="AB163" s="240"/>
      <c r="AC163" s="240"/>
      <c r="AD163" s="335" t="s">
        <v>1033</v>
      </c>
      <c r="AE163" s="240">
        <v>46226</v>
      </c>
      <c r="AF163" s="315">
        <v>325</v>
      </c>
      <c r="AG163" s="315"/>
      <c r="AH163" s="315"/>
      <c r="AI163" s="315"/>
      <c r="AJ163" s="363"/>
      <c r="AK163" s="311"/>
      <c r="AL163" s="315"/>
      <c r="AM163" s="315"/>
      <c r="AN163" s="365"/>
      <c r="AO163" s="311"/>
      <c r="AP163" s="314"/>
      <c r="AQ163" s="366"/>
      <c r="AR163" s="314"/>
      <c r="AS163" s="311"/>
      <c r="AT163" s="340"/>
      <c r="AU163" s="341"/>
      <c r="AV163" s="314"/>
      <c r="AW163" s="311"/>
      <c r="AX163" s="341"/>
      <c r="AY163" s="314"/>
      <c r="AZ163" s="311"/>
      <c r="BA163" s="341"/>
      <c r="BB163" s="314"/>
      <c r="BC163" s="364"/>
      <c r="BD163" s="299"/>
      <c r="BE163" s="299"/>
      <c r="BF163" s="323">
        <f t="shared" si="22"/>
        <v>46226</v>
      </c>
      <c r="BG163" s="324">
        <f t="shared" ca="1" si="19"/>
        <v>74</v>
      </c>
      <c r="BH163" s="299"/>
      <c r="BI163" s="325">
        <f t="shared" ca="1" si="20"/>
        <v>0</v>
      </c>
      <c r="BJ163" s="299"/>
      <c r="BK163" s="325">
        <f t="shared" ca="1" si="21"/>
        <v>0</v>
      </c>
      <c r="BL163" s="299"/>
      <c r="BM163" s="326"/>
      <c r="BN163" s="408"/>
      <c r="BO163" s="327" t="s">
        <v>437</v>
      </c>
      <c r="BP163" s="327" t="s">
        <v>20</v>
      </c>
      <c r="BQ163" s="328" t="s">
        <v>43</v>
      </c>
      <c r="BR163" s="329" t="s">
        <v>1086</v>
      </c>
      <c r="BS163" s="331"/>
      <c r="BT163" s="327"/>
      <c r="BU163" s="327"/>
      <c r="BV163" s="327"/>
      <c r="BW163" s="331"/>
      <c r="BX163" s="302"/>
      <c r="BY163" s="302"/>
      <c r="BZ163" s="302"/>
      <c r="CA163" s="295"/>
      <c r="CB163" s="332"/>
      <c r="CC163" s="332"/>
      <c r="CD163" s="332"/>
      <c r="CE163" s="333">
        <v>46222</v>
      </c>
      <c r="CF163" s="334" t="str">
        <f t="shared" si="23"/>
        <v/>
      </c>
    </row>
    <row r="164" spans="1:84" s="334" customFormat="1" ht="204" hidden="1" customHeight="1">
      <c r="A164" s="373">
        <v>150</v>
      </c>
      <c r="B164" s="430" t="s">
        <v>299</v>
      </c>
      <c r="C164" s="307" t="s">
        <v>1034</v>
      </c>
      <c r="D164" s="308" t="s">
        <v>916</v>
      </c>
      <c r="E164" s="309" t="str" cm="1">
        <f t="array" ref="E164">IFERROR(LOOKUP(2,1/('[1]Contracts Log'!$F:$F=$D164),'[1]Contracts Log'!$G:$G),"")</f>
        <v>1.TB.01.006.99</v>
      </c>
      <c r="F164" s="309" t="str" cm="1">
        <f t="array" ref="F164">IFERROR(LOOKUP(2,1/('[1]Contracts Log'!$F:$F=$D164),'[1]Contracts Log'!$C:$C),"")</f>
        <v>Village Boutique Hotel</v>
      </c>
      <c r="G164" s="309" t="str" cm="1">
        <f t="array" ref="G164">IFERROR(LOOKUP(2,1/('[1]Contracts Log'!$F:$F=$D164),'[1]Contracts Log'!$K:$K),"")</f>
        <v>Hard and Soft Landscape Works</v>
      </c>
      <c r="H164" s="309" t="str" cm="1">
        <f t="array" ref="H164">IFERROR(LOOKUP(2,1/('[1]Contracts Log'!$F:$F=$D164),'[1]Contracts Log'!$J:$J),"")</f>
        <v>Nesma United Industries Co. Ltd.</v>
      </c>
      <c r="I164" s="310">
        <v>1</v>
      </c>
      <c r="J164" s="310"/>
      <c r="K164" s="310"/>
      <c r="L164" s="310"/>
      <c r="M164" s="310"/>
      <c r="N164" s="310"/>
      <c r="O164" s="304"/>
      <c r="P164" s="416"/>
      <c r="Q164" s="304"/>
      <c r="R164" s="416"/>
      <c r="S164" s="417"/>
      <c r="T164" s="416"/>
      <c r="U164" s="304"/>
      <c r="V164" s="335" t="s">
        <v>1035</v>
      </c>
      <c r="W164" s="240">
        <v>46219</v>
      </c>
      <c r="X164" s="417"/>
      <c r="Y164" s="417"/>
      <c r="Z164" s="335" t="s">
        <v>1036</v>
      </c>
      <c r="AA164" s="240">
        <v>46236</v>
      </c>
      <c r="AB164" s="240"/>
      <c r="AC164" s="240"/>
      <c r="AD164" s="335" t="s">
        <v>1037</v>
      </c>
      <c r="AE164" s="240">
        <v>46237</v>
      </c>
      <c r="AF164" s="315"/>
      <c r="AG164" s="315">
        <v>67</v>
      </c>
      <c r="AH164" s="315"/>
      <c r="AI164" s="315"/>
      <c r="AJ164" s="363"/>
      <c r="AK164" s="311"/>
      <c r="AL164" s="315"/>
      <c r="AM164" s="315"/>
      <c r="AN164" s="365"/>
      <c r="AO164" s="311"/>
      <c r="AP164" s="314"/>
      <c r="AQ164" s="366"/>
      <c r="AR164" s="314"/>
      <c r="AS164" s="311"/>
      <c r="AT164" s="340"/>
      <c r="AU164" s="341"/>
      <c r="AV164" s="314"/>
      <c r="AW164" s="311"/>
      <c r="AX164" s="341"/>
      <c r="AY164" s="314"/>
      <c r="AZ164" s="311"/>
      <c r="BA164" s="341"/>
      <c r="BB164" s="314"/>
      <c r="BC164" s="364"/>
      <c r="BD164" s="299"/>
      <c r="BE164" s="299"/>
      <c r="BF164" s="323">
        <f t="shared" si="22"/>
        <v>46237</v>
      </c>
      <c r="BG164" s="324">
        <f t="shared" ca="1" si="19"/>
        <v>63</v>
      </c>
      <c r="BH164" s="299"/>
      <c r="BI164" s="325">
        <f t="shared" ca="1" si="20"/>
        <v>0</v>
      </c>
      <c r="BJ164" s="299"/>
      <c r="BK164" s="325">
        <f t="shared" ca="1" si="21"/>
        <v>0</v>
      </c>
      <c r="BL164" s="299"/>
      <c r="BM164" s="326"/>
      <c r="BN164" s="408"/>
      <c r="BO164" s="327" t="s">
        <v>437</v>
      </c>
      <c r="BP164" s="327" t="s">
        <v>20</v>
      </c>
      <c r="BQ164" s="328" t="s">
        <v>43</v>
      </c>
      <c r="BR164" s="329" t="s">
        <v>1104</v>
      </c>
      <c r="BS164" s="331"/>
      <c r="BT164" s="327"/>
      <c r="BU164" s="327"/>
      <c r="BV164" s="327"/>
      <c r="BW164" s="331"/>
      <c r="BX164" s="302"/>
      <c r="BY164" s="302"/>
      <c r="BZ164" s="302"/>
      <c r="CA164" s="295"/>
      <c r="CB164" s="332"/>
      <c r="CC164" s="332"/>
      <c r="CD164" s="332"/>
      <c r="CE164" s="333">
        <v>46228</v>
      </c>
      <c r="CF164" s="334" t="str">
        <f t="shared" si="23"/>
        <v/>
      </c>
    </row>
    <row r="165" spans="1:84" s="334" customFormat="1" ht="183" hidden="1" customHeight="1">
      <c r="A165" s="373">
        <v>151</v>
      </c>
      <c r="B165" s="430" t="s">
        <v>634</v>
      </c>
      <c r="C165" s="307" t="s">
        <v>1038</v>
      </c>
      <c r="D165" s="308" t="s">
        <v>1039</v>
      </c>
      <c r="E165" s="309" t="str" cm="1">
        <f t="array" ref="E165">IFERROR(LOOKUP(2,1/('[1]Contracts Log'!$F:$F=$D165),'[1]Contracts Log'!$G:$G),"")</f>
        <v>1.TB.01.100.00</v>
      </c>
      <c r="F165" s="309" t="str" cm="1">
        <f t="array" ref="F165">IFERROR(LOOKUP(2,1/('[1]Contracts Log'!$F:$F=$D165),'[1]Contracts Log'!$C:$C),"")</f>
        <v>Marina Village - Wide</v>
      </c>
      <c r="G165" s="309" t="str" cm="1">
        <f t="array" ref="G165">IFERROR(LOOKUP(2,1/('[1]Contracts Log'!$F:$F=$D165),'[1]Contracts Log'!$K:$K),"")</f>
        <v>Construction of Additional Fuel Line for Super Yacht</v>
      </c>
      <c r="H165" s="309" t="str" cm="1">
        <f t="array" ref="H165">IFERROR(LOOKUP(2,1/('[1]Contracts Log'!$F:$F=$D165),'[1]Contracts Log'!$J:$J),"")</f>
        <v>Rawabi Specialized Contracting Company</v>
      </c>
      <c r="I165" s="310">
        <v>1</v>
      </c>
      <c r="J165" s="310"/>
      <c r="K165" s="310"/>
      <c r="L165" s="310"/>
      <c r="M165" s="310"/>
      <c r="N165" s="310"/>
      <c r="O165" s="304"/>
      <c r="P165" s="416"/>
      <c r="Q165" s="304"/>
      <c r="R165" s="416"/>
      <c r="S165" s="417"/>
      <c r="T165" s="416"/>
      <c r="U165" s="304"/>
      <c r="V165" s="335" t="s">
        <v>1040</v>
      </c>
      <c r="W165" s="240">
        <v>45861</v>
      </c>
      <c r="X165" s="417"/>
      <c r="Y165" s="417"/>
      <c r="Z165" s="335"/>
      <c r="AA165" s="240" t="s">
        <v>305</v>
      </c>
      <c r="AB165" s="317" t="s">
        <v>1041</v>
      </c>
      <c r="AC165" s="240">
        <v>46238</v>
      </c>
      <c r="AD165" s="335" t="s">
        <v>1042</v>
      </c>
      <c r="AE165" s="240">
        <v>46238</v>
      </c>
      <c r="AF165" s="315"/>
      <c r="AG165" s="315"/>
      <c r="AH165" s="315"/>
      <c r="AI165" s="315"/>
      <c r="AJ165" s="363"/>
      <c r="AK165" s="311"/>
      <c r="AL165" s="315"/>
      <c r="AM165" s="315"/>
      <c r="AN165" s="365"/>
      <c r="AO165" s="311"/>
      <c r="AP165" s="314"/>
      <c r="AQ165" s="366"/>
      <c r="AR165" s="314"/>
      <c r="AS165" s="311"/>
      <c r="AT165" s="340"/>
      <c r="AU165" s="341"/>
      <c r="AV165" s="314"/>
      <c r="AW165" s="311"/>
      <c r="AX165" s="341"/>
      <c r="AY165" s="314"/>
      <c r="AZ165" s="311"/>
      <c r="BA165" s="341"/>
      <c r="BB165" s="314"/>
      <c r="BC165" s="364"/>
      <c r="BD165" s="299"/>
      <c r="BE165" s="299"/>
      <c r="BF165" s="323">
        <f t="shared" si="22"/>
        <v>46238</v>
      </c>
      <c r="BG165" s="324">
        <f t="shared" ca="1" si="19"/>
        <v>62</v>
      </c>
      <c r="BH165" s="299"/>
      <c r="BI165" s="325">
        <f t="shared" ca="1" si="20"/>
        <v>0</v>
      </c>
      <c r="BJ165" s="299"/>
      <c r="BK165" s="325">
        <f t="shared" ca="1" si="21"/>
        <v>0</v>
      </c>
      <c r="BL165" s="299"/>
      <c r="BM165" s="326"/>
      <c r="BN165" s="408"/>
      <c r="BO165" s="327" t="s">
        <v>437</v>
      </c>
      <c r="BP165" s="327" t="s">
        <v>20</v>
      </c>
      <c r="BQ165" s="328" t="s">
        <v>43</v>
      </c>
      <c r="BR165" s="326" t="s">
        <v>1043</v>
      </c>
      <c r="BS165" s="331"/>
      <c r="BT165" s="327"/>
      <c r="BU165" s="327"/>
      <c r="BV165" s="327"/>
      <c r="BW165" s="331"/>
      <c r="BX165" s="302"/>
      <c r="BY165" s="302"/>
      <c r="BZ165" s="302"/>
      <c r="CA165" s="295"/>
      <c r="CB165" s="332"/>
      <c r="CC165" s="332"/>
      <c r="CD165" s="332"/>
      <c r="CE165" s="333">
        <v>46238</v>
      </c>
      <c r="CF165" s="334" t="str">
        <f t="shared" si="23"/>
        <v/>
      </c>
    </row>
    <row r="166" spans="1:84" s="334" customFormat="1" ht="119" hidden="1">
      <c r="A166" s="373">
        <v>152</v>
      </c>
      <c r="B166" s="430" t="s">
        <v>299</v>
      </c>
      <c r="C166" s="346" t="s">
        <v>1044</v>
      </c>
      <c r="D166" s="308" t="s">
        <v>822</v>
      </c>
      <c r="E166" s="309" t="str" cm="1">
        <f t="array" ref="E166">IFERROR(LOOKUP(2,1/('[1]Contracts Log'!$F:$F=$D166),'[1]Contracts Log'!$G:$G),"")</f>
        <v>1.TB.01.009.01</v>
      </c>
      <c r="F166" s="309" t="str" cm="1">
        <f t="array" ref="F166">IFERROR(LOOKUP(2,1/('[1]Contracts Log'!$F:$F=$D166),'[1]Contracts Log'!$C:$C),"")</f>
        <v>Marina Hotel 3</v>
      </c>
      <c r="G166" s="309" t="str" cm="1">
        <f t="array" ref="G166">IFERROR(LOOKUP(2,1/('[1]Contracts Log'!$F:$F=$D166),'[1]Contracts Log'!$K:$K),"")</f>
        <v>AMAALA Triple Bay – Marina Hotel 3 – Guest Rooms &amp; Corridor Fit-Out Works Package.</v>
      </c>
      <c r="H166" s="309" t="str" cm="1">
        <f t="array" ref="H166">IFERROR(LOOKUP(2,1/('[1]Contracts Log'!$F:$F=$D166),'[1]Contracts Log'!$J:$J),"")</f>
        <v>IMAR Overseas Saudi Arabia Company</v>
      </c>
      <c r="I166" s="310">
        <v>1</v>
      </c>
      <c r="J166" s="310"/>
      <c r="K166" s="310"/>
      <c r="L166" s="310"/>
      <c r="M166" s="310"/>
      <c r="N166" s="310"/>
      <c r="O166" s="304"/>
      <c r="P166" s="416"/>
      <c r="Q166" s="304"/>
      <c r="R166" s="416"/>
      <c r="S166" s="417"/>
      <c r="T166" s="416"/>
      <c r="U166" s="304"/>
      <c r="V166" s="240" t="s">
        <v>1045</v>
      </c>
      <c r="W166" s="431">
        <v>46239</v>
      </c>
      <c r="X166" s="417"/>
      <c r="Y166" s="417"/>
      <c r="Z166" s="335"/>
      <c r="AA166" s="240"/>
      <c r="AB166" s="240"/>
      <c r="AC166" s="240"/>
      <c r="AD166" s="335"/>
      <c r="AE166" s="240"/>
      <c r="AF166" s="315">
        <v>136</v>
      </c>
      <c r="AG166" s="315"/>
      <c r="AH166" s="315"/>
      <c r="AI166" s="315"/>
      <c r="AJ166" s="363"/>
      <c r="AK166" s="311"/>
      <c r="AL166" s="315"/>
      <c r="AM166" s="315"/>
      <c r="AN166" s="365"/>
      <c r="AO166" s="311"/>
      <c r="AP166" s="314"/>
      <c r="AQ166" s="366"/>
      <c r="AR166" s="314"/>
      <c r="AS166" s="311"/>
      <c r="AT166" s="340"/>
      <c r="AU166" s="341"/>
      <c r="AV166" s="314"/>
      <c r="AW166" s="311"/>
      <c r="AX166" s="341"/>
      <c r="AY166" s="314"/>
      <c r="AZ166" s="311"/>
      <c r="BA166" s="341"/>
      <c r="BB166" s="314"/>
      <c r="BC166" s="364"/>
      <c r="BD166" s="299"/>
      <c r="BE166" s="299"/>
      <c r="BF166" s="323">
        <f t="shared" si="22"/>
        <v>46239</v>
      </c>
      <c r="BG166" s="324">
        <f t="shared" ca="1" si="19"/>
        <v>61</v>
      </c>
      <c r="BH166" s="299"/>
      <c r="BI166" s="325">
        <f t="shared" ca="1" si="20"/>
        <v>0</v>
      </c>
      <c r="BJ166" s="299"/>
      <c r="BK166" s="325">
        <f t="shared" ca="1" si="21"/>
        <v>0</v>
      </c>
      <c r="BL166" s="299"/>
      <c r="BM166" s="326"/>
      <c r="BN166" s="408"/>
      <c r="BO166" s="327" t="s">
        <v>437</v>
      </c>
      <c r="BP166" s="327" t="s">
        <v>20</v>
      </c>
      <c r="BQ166" s="328" t="s">
        <v>43</v>
      </c>
      <c r="BR166" s="329" t="s">
        <v>1072</v>
      </c>
      <c r="BS166" s="331"/>
      <c r="BT166" s="327"/>
      <c r="BU166" s="327"/>
      <c r="BV166" s="327"/>
      <c r="BW166" s="331"/>
      <c r="BX166" s="302"/>
      <c r="BY166" s="302"/>
      <c r="BZ166" s="302"/>
      <c r="CA166" s="295"/>
      <c r="CB166" s="332"/>
      <c r="CC166" s="332"/>
      <c r="CD166" s="332"/>
      <c r="CE166" s="333">
        <v>46243</v>
      </c>
      <c r="CF166" s="334" t="str">
        <f t="shared" si="23"/>
        <v/>
      </c>
    </row>
    <row r="167" spans="1:84" s="334" customFormat="1" ht="68" hidden="1">
      <c r="A167" s="373">
        <v>153</v>
      </c>
      <c r="B167" s="430" t="s">
        <v>299</v>
      </c>
      <c r="C167" s="346" t="s">
        <v>1044</v>
      </c>
      <c r="D167" s="308" t="s">
        <v>822</v>
      </c>
      <c r="E167" s="309" t="str" cm="1">
        <f t="array" ref="E167">IFERROR(LOOKUP(2,1/('[1]Contracts Log'!$F:$F=$D167),'[1]Contracts Log'!$G:$G),"")</f>
        <v>1.TB.01.009.01</v>
      </c>
      <c r="F167" s="309" t="str" cm="1">
        <f t="array" ref="F167">IFERROR(LOOKUP(2,1/('[1]Contracts Log'!$F:$F=$D167),'[1]Contracts Log'!$C:$C),"")</f>
        <v>Marina Hotel 3</v>
      </c>
      <c r="G167" s="309" t="str" cm="1">
        <f t="array" ref="G167">IFERROR(LOOKUP(2,1/('[1]Contracts Log'!$F:$F=$D167),'[1]Contracts Log'!$K:$K),"")</f>
        <v>AMAALA Triple Bay – Marina Hotel 3 – Guest Rooms &amp; Corridor Fit-Out Works Package.</v>
      </c>
      <c r="H167" s="309" t="str" cm="1">
        <f t="array" ref="H167">IFERROR(LOOKUP(2,1/('[1]Contracts Log'!$F:$F=$D167),'[1]Contracts Log'!$J:$J),"")</f>
        <v>IMAR Overseas Saudi Arabia Company</v>
      </c>
      <c r="I167" s="310"/>
      <c r="J167" s="310">
        <v>1</v>
      </c>
      <c r="K167" s="310"/>
      <c r="L167" s="310"/>
      <c r="M167" s="310"/>
      <c r="N167" s="310"/>
      <c r="O167" s="304"/>
      <c r="P167" s="416"/>
      <c r="Q167" s="304"/>
      <c r="R167" s="416"/>
      <c r="S167" s="417"/>
      <c r="T167" s="416"/>
      <c r="U167" s="304"/>
      <c r="V167" s="240" t="s">
        <v>1045</v>
      </c>
      <c r="W167" s="431">
        <v>46239</v>
      </c>
      <c r="X167" s="417"/>
      <c r="Y167" s="417"/>
      <c r="Z167" s="335"/>
      <c r="AA167" s="240"/>
      <c r="AB167" s="240"/>
      <c r="AC167" s="240"/>
      <c r="AD167" s="335"/>
      <c r="AE167" s="240"/>
      <c r="AF167" s="315"/>
      <c r="AG167" s="315"/>
      <c r="AH167" s="315"/>
      <c r="AI167" s="315"/>
      <c r="AJ167" s="363"/>
      <c r="AK167" s="311"/>
      <c r="AL167" s="315"/>
      <c r="AM167" s="315"/>
      <c r="AN167" s="365"/>
      <c r="AO167" s="311"/>
      <c r="AP167" s="314"/>
      <c r="AQ167" s="366"/>
      <c r="AR167" s="314"/>
      <c r="AS167" s="311"/>
      <c r="AT167" s="340">
        <v>9040646.25</v>
      </c>
      <c r="AU167" s="341"/>
      <c r="AV167" s="314"/>
      <c r="AW167" s="311"/>
      <c r="AX167" s="341"/>
      <c r="AY167" s="314"/>
      <c r="AZ167" s="311"/>
      <c r="BA167" s="341"/>
      <c r="BB167" s="314"/>
      <c r="BC167" s="364"/>
      <c r="BD167" s="299"/>
      <c r="BE167" s="299"/>
      <c r="BF167" s="323">
        <f t="shared" si="22"/>
        <v>46239</v>
      </c>
      <c r="BG167" s="324">
        <f t="shared" ca="1" si="19"/>
        <v>0</v>
      </c>
      <c r="BH167" s="299"/>
      <c r="BI167" s="325">
        <f t="shared" ca="1" si="20"/>
        <v>0</v>
      </c>
      <c r="BJ167" s="299"/>
      <c r="BK167" s="325">
        <f t="shared" ca="1" si="21"/>
        <v>0</v>
      </c>
      <c r="BL167" s="299"/>
      <c r="BM167" s="326"/>
      <c r="BN167" s="408"/>
      <c r="BO167" s="327" t="s">
        <v>437</v>
      </c>
      <c r="BP167" s="327" t="s">
        <v>20</v>
      </c>
      <c r="BQ167" s="328" t="s">
        <v>41</v>
      </c>
      <c r="BR167" s="329" t="s">
        <v>1073</v>
      </c>
      <c r="BS167" s="331"/>
      <c r="BT167" s="327"/>
      <c r="BU167" s="327"/>
      <c r="BV167" s="327"/>
      <c r="BW167" s="331"/>
      <c r="BX167" s="302"/>
      <c r="BY167" s="302"/>
      <c r="BZ167" s="302"/>
      <c r="CA167" s="295"/>
      <c r="CB167" s="332"/>
      <c r="CC167" s="332"/>
      <c r="CD167" s="332"/>
      <c r="CE167" s="333">
        <v>46243</v>
      </c>
      <c r="CF167" s="334" t="str">
        <f t="shared" si="23"/>
        <v/>
      </c>
    </row>
    <row r="168" spans="1:84" s="334" customFormat="1" ht="68" hidden="1">
      <c r="A168" s="373">
        <v>154</v>
      </c>
      <c r="B168" s="430" t="s">
        <v>299</v>
      </c>
      <c r="C168" s="307" t="s">
        <v>1046</v>
      </c>
      <c r="D168" s="308" t="s">
        <v>993</v>
      </c>
      <c r="E168" s="309" t="str" cm="1">
        <f t="array" ref="E168">IFERROR(LOOKUP(2,1/('[1]Contracts Log'!$F:$F=$D168),'[1]Contracts Log'!$G:$G),"")</f>
        <v>1.OC.00.999.99</v>
      </c>
      <c r="F168" s="309" t="str" cm="1">
        <f t="array" ref="F168">IFERROR(LOOKUP(2,1/('[1]Contracts Log'!$F:$F=$D168),'[1]Contracts Log'!$C:$C),"")</f>
        <v>Marine Life Operation Facility</v>
      </c>
      <c r="G168" s="309" t="str" cm="1">
        <f t="array" ref="G168">IFERROR(LOOKUP(2,1/('[1]Contracts Log'!$F:$F=$D168),'[1]Contracts Log'!$K:$K),"")</f>
        <v>Package 2 – Design and Build components, changes to base build, AV and Exhibition features</v>
      </c>
      <c r="H168" s="309" t="str" cm="1">
        <f t="array" ref="H168">IFERROR(LOOKUP(2,1/('[1]Contracts Log'!$F:$F=$D168),'[1]Contracts Log'!$J:$J),"")</f>
        <v>Alec Interior Decoration</v>
      </c>
      <c r="I168" s="310"/>
      <c r="J168" s="310">
        <v>1</v>
      </c>
      <c r="K168" s="310"/>
      <c r="L168" s="310"/>
      <c r="M168" s="310"/>
      <c r="N168" s="310"/>
      <c r="O168" s="304"/>
      <c r="P168" s="416"/>
      <c r="Q168" s="304"/>
      <c r="R168" s="416"/>
      <c r="S168" s="417"/>
      <c r="T168" s="416"/>
      <c r="U168" s="304"/>
      <c r="V168" s="335" t="s">
        <v>996</v>
      </c>
      <c r="W168" s="240">
        <v>46230</v>
      </c>
      <c r="X168" s="417"/>
      <c r="Y168" s="417"/>
      <c r="Z168" s="335"/>
      <c r="AA168" s="240" t="s">
        <v>305</v>
      </c>
      <c r="AB168" s="240"/>
      <c r="AC168" s="240"/>
      <c r="AD168" s="335"/>
      <c r="AE168" s="240"/>
      <c r="AF168" s="315"/>
      <c r="AG168" s="315"/>
      <c r="AH168" s="315"/>
      <c r="AI168" s="315"/>
      <c r="AJ168" s="363"/>
      <c r="AK168" s="311"/>
      <c r="AL168" s="315"/>
      <c r="AM168" s="315"/>
      <c r="AN168" s="365"/>
      <c r="AO168" s="311"/>
      <c r="AP168" s="314"/>
      <c r="AQ168" s="366"/>
      <c r="AR168" s="314"/>
      <c r="AS168" s="311"/>
      <c r="AT168" s="340">
        <v>6014032</v>
      </c>
      <c r="AU168" s="341"/>
      <c r="AV168" s="314"/>
      <c r="AW168" s="311"/>
      <c r="AX168" s="341"/>
      <c r="AY168" s="314"/>
      <c r="AZ168" s="311"/>
      <c r="BA168" s="341"/>
      <c r="BB168" s="314"/>
      <c r="BC168" s="364"/>
      <c r="BD168" s="299"/>
      <c r="BE168" s="299"/>
      <c r="BF168" s="323">
        <f t="shared" si="22"/>
        <v>46230</v>
      </c>
      <c r="BG168" s="324">
        <f t="shared" ca="1" si="19"/>
        <v>0</v>
      </c>
      <c r="BH168" s="299"/>
      <c r="BI168" s="325">
        <f t="shared" ca="1" si="20"/>
        <v>0</v>
      </c>
      <c r="BJ168" s="299"/>
      <c r="BK168" s="325">
        <f t="shared" ca="1" si="21"/>
        <v>0</v>
      </c>
      <c r="BL168" s="299"/>
      <c r="BM168" s="326"/>
      <c r="BN168" s="408"/>
      <c r="BO168" s="327" t="s">
        <v>437</v>
      </c>
      <c r="BP168" s="327" t="s">
        <v>20</v>
      </c>
      <c r="BQ168" s="328" t="s">
        <v>41</v>
      </c>
      <c r="BR168" s="329" t="s">
        <v>1047</v>
      </c>
      <c r="BS168" s="331"/>
      <c r="BT168" s="327"/>
      <c r="BU168" s="327"/>
      <c r="BV168" s="327"/>
      <c r="BW168" s="331"/>
      <c r="BX168" s="302"/>
      <c r="BY168" s="302"/>
      <c r="BZ168" s="302"/>
      <c r="CA168" s="295"/>
      <c r="CB168" s="332"/>
      <c r="CC168" s="332"/>
      <c r="CD168" s="332"/>
      <c r="CE168" s="333">
        <v>46243</v>
      </c>
      <c r="CF168" s="334" t="str">
        <f t="shared" si="23"/>
        <v/>
      </c>
    </row>
    <row r="169" spans="1:84" s="334" customFormat="1" ht="141" hidden="1" customHeight="1">
      <c r="A169" s="373">
        <v>155</v>
      </c>
      <c r="B169" s="430" t="s">
        <v>299</v>
      </c>
      <c r="C169" s="307" t="s">
        <v>1048</v>
      </c>
      <c r="D169" s="308" t="s">
        <v>610</v>
      </c>
      <c r="E169" s="309" t="str" cm="1">
        <f t="array" ref="E169">IFERROR(LOOKUP(2,1/('[1]Contracts Log'!$F:$F=$D169),'[1]Contracts Log'!$G:$G),"")</f>
        <v>1.TB.01.005.01</v>
      </c>
      <c r="F169" s="309" t="str" cm="1">
        <f t="array" ref="F169">IFERROR(LOOKUP(2,1/('[1]Contracts Log'!$F:$F=$D169),'[1]Contracts Log'!$C:$C),"")</f>
        <v>Red Sea Marine Life Institute</v>
      </c>
      <c r="G169" s="309" t="str" cm="1">
        <f t="array" ref="G169">IFERROR(LOOKUP(2,1/('[1]Contracts Log'!$F:$F=$D169),'[1]Contracts Log'!$K:$K),"")</f>
        <v>Grand Reveal Basin Fitout (Rock Theming)</v>
      </c>
      <c r="H169" s="309" t="str" cm="1">
        <f t="array" ref="H169">IFERROR(LOOKUP(2,1/('[1]Contracts Log'!$F:$F=$D169),'[1]Contracts Log'!$J:$J),"")</f>
        <v>Pangea Rocks A/S</v>
      </c>
      <c r="I169" s="310">
        <v>1</v>
      </c>
      <c r="J169" s="310"/>
      <c r="K169" s="310"/>
      <c r="L169" s="310"/>
      <c r="M169" s="310"/>
      <c r="N169" s="310"/>
      <c r="O169" s="304"/>
      <c r="P169" s="416"/>
      <c r="Q169" s="304"/>
      <c r="R169" s="416"/>
      <c r="S169" s="417"/>
      <c r="T169" s="416"/>
      <c r="U169" s="304"/>
      <c r="V169" s="335" t="s">
        <v>1049</v>
      </c>
      <c r="W169" s="240">
        <v>46234</v>
      </c>
      <c r="X169" s="417"/>
      <c r="Y169" s="417"/>
      <c r="Z169" s="335"/>
      <c r="AA169" s="240"/>
      <c r="AB169" s="240"/>
      <c r="AC169" s="240"/>
      <c r="AD169" s="335"/>
      <c r="AE169" s="240"/>
      <c r="AF169" s="315">
        <v>575</v>
      </c>
      <c r="AG169" s="315">
        <v>503</v>
      </c>
      <c r="AH169" s="315"/>
      <c r="AI169" s="315"/>
      <c r="AJ169" s="363"/>
      <c r="AK169" s="311"/>
      <c r="AL169" s="315"/>
      <c r="AM169" s="315"/>
      <c r="AN169" s="365"/>
      <c r="AO169" s="311"/>
      <c r="AP169" s="314"/>
      <c r="AQ169" s="366"/>
      <c r="AR169" s="314"/>
      <c r="AS169" s="311"/>
      <c r="AT169" s="340"/>
      <c r="AU169" s="341"/>
      <c r="AV169" s="314"/>
      <c r="AW169" s="311"/>
      <c r="AX169" s="341"/>
      <c r="AY169" s="314"/>
      <c r="AZ169" s="311"/>
      <c r="BA169" s="341"/>
      <c r="BB169" s="314"/>
      <c r="BC169" s="364"/>
      <c r="BD169" s="299"/>
      <c r="BE169" s="299"/>
      <c r="BF169" s="323">
        <f t="shared" si="22"/>
        <v>46234</v>
      </c>
      <c r="BG169" s="324">
        <f t="shared" ca="1" si="19"/>
        <v>66</v>
      </c>
      <c r="BH169" s="299"/>
      <c r="BI169" s="325">
        <f t="shared" ca="1" si="20"/>
        <v>0</v>
      </c>
      <c r="BJ169" s="299"/>
      <c r="BK169" s="325">
        <f t="shared" ca="1" si="21"/>
        <v>0</v>
      </c>
      <c r="BL169" s="299"/>
      <c r="BM169" s="326"/>
      <c r="BN169" s="408"/>
      <c r="BO169" s="327" t="s">
        <v>437</v>
      </c>
      <c r="BP169" s="327" t="s">
        <v>20</v>
      </c>
      <c r="BQ169" s="328" t="s">
        <v>43</v>
      </c>
      <c r="BR169" s="326" t="s">
        <v>1050</v>
      </c>
      <c r="BS169" s="331"/>
      <c r="BT169" s="327"/>
      <c r="BU169" s="327"/>
      <c r="BV169" s="327"/>
      <c r="BW169" s="331"/>
      <c r="BX169" s="302"/>
      <c r="BY169" s="302"/>
      <c r="BZ169" s="302"/>
      <c r="CA169" s="295"/>
      <c r="CB169" s="332"/>
      <c r="CC169" s="332"/>
      <c r="CD169" s="332"/>
      <c r="CE169" s="333">
        <v>46243</v>
      </c>
      <c r="CF169" s="334" t="str">
        <f t="shared" si="23"/>
        <v/>
      </c>
    </row>
    <row r="170" spans="1:84" s="334" customFormat="1" ht="51" hidden="1">
      <c r="A170" s="373">
        <v>156</v>
      </c>
      <c r="B170" s="430" t="s">
        <v>299</v>
      </c>
      <c r="C170" s="307" t="s">
        <v>1051</v>
      </c>
      <c r="D170" s="308" t="s">
        <v>721</v>
      </c>
      <c r="E170" s="309" t="str" cm="1">
        <f t="array" ref="E170">IFERROR(LOOKUP(2,1/('[1]Contracts Log'!$F:$F=$D170),'[1]Contracts Log'!$G:$G),"")</f>
        <v>1.TB.01.005.01</v>
      </c>
      <c r="F170" s="309" t="str" cm="1">
        <f t="array" ref="F170">IFERROR(LOOKUP(2,1/('[1]Contracts Log'!$F:$F=$D170),'[1]Contracts Log'!$C:$C),"")</f>
        <v>Red Sea Marine Life Institute</v>
      </c>
      <c r="G170" s="309" t="str" cm="1">
        <f t="array" ref="G170">IFERROR(LOOKUP(2,1/('[1]Contracts Log'!$F:$F=$D170),'[1]Contracts Log'!$K:$K),"")</f>
        <v>Fit Out Works for Red Sea Marine Life Institute</v>
      </c>
      <c r="H170" s="309" t="str" cm="1">
        <f t="array" ref="H170">IFERROR(LOOKUP(2,1/('[1]Contracts Log'!$F:$F=$D170),'[1]Contracts Log'!$J:$J),"")</f>
        <v>Alec Saudi Engineering and Contracting Company</v>
      </c>
      <c r="I170" s="310">
        <v>1</v>
      </c>
      <c r="J170" s="310"/>
      <c r="K170" s="310"/>
      <c r="L170" s="310"/>
      <c r="M170" s="310"/>
      <c r="N170" s="310"/>
      <c r="O170" s="304"/>
      <c r="P170" s="416"/>
      <c r="Q170" s="304"/>
      <c r="R170" s="416"/>
      <c r="S170" s="417"/>
      <c r="T170" s="416"/>
      <c r="U170" s="304"/>
      <c r="V170" s="335" t="s">
        <v>1052</v>
      </c>
      <c r="W170" s="240">
        <v>46267</v>
      </c>
      <c r="X170" s="417"/>
      <c r="Y170" s="417"/>
      <c r="Z170" s="335"/>
      <c r="AA170" s="240"/>
      <c r="AB170" s="240"/>
      <c r="AC170" s="240"/>
      <c r="AD170" s="335"/>
      <c r="AE170" s="240"/>
      <c r="AF170" s="315"/>
      <c r="AG170" s="315"/>
      <c r="AH170" s="315"/>
      <c r="AI170" s="315"/>
      <c r="AJ170" s="363"/>
      <c r="AK170" s="311"/>
      <c r="AL170" s="315"/>
      <c r="AM170" s="315"/>
      <c r="AN170" s="365"/>
      <c r="AO170" s="311"/>
      <c r="AP170" s="314"/>
      <c r="AQ170" s="366"/>
      <c r="AR170" s="314"/>
      <c r="AS170" s="311"/>
      <c r="AT170" s="340"/>
      <c r="AU170" s="341"/>
      <c r="AV170" s="314"/>
      <c r="AW170" s="311"/>
      <c r="AX170" s="341"/>
      <c r="AY170" s="314"/>
      <c r="AZ170" s="311"/>
      <c r="BA170" s="341"/>
      <c r="BB170" s="314"/>
      <c r="BC170" s="364"/>
      <c r="BD170" s="299"/>
      <c r="BE170" s="299"/>
      <c r="BF170" s="323">
        <f t="shared" si="22"/>
        <v>46267</v>
      </c>
      <c r="BG170" s="324">
        <f t="shared" ca="1" si="19"/>
        <v>33</v>
      </c>
      <c r="BH170" s="299"/>
      <c r="BI170" s="325">
        <f t="shared" ca="1" si="20"/>
        <v>0</v>
      </c>
      <c r="BJ170" s="299"/>
      <c r="BK170" s="325">
        <f t="shared" ca="1" si="21"/>
        <v>0</v>
      </c>
      <c r="BL170" s="299"/>
      <c r="BM170" s="326"/>
      <c r="BN170" s="408"/>
      <c r="BO170" s="327" t="s">
        <v>437</v>
      </c>
      <c r="BP170" s="327" t="s">
        <v>20</v>
      </c>
      <c r="BQ170" s="328" t="s">
        <v>43</v>
      </c>
      <c r="BR170" s="326" t="s">
        <v>1053</v>
      </c>
      <c r="BS170" s="331"/>
      <c r="BT170" s="327"/>
      <c r="BU170" s="327"/>
      <c r="BV170" s="327"/>
      <c r="BW170" s="331"/>
      <c r="BX170" s="302"/>
      <c r="BY170" s="302"/>
      <c r="BZ170" s="302"/>
      <c r="CA170" s="295"/>
      <c r="CB170" s="332"/>
      <c r="CC170" s="332"/>
      <c r="CD170" s="332"/>
      <c r="CE170" s="333">
        <v>46271</v>
      </c>
      <c r="CF170" s="334" t="str">
        <f t="shared" si="23"/>
        <v/>
      </c>
    </row>
    <row r="171" spans="1:84" s="334" customFormat="1" ht="135" hidden="1" customHeight="1">
      <c r="A171" s="373">
        <v>157</v>
      </c>
      <c r="B171" s="430" t="s">
        <v>299</v>
      </c>
      <c r="C171" s="307" t="s">
        <v>1054</v>
      </c>
      <c r="D171" s="308" t="s">
        <v>898</v>
      </c>
      <c r="E171" s="309" t="str" cm="1">
        <f t="array" ref="E171">IFERROR(LOOKUP(2,1/('[1]Contracts Log'!$F:$F=$D171),'[1]Contracts Log'!$G:$G),"")</f>
        <v>1.TB.01.002.02</v>
      </c>
      <c r="F171" s="309" t="str" cm="1">
        <f t="array" ref="F171">IFERROR(LOOKUP(2,1/('[1]Contracts Log'!$F:$F=$D171),'[1]Contracts Log'!$C:$C),"")</f>
        <v>Marina Lifestyle Hotel &amp; Village</v>
      </c>
      <c r="G171" s="309" t="str" cm="1">
        <f t="array" ref="G171">IFERROR(LOOKUP(2,1/('[1]Contracts Log'!$F:$F=$D171),'[1]Contracts Log'!$K:$K),"")</f>
        <v>Fit Out &amp; MEP works for New Facilities</v>
      </c>
      <c r="H171" s="309" t="str" cm="1">
        <f t="array" ref="H171">IFERROR(LOOKUP(2,1/('[1]Contracts Log'!$F:$F=$D171),'[1]Contracts Log'!$J:$J),"")</f>
        <v>Havelock One Interiors Company</v>
      </c>
      <c r="I171" s="310">
        <v>1</v>
      </c>
      <c r="J171" s="310"/>
      <c r="K171" s="310"/>
      <c r="L171" s="310"/>
      <c r="M171" s="310"/>
      <c r="N171" s="310"/>
      <c r="O171" s="304"/>
      <c r="P171" s="416"/>
      <c r="Q171" s="304"/>
      <c r="R171" s="416"/>
      <c r="S171" s="417"/>
      <c r="T171" s="416"/>
      <c r="U171" s="304"/>
      <c r="V171" s="335" t="s">
        <v>1055</v>
      </c>
      <c r="W171" s="240">
        <v>46251</v>
      </c>
      <c r="X171" s="417"/>
      <c r="Y171" s="417"/>
      <c r="Z171" s="335"/>
      <c r="AA171" s="240"/>
      <c r="AB171" s="240"/>
      <c r="AC171" s="240"/>
      <c r="AD171" s="335"/>
      <c r="AE171" s="240"/>
      <c r="AF171" s="315">
        <v>41</v>
      </c>
      <c r="AG171" s="315"/>
      <c r="AH171" s="315"/>
      <c r="AI171" s="315"/>
      <c r="AJ171" s="363"/>
      <c r="AK171" s="311"/>
      <c r="AL171" s="315"/>
      <c r="AM171" s="315"/>
      <c r="AN171" s="365"/>
      <c r="AO171" s="311"/>
      <c r="AP171" s="314"/>
      <c r="AQ171" s="366"/>
      <c r="AR171" s="314"/>
      <c r="AS171" s="311"/>
      <c r="AT171" s="340"/>
      <c r="AU171" s="341"/>
      <c r="AV171" s="314"/>
      <c r="AW171" s="311"/>
      <c r="AX171" s="341"/>
      <c r="AY171" s="314"/>
      <c r="AZ171" s="311"/>
      <c r="BA171" s="341"/>
      <c r="BB171" s="314"/>
      <c r="BC171" s="364"/>
      <c r="BD171" s="299"/>
      <c r="BE171" s="299"/>
      <c r="BF171" s="323">
        <f t="shared" si="22"/>
        <v>46251</v>
      </c>
      <c r="BG171" s="324">
        <f t="shared" ca="1" si="19"/>
        <v>49</v>
      </c>
      <c r="BH171" s="299"/>
      <c r="BI171" s="325">
        <f t="shared" ca="1" si="20"/>
        <v>0</v>
      </c>
      <c r="BJ171" s="299"/>
      <c r="BK171" s="325">
        <f t="shared" ca="1" si="21"/>
        <v>0</v>
      </c>
      <c r="BL171" s="299"/>
      <c r="BM171" s="326"/>
      <c r="BN171" s="408"/>
      <c r="BO171" s="327" t="s">
        <v>437</v>
      </c>
      <c r="BP171" s="327" t="s">
        <v>20</v>
      </c>
      <c r="BQ171" s="328" t="s">
        <v>37</v>
      </c>
      <c r="BR171" s="329" t="s">
        <v>1088</v>
      </c>
      <c r="BS171" s="331"/>
      <c r="BT171" s="327"/>
      <c r="BU171" s="327"/>
      <c r="BV171" s="327"/>
      <c r="BW171" s="331"/>
      <c r="BX171" s="302"/>
      <c r="BY171" s="302"/>
      <c r="BZ171" s="302"/>
      <c r="CA171" s="295"/>
      <c r="CB171" s="332"/>
      <c r="CC171" s="332"/>
      <c r="CD171" s="332"/>
      <c r="CE171" s="333">
        <v>46271</v>
      </c>
      <c r="CF171" s="334" t="str">
        <f t="shared" si="23"/>
        <v/>
      </c>
    </row>
    <row r="172" spans="1:84" s="334" customFormat="1" ht="137.5" hidden="1" customHeight="1">
      <c r="A172" s="373">
        <v>158</v>
      </c>
      <c r="B172" s="430" t="s">
        <v>299</v>
      </c>
      <c r="C172" s="307" t="s">
        <v>1056</v>
      </c>
      <c r="D172" s="308" t="s">
        <v>721</v>
      </c>
      <c r="E172" s="309" t="str" cm="1">
        <f t="array" ref="E172">IFERROR(LOOKUP(2,1/('[1]Contracts Log'!$F:$F=$D172),'[1]Contracts Log'!$G:$G),"")</f>
        <v>1.TB.01.005.01</v>
      </c>
      <c r="F172" s="309" t="str" cm="1">
        <f t="array" ref="F172">IFERROR(LOOKUP(2,1/('[1]Contracts Log'!$F:$F=$D172),'[1]Contracts Log'!$C:$C),"")</f>
        <v>Red Sea Marine Life Institute</v>
      </c>
      <c r="G172" s="309" t="str" cm="1">
        <f t="array" ref="G172">IFERROR(LOOKUP(2,1/('[1]Contracts Log'!$F:$F=$D172),'[1]Contracts Log'!$K:$K),"")</f>
        <v>Fit Out Works for Red Sea Marine Life Institute</v>
      </c>
      <c r="H172" s="309" t="str" cm="1">
        <f t="array" ref="H172">IFERROR(LOOKUP(2,1/('[1]Contracts Log'!$F:$F=$D172),'[1]Contracts Log'!$J:$J),"")</f>
        <v>Alec Saudi Engineering and Contracting Company</v>
      </c>
      <c r="I172" s="310"/>
      <c r="J172" s="310">
        <v>1</v>
      </c>
      <c r="K172" s="310"/>
      <c r="L172" s="310"/>
      <c r="M172" s="310"/>
      <c r="N172" s="310"/>
      <c r="O172" s="304"/>
      <c r="P172" s="416"/>
      <c r="Q172" s="304"/>
      <c r="R172" s="416"/>
      <c r="S172" s="417"/>
      <c r="T172" s="416"/>
      <c r="U172" s="304"/>
      <c r="V172" s="335" t="s">
        <v>1057</v>
      </c>
      <c r="W172" s="240">
        <v>46207</v>
      </c>
      <c r="X172" s="417"/>
      <c r="Y172" s="417"/>
      <c r="Z172" s="335" t="s">
        <v>1058</v>
      </c>
      <c r="AA172" s="240">
        <v>46232</v>
      </c>
      <c r="AB172" s="240"/>
      <c r="AC172" s="240"/>
      <c r="AD172" s="335"/>
      <c r="AE172" s="240"/>
      <c r="AF172" s="315"/>
      <c r="AG172" s="315"/>
      <c r="AH172" s="315"/>
      <c r="AI172" s="315"/>
      <c r="AJ172" s="363"/>
      <c r="AK172" s="311"/>
      <c r="AL172" s="315"/>
      <c r="AM172" s="315"/>
      <c r="AN172" s="365"/>
      <c r="AO172" s="311"/>
      <c r="AP172" s="314"/>
      <c r="AQ172" s="366"/>
      <c r="AR172" s="314"/>
      <c r="AS172" s="311"/>
      <c r="AT172" s="340" t="s">
        <v>1059</v>
      </c>
      <c r="AU172" s="341"/>
      <c r="AV172" s="314"/>
      <c r="AW172" s="311"/>
      <c r="AX172" s="341"/>
      <c r="AY172" s="314"/>
      <c r="AZ172" s="311"/>
      <c r="BA172" s="341"/>
      <c r="BB172" s="314"/>
      <c r="BC172" s="364"/>
      <c r="BD172" s="299"/>
      <c r="BE172" s="299"/>
      <c r="BF172" s="323">
        <f t="shared" si="22"/>
        <v>46207</v>
      </c>
      <c r="BG172" s="324">
        <f t="shared" ca="1" si="19"/>
        <v>93</v>
      </c>
      <c r="BH172" s="299"/>
      <c r="BI172" s="325">
        <f t="shared" ca="1" si="20"/>
        <v>0</v>
      </c>
      <c r="BJ172" s="299"/>
      <c r="BK172" s="325">
        <f t="shared" ca="1" si="21"/>
        <v>0</v>
      </c>
      <c r="BL172" s="299"/>
      <c r="BM172" s="326"/>
      <c r="BN172" s="408"/>
      <c r="BO172" s="327" t="s">
        <v>437</v>
      </c>
      <c r="BP172" s="327" t="s">
        <v>20</v>
      </c>
      <c r="BQ172" s="328" t="s">
        <v>43</v>
      </c>
      <c r="BR172" s="326" t="s">
        <v>1060</v>
      </c>
      <c r="BS172" s="331"/>
      <c r="BT172" s="327"/>
      <c r="BU172" s="327"/>
      <c r="BV172" s="327"/>
      <c r="BW172" s="331"/>
      <c r="BX172" s="302"/>
      <c r="BY172" s="302"/>
      <c r="BZ172" s="302"/>
      <c r="CA172" s="295"/>
      <c r="CB172" s="332"/>
      <c r="CC172" s="332"/>
      <c r="CD172" s="332"/>
      <c r="CE172" s="333">
        <v>46273</v>
      </c>
      <c r="CF172" s="334" t="str">
        <f t="shared" si="23"/>
        <v/>
      </c>
    </row>
    <row r="173" spans="1:84" s="334" customFormat="1" ht="84.75" hidden="1" customHeight="1">
      <c r="A173" s="373">
        <v>159</v>
      </c>
      <c r="B173" s="430" t="s">
        <v>299</v>
      </c>
      <c r="C173" s="307" t="s">
        <v>1061</v>
      </c>
      <c r="D173" s="308" t="s">
        <v>484</v>
      </c>
      <c r="E173" s="309" t="str" cm="1">
        <f t="array" ref="E173">IFERROR(LOOKUP(2,1/('[1]Contracts Log'!$F:$F=$D173),'[1]Contracts Log'!$G:$G),"")</f>
        <v>1.TB.01.003.01</v>
      </c>
      <c r="F173" s="309" t="str" cm="1">
        <f t="array" ref="F173">IFERROR(LOOKUP(2,1/('[1]Contracts Log'!$F:$F=$D173),'[1]Contracts Log'!$C:$C),"")</f>
        <v xml:space="preserve">AMAALA Yacht Club </v>
      </c>
      <c r="G173" s="309" t="str" cm="1">
        <f t="array" ref="G173">IFERROR(LOOKUP(2,1/('[1]Contracts Log'!$F:$F=$D173),'[1]Contracts Log'!$K:$K),"")</f>
        <v>Kitchen &amp; Laundry Works</v>
      </c>
      <c r="H173" s="309" t="str" cm="1">
        <f t="array" ref="H173">IFERROR(LOOKUP(2,1/('[1]Contracts Log'!$F:$F=$D173),'[1]Contracts Log'!$J:$J),"")</f>
        <v>Abdulaziz Al Raqtan and Partners Company for Trading and Industry Company</v>
      </c>
      <c r="I173" s="310">
        <v>1</v>
      </c>
      <c r="J173" s="310"/>
      <c r="K173" s="310"/>
      <c r="L173" s="310"/>
      <c r="M173" s="310"/>
      <c r="N173" s="310"/>
      <c r="O173" s="206"/>
      <c r="P173" s="205"/>
      <c r="Q173" s="206"/>
      <c r="R173" s="205"/>
      <c r="S173" s="203"/>
      <c r="T173" s="205"/>
      <c r="U173" s="206"/>
      <c r="V173" s="335" t="s">
        <v>1062</v>
      </c>
      <c r="W173" s="240">
        <v>46240</v>
      </c>
      <c r="X173" s="203"/>
      <c r="Y173" s="203"/>
      <c r="Z173" s="335"/>
      <c r="AA173" s="240"/>
      <c r="AB173" s="240"/>
      <c r="AC173" s="240"/>
      <c r="AD173" s="335"/>
      <c r="AE173" s="240"/>
      <c r="AF173" s="315"/>
      <c r="AG173" s="315"/>
      <c r="AH173" s="315"/>
      <c r="AI173" s="315"/>
      <c r="AJ173" s="363"/>
      <c r="AK173" s="311"/>
      <c r="AL173" s="315"/>
      <c r="AM173" s="315"/>
      <c r="AN173" s="365"/>
      <c r="AO173" s="311"/>
      <c r="AP173" s="314"/>
      <c r="AQ173" s="366"/>
      <c r="AR173" s="314"/>
      <c r="AS173" s="311"/>
      <c r="AT173" s="340"/>
      <c r="AU173" s="341"/>
      <c r="AV173" s="314"/>
      <c r="AW173" s="311"/>
      <c r="AX173" s="341"/>
      <c r="AY173" s="314"/>
      <c r="AZ173" s="311"/>
      <c r="BA173" s="341"/>
      <c r="BB173" s="314"/>
      <c r="BC173" s="364"/>
      <c r="BD173" s="299"/>
      <c r="BE173" s="299"/>
      <c r="BF173" s="323">
        <f t="shared" si="22"/>
        <v>46240</v>
      </c>
      <c r="BG173" s="324">
        <f t="shared" ca="1" si="19"/>
        <v>60</v>
      </c>
      <c r="BH173" s="299"/>
      <c r="BI173" s="325">
        <f t="shared" ca="1" si="20"/>
        <v>0</v>
      </c>
      <c r="BJ173" s="299"/>
      <c r="BK173" s="325">
        <f t="shared" ca="1" si="21"/>
        <v>0</v>
      </c>
      <c r="BL173" s="299"/>
      <c r="BM173" s="326"/>
      <c r="BN173" s="408"/>
      <c r="BO173" s="327" t="s">
        <v>437</v>
      </c>
      <c r="BP173" s="327" t="s">
        <v>20</v>
      </c>
      <c r="BQ173" s="328" t="s">
        <v>43</v>
      </c>
      <c r="BR173" s="326" t="s">
        <v>1063</v>
      </c>
      <c r="BS173" s="331"/>
      <c r="BT173" s="327"/>
      <c r="BU173" s="327"/>
      <c r="BV173" s="327"/>
      <c r="BW173" s="331"/>
      <c r="BX173" s="302"/>
      <c r="BY173" s="302"/>
      <c r="BZ173" s="302"/>
      <c r="CA173" s="295"/>
      <c r="CB173" s="332"/>
      <c r="CC173" s="332"/>
      <c r="CD173" s="332"/>
      <c r="CE173" s="333">
        <v>46272</v>
      </c>
      <c r="CF173" s="334" t="str">
        <f t="shared" si="23"/>
        <v/>
      </c>
    </row>
    <row r="174" spans="1:84" s="334" customFormat="1" ht="119" hidden="1">
      <c r="A174" s="373">
        <v>160</v>
      </c>
      <c r="B174" s="430" t="s">
        <v>299</v>
      </c>
      <c r="C174" s="307" t="s">
        <v>1064</v>
      </c>
      <c r="D174" s="308" t="s">
        <v>772</v>
      </c>
      <c r="E174" s="309" t="str" cm="1">
        <f t="array" ref="E174">IFERROR(LOOKUP(2,1/('[1]Contracts Log'!$F:$F=$D174),'[1]Contracts Log'!$G:$G),"")</f>
        <v>1.TB.01.031.01</v>
      </c>
      <c r="F174" s="309" t="str" cm="1">
        <f t="array" ref="F174">IFERROR(LOOKUP(2,1/('[1]Contracts Log'!$F:$F=$D174),'[1]Contracts Log'!$C:$C),"")</f>
        <v>The Marina</v>
      </c>
      <c r="G174" s="309" t="str" cm="1">
        <f t="array" ref="G174">IFERROR(LOOKUP(2,1/('[1]Contracts Log'!$F:$F=$D174),'[1]Contracts Log'!$K:$K),"")</f>
        <v>Constructing Boardwalks &amp; Jetties for Hijaz Island at Amaala
Development</v>
      </c>
      <c r="H174" s="309" t="str" cm="1">
        <f t="array" ref="H174">IFERROR(LOOKUP(2,1/('[1]Contracts Log'!$F:$F=$D174),'[1]Contracts Log'!$J:$J),"")</f>
        <v>Elmar Marinas Khaleej LLC</v>
      </c>
      <c r="I174" s="310">
        <v>1</v>
      </c>
      <c r="J174" s="310"/>
      <c r="K174" s="310"/>
      <c r="L174" s="310"/>
      <c r="M174" s="310"/>
      <c r="N174" s="310"/>
      <c r="O174" s="206"/>
      <c r="P174" s="205"/>
      <c r="Q174" s="206"/>
      <c r="R174" s="205"/>
      <c r="S174" s="203"/>
      <c r="T174" s="205"/>
      <c r="U174" s="206"/>
      <c r="V174" s="335" t="s">
        <v>1065</v>
      </c>
      <c r="W174" s="240">
        <v>46272</v>
      </c>
      <c r="X174" s="203"/>
      <c r="Y174" s="203"/>
      <c r="Z174" s="335"/>
      <c r="AA174" s="240" t="s">
        <v>305</v>
      </c>
      <c r="AB174" s="240"/>
      <c r="AC174" s="240"/>
      <c r="AD174" s="335"/>
      <c r="AE174" s="240"/>
      <c r="AF174" s="315"/>
      <c r="AG174" s="315"/>
      <c r="AH174" s="315"/>
      <c r="AI174" s="315"/>
      <c r="AJ174" s="363"/>
      <c r="AK174" s="311"/>
      <c r="AL174" s="315"/>
      <c r="AM174" s="315"/>
      <c r="AN174" s="365"/>
      <c r="AO174" s="311"/>
      <c r="AP174" s="314"/>
      <c r="AQ174" s="366"/>
      <c r="AR174" s="314"/>
      <c r="AS174" s="311"/>
      <c r="AT174" s="340"/>
      <c r="AU174" s="341"/>
      <c r="AV174" s="314"/>
      <c r="AW174" s="311"/>
      <c r="AX174" s="341"/>
      <c r="AY174" s="314"/>
      <c r="AZ174" s="311"/>
      <c r="BA174" s="341"/>
      <c r="BB174" s="314"/>
      <c r="BC174" s="364"/>
      <c r="BD174" s="299"/>
      <c r="BE174" s="299"/>
      <c r="BF174" s="323">
        <f t="shared" si="22"/>
        <v>46272</v>
      </c>
      <c r="BG174" s="324">
        <f t="shared" ca="1" si="19"/>
        <v>28</v>
      </c>
      <c r="BH174" s="299"/>
      <c r="BI174" s="325">
        <f t="shared" ca="1" si="20"/>
        <v>0</v>
      </c>
      <c r="BJ174" s="299"/>
      <c r="BK174" s="325">
        <f t="shared" ca="1" si="21"/>
        <v>0</v>
      </c>
      <c r="BL174" s="299"/>
      <c r="BM174" s="326"/>
      <c r="BN174" s="408"/>
      <c r="BO174" s="327" t="s">
        <v>437</v>
      </c>
      <c r="BP174" s="327" t="s">
        <v>20</v>
      </c>
      <c r="BQ174" s="328" t="s">
        <v>47</v>
      </c>
      <c r="BR174" s="326" t="s">
        <v>1100</v>
      </c>
      <c r="BS174" s="331"/>
      <c r="BT174" s="327"/>
      <c r="BU174" s="327"/>
      <c r="BV174" s="327"/>
      <c r="BW174" s="331"/>
      <c r="BX174" s="302"/>
      <c r="BY174" s="302"/>
      <c r="BZ174" s="302"/>
      <c r="CA174" s="295"/>
      <c r="CB174" s="332"/>
      <c r="CC174" s="332"/>
      <c r="CD174" s="332"/>
      <c r="CE174" s="333">
        <v>46273</v>
      </c>
      <c r="CF174" s="334" t="str">
        <f t="shared" si="23"/>
        <v/>
      </c>
    </row>
    <row r="175" spans="1:84" s="334" customFormat="1" ht="85" hidden="1">
      <c r="A175" s="373">
        <v>161</v>
      </c>
      <c r="B175" s="430" t="s">
        <v>299</v>
      </c>
      <c r="C175" s="307" t="s">
        <v>1066</v>
      </c>
      <c r="D175" s="308" t="s">
        <v>641</v>
      </c>
      <c r="E175" s="309" t="str" cm="1">
        <f t="array" ref="E175">IFERROR(LOOKUP(2,1/('[1]Contracts Log'!$F:$F=$D175),'[1]Contracts Log'!$G:$G),"")</f>
        <v>1.TB.01.100.00</v>
      </c>
      <c r="F175" s="309" t="str" cm="1">
        <f t="array" ref="F175">IFERROR(LOOKUP(2,1/('[1]Contracts Log'!$F:$F=$D175),'[1]Contracts Log'!$C:$C),"")</f>
        <v>Marina Village - Wide</v>
      </c>
      <c r="G175" s="309" t="str" cm="1">
        <f t="array" ref="G175">IFERROR(LOOKUP(2,1/('[1]Contracts Log'!$F:$F=$D175),'[1]Contracts Log'!$K:$K),"")</f>
        <v>AMAALA  Secondary Infrastructure Concrete Chambers MV Cabling  Dry  Wet Utilities South Corridor Works Package</v>
      </c>
      <c r="H175" s="309" t="str" cm="1">
        <f t="array" ref="H175">IFERROR(LOOKUP(2,1/('[1]Contracts Log'!$F:$F=$D175),'[1]Contracts Log'!$J:$J),"")</f>
        <v>Arab Supply &amp; Trading Co. (ASTRA Construction)</v>
      </c>
      <c r="I175" s="310">
        <v>1</v>
      </c>
      <c r="J175" s="310"/>
      <c r="K175" s="310"/>
      <c r="L175" s="310"/>
      <c r="M175" s="310"/>
      <c r="N175" s="310"/>
      <c r="O175" s="206"/>
      <c r="P175" s="205"/>
      <c r="Q175" s="206"/>
      <c r="R175" s="205"/>
      <c r="S175" s="203"/>
      <c r="T175" s="205"/>
      <c r="U175" s="206"/>
      <c r="V175" s="335" t="s">
        <v>1067</v>
      </c>
      <c r="W175" s="240">
        <v>46279</v>
      </c>
      <c r="X175" s="203"/>
      <c r="Y175" s="203"/>
      <c r="Z175" s="335"/>
      <c r="AA175" s="240"/>
      <c r="AB175" s="240"/>
      <c r="AC175" s="240"/>
      <c r="AD175" s="335"/>
      <c r="AE175" s="240"/>
      <c r="AF175" s="315"/>
      <c r="AG175" s="315"/>
      <c r="AH175" s="315"/>
      <c r="AI175" s="315"/>
      <c r="AJ175" s="363"/>
      <c r="AK175" s="311"/>
      <c r="AL175" s="315"/>
      <c r="AM175" s="315"/>
      <c r="AN175" s="365"/>
      <c r="AO175" s="311"/>
      <c r="AP175" s="314"/>
      <c r="AQ175" s="366"/>
      <c r="AR175" s="314"/>
      <c r="AS175" s="311"/>
      <c r="AT175" s="340"/>
      <c r="AU175" s="341"/>
      <c r="AV175" s="314"/>
      <c r="AW175" s="311"/>
      <c r="AX175" s="341"/>
      <c r="AY175" s="314"/>
      <c r="AZ175" s="311"/>
      <c r="BA175" s="341"/>
      <c r="BB175" s="314"/>
      <c r="BC175" s="364"/>
      <c r="BD175" s="299"/>
      <c r="BE175" s="299"/>
      <c r="BF175" s="323">
        <f t="shared" si="22"/>
        <v>46279</v>
      </c>
      <c r="BG175" s="324">
        <f t="shared" ca="1" si="19"/>
        <v>21</v>
      </c>
      <c r="BH175" s="299"/>
      <c r="BI175" s="325">
        <f t="shared" ca="1" si="20"/>
        <v>0</v>
      </c>
      <c r="BJ175" s="299"/>
      <c r="BK175" s="325">
        <f t="shared" ca="1" si="21"/>
        <v>0</v>
      </c>
      <c r="BL175" s="299"/>
      <c r="BM175" s="326"/>
      <c r="BN175" s="408"/>
      <c r="BO175" s="327" t="s">
        <v>437</v>
      </c>
      <c r="BP175" s="327" t="s">
        <v>20</v>
      </c>
      <c r="BQ175" s="328" t="s">
        <v>43</v>
      </c>
      <c r="BR175" s="326" t="s">
        <v>1068</v>
      </c>
      <c r="BS175" s="331"/>
      <c r="BT175" s="327"/>
      <c r="BU175" s="327"/>
      <c r="BV175" s="327"/>
      <c r="BW175" s="331"/>
      <c r="BX175" s="302"/>
      <c r="BY175" s="302"/>
      <c r="BZ175" s="302"/>
      <c r="CA175" s="295"/>
      <c r="CB175" s="332"/>
      <c r="CC175" s="332"/>
      <c r="CD175" s="332"/>
      <c r="CE175" s="333">
        <v>46281</v>
      </c>
      <c r="CF175" s="334" t="str">
        <f t="shared" si="23"/>
        <v/>
      </c>
    </row>
    <row r="176" spans="1:84" s="334" customFormat="1" ht="135" hidden="1" customHeight="1">
      <c r="A176" s="373">
        <v>162</v>
      </c>
      <c r="B176" s="430" t="s">
        <v>299</v>
      </c>
      <c r="C176" s="307" t="s">
        <v>897</v>
      </c>
      <c r="D176" s="308" t="s">
        <v>1089</v>
      </c>
      <c r="E176" s="309" t="str" cm="1">
        <f t="array" ref="E176">IFERROR(LOOKUP(2,1/('[1]Contracts Log'!$F:$F=$D176),'[1]Contracts Log'!$G:$G),"")</f>
        <v>1.TB.01.002.99</v>
      </c>
      <c r="F176" s="309" t="str" cm="1">
        <f t="array" ref="F176">IFERROR(LOOKUP(2,1/('[1]Contracts Log'!$F:$F=$D176),'[1]Contracts Log'!$C:$C),"")</f>
        <v>Marina Lifestyle Hotel &amp; Village</v>
      </c>
      <c r="G176" s="309" t="str" cm="1">
        <f t="array" ref="G176">IFERROR(LOOKUP(2,1/('[1]Contracts Log'!$F:$F=$D176),'[1]Contracts Log'!$K:$K),"")</f>
        <v>Supply and Installation of the Vertical Transportation System Works</v>
      </c>
      <c r="H176" s="309" t="str" cm="1">
        <f t="array" ref="H176">IFERROR(LOOKUP(2,1/('[1]Contracts Log'!$F:$F=$D176),'[1]Contracts Log'!$J:$J),"")</f>
        <v>Elevator Systems Contracting Company (ESCCO)</v>
      </c>
      <c r="I176" s="310">
        <v>1</v>
      </c>
      <c r="J176" s="310"/>
      <c r="K176" s="310"/>
      <c r="L176" s="310"/>
      <c r="M176" s="310"/>
      <c r="N176" s="310"/>
      <c r="O176" s="304"/>
      <c r="P176" s="416"/>
      <c r="Q176" s="304"/>
      <c r="R176" s="416"/>
      <c r="S176" s="417"/>
      <c r="T176" s="416"/>
      <c r="U176" s="304"/>
      <c r="V176" s="335" t="s">
        <v>1090</v>
      </c>
      <c r="W176" s="240">
        <v>46289</v>
      </c>
      <c r="X176" s="417"/>
      <c r="Y176" s="417"/>
      <c r="Z176" s="335"/>
      <c r="AA176" s="240"/>
      <c r="AB176" s="240"/>
      <c r="AC176" s="240"/>
      <c r="AD176" s="335"/>
      <c r="AE176" s="240"/>
      <c r="AF176" s="316">
        <v>676</v>
      </c>
      <c r="AG176" s="315"/>
      <c r="AH176" s="315"/>
      <c r="AI176" s="315"/>
      <c r="AJ176" s="363"/>
      <c r="AK176" s="311"/>
      <c r="AL176" s="315"/>
      <c r="AM176" s="315"/>
      <c r="AN176" s="365"/>
      <c r="AO176" s="311"/>
      <c r="AP176" s="314"/>
      <c r="AQ176" s="366"/>
      <c r="AR176" s="314"/>
      <c r="AS176" s="311"/>
      <c r="AT176" s="340"/>
      <c r="AU176" s="341"/>
      <c r="AV176" s="314"/>
      <c r="AW176" s="311"/>
      <c r="AX176" s="341"/>
      <c r="AY176" s="314"/>
      <c r="AZ176" s="311"/>
      <c r="BA176" s="341"/>
      <c r="BB176" s="314"/>
      <c r="BC176" s="364"/>
      <c r="BD176" s="299"/>
      <c r="BE176" s="299"/>
      <c r="BF176" s="323">
        <f t="shared" ref="BF176" si="24">IF(B176="","",IF(OR(B176="DEOT",B176="N/A"),"N/A",IF(OR(B176="FULL TIA EAR",B176="COST EAR",B176="HLEAR"),MAX(W176+0,AE176,AC176))))</f>
        <v>46289</v>
      </c>
      <c r="BG176" s="324">
        <f t="shared" ref="BG176" ca="1" si="25">IF(OR(B176="",B176="DEOT"),"",IF(AND($BQ176="Closed",$BF176&lt;DATE(2025,12,31)),"N/A",IF(AND($BO176&lt;&gt;"Pending",$BO176&lt;&gt;"Assessment Report Issued"),"N/A",IF(OR($BQ176="Awaiting conclusion of EOT",BT176="Revise &amp; resubmit"),0,IFERROR(IF(BH176="",TODAY()-BF176,BH176-BF176),"")))))</f>
        <v>11</v>
      </c>
      <c r="BH176" s="299"/>
      <c r="BI176" s="325">
        <f t="shared" ref="BI176" ca="1" si="26">IF($B176="DEOT","",IFERROR(IF($B176="COST EAR","N/A",IF(BH176="",0,IF(BJ176="",TODAY()-BH176,BJ176-BH176))),""))</f>
        <v>0</v>
      </c>
      <c r="BJ176" s="299"/>
      <c r="BK176" s="325">
        <f t="shared" ref="BK176" ca="1" si="27">IF($B176="DEOT","",IFERROR(IF(BJ176="",0,IF(BL176="",TODAY()-BJ176,BL176-BJ176)),""))</f>
        <v>0</v>
      </c>
      <c r="BL176" s="299"/>
      <c r="BM176" s="326"/>
      <c r="BN176" s="408"/>
      <c r="BO176" s="327" t="s">
        <v>437</v>
      </c>
      <c r="BP176" s="327" t="s">
        <v>20</v>
      </c>
      <c r="BQ176" s="328" t="s">
        <v>43</v>
      </c>
      <c r="BR176" s="436" t="s">
        <v>1091</v>
      </c>
      <c r="BS176" s="331"/>
      <c r="BT176" s="327"/>
      <c r="BU176" s="327"/>
      <c r="BV176" s="327"/>
      <c r="BW176" s="331"/>
      <c r="BX176" s="302"/>
      <c r="BY176" s="302"/>
      <c r="BZ176" s="302"/>
      <c r="CA176" s="295"/>
      <c r="CB176" s="332"/>
      <c r="CC176" s="332"/>
      <c r="CD176" s="332"/>
      <c r="CE176" s="333">
        <v>46299</v>
      </c>
      <c r="CF176" s="334" t="str">
        <f t="shared" ref="CF176" si="28">IF(AND(A176&gt;0,CE176=0),"Insert Entry Date","")</f>
        <v/>
      </c>
    </row>
    <row r="177" spans="1:84" s="334" customFormat="1" ht="17" hidden="1">
      <c r="A177" s="373"/>
      <c r="B177" s="430"/>
      <c r="C177" s="307"/>
      <c r="D177" s="308"/>
      <c r="E177" s="309" cm="1">
        <f t="array" ref="E177">IFERROR(LOOKUP(2,1/('[1]Contracts Log'!$F:$F=$D177),'[1]Contracts Log'!$G:$G),"")</f>
        <v>0</v>
      </c>
      <c r="F177" s="309" cm="1">
        <f t="array" ref="F177">IFERROR(LOOKUP(2,1/('[1]Contracts Log'!$F:$F=$D177),'[1]Contracts Log'!$C:$C),"")</f>
        <v>0</v>
      </c>
      <c r="G177" s="309" cm="1">
        <f t="array" ref="G177">IFERROR(LOOKUP(2,1/('[1]Contracts Log'!$F:$F=$D177),'[1]Contracts Log'!$K:$K),"")</f>
        <v>0</v>
      </c>
      <c r="H177" s="309" cm="1">
        <f t="array" ref="H177">IFERROR(LOOKUP(2,1/('[1]Contracts Log'!$F:$F=$D177),'[1]Contracts Log'!$J:$J),"")</f>
        <v>0</v>
      </c>
      <c r="I177" s="310"/>
      <c r="J177" s="310"/>
      <c r="K177" s="310"/>
      <c r="L177" s="310"/>
      <c r="M177" s="310"/>
      <c r="N177" s="310"/>
      <c r="O177" s="206"/>
      <c r="P177" s="205"/>
      <c r="Q177" s="206"/>
      <c r="R177" s="205"/>
      <c r="S177" s="203"/>
      <c r="T177" s="205"/>
      <c r="U177" s="206"/>
      <c r="V177" s="335"/>
      <c r="W177" s="240"/>
      <c r="X177" s="203"/>
      <c r="Y177" s="203"/>
      <c r="Z177" s="335"/>
      <c r="AA177" s="240"/>
      <c r="AB177" s="240"/>
      <c r="AC177" s="240"/>
      <c r="AD177" s="335"/>
      <c r="AE177" s="240"/>
      <c r="AF177" s="315"/>
      <c r="AG177" s="315"/>
      <c r="AH177" s="315"/>
      <c r="AI177" s="315"/>
      <c r="AJ177" s="363"/>
      <c r="AK177" s="311"/>
      <c r="AL177" s="315"/>
      <c r="AM177" s="315"/>
      <c r="AN177" s="365"/>
      <c r="AO177" s="311"/>
      <c r="AP177" s="314"/>
      <c r="AQ177" s="366"/>
      <c r="AR177" s="314"/>
      <c r="AS177" s="311"/>
      <c r="AT177" s="340"/>
      <c r="AU177" s="341"/>
      <c r="AV177" s="314"/>
      <c r="AW177" s="311"/>
      <c r="AX177" s="341"/>
      <c r="AY177" s="314"/>
      <c r="AZ177" s="311"/>
      <c r="BA177" s="341"/>
      <c r="BB177" s="314"/>
      <c r="BC177" s="364"/>
      <c r="BD177" s="299"/>
      <c r="BE177" s="299"/>
      <c r="BF177" s="323" t="str">
        <f t="shared" si="22"/>
        <v/>
      </c>
      <c r="BG177" s="324" t="str">
        <f t="shared" ca="1" si="19"/>
        <v/>
      </c>
      <c r="BH177" s="299"/>
      <c r="BI177" s="325">
        <f t="shared" ca="1" si="20"/>
        <v>0</v>
      </c>
      <c r="BJ177" s="299"/>
      <c r="BK177" s="325">
        <f t="shared" ca="1" si="21"/>
        <v>0</v>
      </c>
      <c r="BL177" s="299"/>
      <c r="BM177" s="326"/>
      <c r="BN177" s="408"/>
      <c r="BO177" s="327"/>
      <c r="BP177" s="327"/>
      <c r="BQ177" s="328"/>
      <c r="BR177" s="326"/>
      <c r="BS177" s="331"/>
      <c r="BT177" s="327"/>
      <c r="BU177" s="327"/>
      <c r="BV177" s="327"/>
      <c r="BW177" s="331"/>
      <c r="BX177" s="302"/>
      <c r="BY177" s="302"/>
      <c r="BZ177" s="302"/>
      <c r="CA177" s="295"/>
      <c r="CB177" s="332"/>
      <c r="CC177" s="332"/>
      <c r="CD177" s="332"/>
      <c r="CE177" s="333"/>
      <c r="CF177" s="334" t="str">
        <f t="shared" si="23"/>
        <v/>
      </c>
    </row>
    <row r="178" spans="1:84" s="334" customFormat="1" ht="17" hidden="1">
      <c r="A178" s="373"/>
      <c r="B178" s="430"/>
      <c r="C178" s="307"/>
      <c r="D178" s="308"/>
      <c r="E178" s="309" cm="1">
        <f t="array" ref="E178">IFERROR(LOOKUP(2,1/('[1]Contracts Log'!$F:$F=$D178),'[1]Contracts Log'!$G:$G),"")</f>
        <v>0</v>
      </c>
      <c r="F178" s="309" cm="1">
        <f t="array" ref="F178">IFERROR(LOOKUP(2,1/('[1]Contracts Log'!$F:$F=$D178),'[1]Contracts Log'!$C:$C),"")</f>
        <v>0</v>
      </c>
      <c r="G178" s="309" cm="1">
        <f t="array" ref="G178">IFERROR(LOOKUP(2,1/('[1]Contracts Log'!$F:$F=$D178),'[1]Contracts Log'!$K:$K),"")</f>
        <v>0</v>
      </c>
      <c r="H178" s="309" cm="1">
        <f t="array" ref="H178">IFERROR(LOOKUP(2,1/('[1]Contracts Log'!$F:$F=$D178),'[1]Contracts Log'!$J:$J),"")</f>
        <v>0</v>
      </c>
      <c r="I178" s="310"/>
      <c r="J178" s="310"/>
      <c r="K178" s="310"/>
      <c r="L178" s="310"/>
      <c r="M178" s="310"/>
      <c r="N178" s="310"/>
      <c r="O178" s="206"/>
      <c r="P178" s="205"/>
      <c r="Q178" s="206"/>
      <c r="R178" s="205"/>
      <c r="S178" s="203"/>
      <c r="T178" s="205"/>
      <c r="U178" s="206"/>
      <c r="V178" s="335"/>
      <c r="W178" s="240"/>
      <c r="X178" s="203"/>
      <c r="Y178" s="203"/>
      <c r="Z178" s="335"/>
      <c r="AA178" s="240"/>
      <c r="AB178" s="240"/>
      <c r="AC178" s="240"/>
      <c r="AD178" s="335"/>
      <c r="AE178" s="240"/>
      <c r="AF178" s="315"/>
      <c r="AG178" s="315"/>
      <c r="AH178" s="315"/>
      <c r="AI178" s="315"/>
      <c r="AJ178" s="363"/>
      <c r="AK178" s="311"/>
      <c r="AL178" s="315"/>
      <c r="AM178" s="315"/>
      <c r="AN178" s="365"/>
      <c r="AO178" s="311"/>
      <c r="AP178" s="314"/>
      <c r="AQ178" s="366"/>
      <c r="AR178" s="314"/>
      <c r="AS178" s="311"/>
      <c r="AT178" s="340"/>
      <c r="AU178" s="341"/>
      <c r="AV178" s="314"/>
      <c r="AW178" s="311"/>
      <c r="AX178" s="341"/>
      <c r="AY178" s="314"/>
      <c r="AZ178" s="311"/>
      <c r="BA178" s="341"/>
      <c r="BB178" s="314"/>
      <c r="BC178" s="364"/>
      <c r="BD178" s="299"/>
      <c r="BE178" s="299"/>
      <c r="BF178" s="323" t="str">
        <f t="shared" si="22"/>
        <v/>
      </c>
      <c r="BG178" s="324" t="str">
        <f t="shared" ca="1" si="19"/>
        <v/>
      </c>
      <c r="BH178" s="299"/>
      <c r="BI178" s="325">
        <f t="shared" ca="1" si="20"/>
        <v>0</v>
      </c>
      <c r="BJ178" s="299"/>
      <c r="BK178" s="325">
        <f t="shared" ca="1" si="21"/>
        <v>0</v>
      </c>
      <c r="BL178" s="299"/>
      <c r="BM178" s="326"/>
      <c r="BN178" s="408"/>
      <c r="BO178" s="327"/>
      <c r="BP178" s="327"/>
      <c r="BQ178" s="328"/>
      <c r="BR178" s="326"/>
      <c r="BS178" s="331"/>
      <c r="BT178" s="327"/>
      <c r="BU178" s="327"/>
      <c r="BV178" s="327"/>
      <c r="BW178" s="331"/>
      <c r="BX178" s="302"/>
      <c r="BY178" s="302"/>
      <c r="BZ178" s="302"/>
      <c r="CA178" s="295"/>
      <c r="CB178" s="332"/>
      <c r="CC178" s="332"/>
      <c r="CD178" s="332"/>
      <c r="CE178" s="333"/>
      <c r="CF178" s="334" t="str">
        <f t="shared" si="23"/>
        <v/>
      </c>
    </row>
    <row r="179" spans="1:84" s="334" customFormat="1" ht="17" hidden="1">
      <c r="A179" s="373"/>
      <c r="B179" s="430"/>
      <c r="C179" s="307"/>
      <c r="D179" s="308"/>
      <c r="E179" s="309" cm="1">
        <f t="array" ref="E179">IFERROR(LOOKUP(2,1/('[1]Contracts Log'!$F:$F=$D179),'[1]Contracts Log'!$G:$G),"")</f>
        <v>0</v>
      </c>
      <c r="F179" s="309" cm="1">
        <f t="array" ref="F179">IFERROR(LOOKUP(2,1/('[1]Contracts Log'!$F:$F=$D179),'[1]Contracts Log'!$C:$C),"")</f>
        <v>0</v>
      </c>
      <c r="G179" s="309" cm="1">
        <f t="array" ref="G179">IFERROR(LOOKUP(2,1/('[1]Contracts Log'!$F:$F=$D179),'[1]Contracts Log'!$K:$K),"")</f>
        <v>0</v>
      </c>
      <c r="H179" s="309" cm="1">
        <f t="array" ref="H179">IFERROR(LOOKUP(2,1/('[1]Contracts Log'!$F:$F=$D179),'[1]Contracts Log'!$J:$J),"")</f>
        <v>0</v>
      </c>
      <c r="I179" s="310"/>
      <c r="J179" s="310"/>
      <c r="K179" s="310"/>
      <c r="L179" s="310"/>
      <c r="M179" s="310"/>
      <c r="N179" s="310"/>
      <c r="O179" s="206"/>
      <c r="P179" s="205"/>
      <c r="Q179" s="206"/>
      <c r="R179" s="205"/>
      <c r="S179" s="203"/>
      <c r="T179" s="205"/>
      <c r="U179" s="206"/>
      <c r="V179" s="335"/>
      <c r="W179" s="240"/>
      <c r="X179" s="203"/>
      <c r="Y179" s="203"/>
      <c r="Z179" s="335"/>
      <c r="AA179" s="240"/>
      <c r="AB179" s="240"/>
      <c r="AC179" s="240"/>
      <c r="AD179" s="335"/>
      <c r="AE179" s="240"/>
      <c r="AF179" s="315"/>
      <c r="AG179" s="315"/>
      <c r="AH179" s="315"/>
      <c r="AI179" s="315"/>
      <c r="AJ179" s="363"/>
      <c r="AK179" s="311"/>
      <c r="AL179" s="315"/>
      <c r="AM179" s="315"/>
      <c r="AN179" s="365"/>
      <c r="AO179" s="311"/>
      <c r="AP179" s="314"/>
      <c r="AQ179" s="366"/>
      <c r="AR179" s="314"/>
      <c r="AS179" s="311"/>
      <c r="AT179" s="340"/>
      <c r="AU179" s="341"/>
      <c r="AV179" s="314"/>
      <c r="AW179" s="311"/>
      <c r="AX179" s="341"/>
      <c r="AY179" s="314"/>
      <c r="AZ179" s="311"/>
      <c r="BA179" s="341"/>
      <c r="BB179" s="314"/>
      <c r="BC179" s="364"/>
      <c r="BD179" s="299"/>
      <c r="BE179" s="299"/>
      <c r="BF179" s="323" t="str">
        <f t="shared" si="22"/>
        <v/>
      </c>
      <c r="BG179" s="324" t="str">
        <f t="shared" ca="1" si="19"/>
        <v/>
      </c>
      <c r="BH179" s="299"/>
      <c r="BI179" s="325">
        <f t="shared" ca="1" si="20"/>
        <v>0</v>
      </c>
      <c r="BJ179" s="299"/>
      <c r="BK179" s="325">
        <f t="shared" ca="1" si="21"/>
        <v>0</v>
      </c>
      <c r="BL179" s="299"/>
      <c r="BM179" s="326"/>
      <c r="BN179" s="408"/>
      <c r="BO179" s="327"/>
      <c r="BP179" s="327"/>
      <c r="BQ179" s="328"/>
      <c r="BR179" s="326"/>
      <c r="BS179" s="331"/>
      <c r="BT179" s="327"/>
      <c r="BU179" s="327"/>
      <c r="BV179" s="327"/>
      <c r="BW179" s="331"/>
      <c r="BX179" s="302"/>
      <c r="BY179" s="302"/>
      <c r="BZ179" s="302"/>
      <c r="CA179" s="295"/>
      <c r="CB179" s="332"/>
      <c r="CC179" s="332"/>
      <c r="CD179" s="332"/>
      <c r="CE179" s="333"/>
      <c r="CF179" s="334" t="str">
        <f t="shared" si="23"/>
        <v/>
      </c>
    </row>
    <row r="180" spans="1:84" s="334" customFormat="1" ht="17" hidden="1">
      <c r="A180" s="373"/>
      <c r="B180" s="430"/>
      <c r="C180" s="307"/>
      <c r="D180" s="308"/>
      <c r="E180" s="309" cm="1">
        <f t="array" ref="E180">IFERROR(LOOKUP(2,1/('[1]Contracts Log'!$F:$F=$D180),'[1]Contracts Log'!$G:$G),"")</f>
        <v>0</v>
      </c>
      <c r="F180" s="309" cm="1">
        <f t="array" ref="F180">IFERROR(LOOKUP(2,1/('[1]Contracts Log'!$F:$F=$D180),'[1]Contracts Log'!$C:$C),"")</f>
        <v>0</v>
      </c>
      <c r="G180" s="309" cm="1">
        <f t="array" ref="G180">IFERROR(LOOKUP(2,1/('[1]Contracts Log'!$F:$F=$D180),'[1]Contracts Log'!$K:$K),"")</f>
        <v>0</v>
      </c>
      <c r="H180" s="309" cm="1">
        <f t="array" ref="H180">IFERROR(LOOKUP(2,1/('[1]Contracts Log'!$F:$F=$D180),'[1]Contracts Log'!$J:$J),"")</f>
        <v>0</v>
      </c>
      <c r="I180" s="310"/>
      <c r="J180" s="310"/>
      <c r="K180" s="310"/>
      <c r="L180" s="310"/>
      <c r="M180" s="310"/>
      <c r="N180" s="310"/>
      <c r="O180" s="206"/>
      <c r="P180" s="205"/>
      <c r="Q180" s="206"/>
      <c r="R180" s="205"/>
      <c r="S180" s="203"/>
      <c r="T180" s="205"/>
      <c r="U180" s="206"/>
      <c r="V180" s="335"/>
      <c r="W180" s="240"/>
      <c r="X180" s="203"/>
      <c r="Y180" s="203"/>
      <c r="Z180" s="335"/>
      <c r="AA180" s="240"/>
      <c r="AB180" s="240"/>
      <c r="AC180" s="240"/>
      <c r="AD180" s="335"/>
      <c r="AE180" s="240"/>
      <c r="AF180" s="315"/>
      <c r="AG180" s="315"/>
      <c r="AH180" s="315"/>
      <c r="AI180" s="315"/>
      <c r="AJ180" s="363"/>
      <c r="AK180" s="311"/>
      <c r="AL180" s="315"/>
      <c r="AM180" s="315"/>
      <c r="AN180" s="365"/>
      <c r="AO180" s="311"/>
      <c r="AP180" s="314"/>
      <c r="AQ180" s="366"/>
      <c r="AR180" s="314"/>
      <c r="AS180" s="311"/>
      <c r="AT180" s="340"/>
      <c r="AU180" s="341"/>
      <c r="AV180" s="314"/>
      <c r="AW180" s="311"/>
      <c r="AX180" s="341"/>
      <c r="AY180" s="314"/>
      <c r="AZ180" s="311"/>
      <c r="BA180" s="341"/>
      <c r="BB180" s="314"/>
      <c r="BC180" s="364"/>
      <c r="BD180" s="299"/>
      <c r="BE180" s="299"/>
      <c r="BF180" s="323" t="str">
        <f t="shared" si="22"/>
        <v/>
      </c>
      <c r="BG180" s="324" t="str">
        <f t="shared" ca="1" si="19"/>
        <v/>
      </c>
      <c r="BH180" s="299"/>
      <c r="BI180" s="325">
        <f t="shared" ca="1" si="20"/>
        <v>0</v>
      </c>
      <c r="BJ180" s="299"/>
      <c r="BK180" s="325">
        <f t="shared" ca="1" si="21"/>
        <v>0</v>
      </c>
      <c r="BL180" s="299"/>
      <c r="BM180" s="326"/>
      <c r="BN180" s="408"/>
      <c r="BO180" s="327"/>
      <c r="BP180" s="327"/>
      <c r="BQ180" s="328"/>
      <c r="BR180" s="326"/>
      <c r="BS180" s="331"/>
      <c r="BT180" s="327"/>
      <c r="BU180" s="327"/>
      <c r="BV180" s="327"/>
      <c r="BW180" s="331"/>
      <c r="BX180" s="302"/>
      <c r="BY180" s="302"/>
      <c r="BZ180" s="302"/>
      <c r="CA180" s="295"/>
      <c r="CB180" s="332"/>
      <c r="CC180" s="332"/>
      <c r="CD180" s="332"/>
      <c r="CE180" s="333"/>
      <c r="CF180" s="334" t="str">
        <f t="shared" si="23"/>
        <v/>
      </c>
    </row>
    <row r="181" spans="1:84" s="334" customFormat="1" ht="17" hidden="1">
      <c r="A181" s="373"/>
      <c r="B181" s="430"/>
      <c r="C181" s="307"/>
      <c r="D181" s="308"/>
      <c r="E181" s="309" cm="1">
        <f t="array" ref="E181">IFERROR(LOOKUP(2,1/('[1]Contracts Log'!$F:$F=$D181),'[1]Contracts Log'!$G:$G),"")</f>
        <v>0</v>
      </c>
      <c r="F181" s="309" cm="1">
        <f t="array" ref="F181">IFERROR(LOOKUP(2,1/('[1]Contracts Log'!$F:$F=$D181),'[1]Contracts Log'!$C:$C),"")</f>
        <v>0</v>
      </c>
      <c r="G181" s="309" cm="1">
        <f t="array" ref="G181">IFERROR(LOOKUP(2,1/('[1]Contracts Log'!$F:$F=$D181),'[1]Contracts Log'!$K:$K),"")</f>
        <v>0</v>
      </c>
      <c r="H181" s="309" cm="1">
        <f t="array" ref="H181">IFERROR(LOOKUP(2,1/('[1]Contracts Log'!$F:$F=$D181),'[1]Contracts Log'!$J:$J),"")</f>
        <v>0</v>
      </c>
      <c r="I181" s="310"/>
      <c r="J181" s="310"/>
      <c r="K181" s="310"/>
      <c r="L181" s="310"/>
      <c r="M181" s="310"/>
      <c r="N181" s="310"/>
      <c r="O181" s="206"/>
      <c r="P181" s="205"/>
      <c r="Q181" s="206"/>
      <c r="R181" s="205"/>
      <c r="S181" s="203"/>
      <c r="T181" s="205"/>
      <c r="U181" s="206"/>
      <c r="V181" s="335"/>
      <c r="W181" s="240"/>
      <c r="X181" s="203"/>
      <c r="Y181" s="203"/>
      <c r="Z181" s="335"/>
      <c r="AA181" s="240"/>
      <c r="AB181" s="240"/>
      <c r="AC181" s="240"/>
      <c r="AD181" s="335"/>
      <c r="AE181" s="240"/>
      <c r="AF181" s="315"/>
      <c r="AG181" s="315"/>
      <c r="AH181" s="315"/>
      <c r="AI181" s="315"/>
      <c r="AJ181" s="363"/>
      <c r="AK181" s="311"/>
      <c r="AL181" s="315"/>
      <c r="AM181" s="315"/>
      <c r="AN181" s="365"/>
      <c r="AO181" s="311"/>
      <c r="AP181" s="314"/>
      <c r="AQ181" s="366"/>
      <c r="AR181" s="314"/>
      <c r="AS181" s="311"/>
      <c r="AT181" s="340"/>
      <c r="AU181" s="341"/>
      <c r="AV181" s="314"/>
      <c r="AW181" s="311"/>
      <c r="AX181" s="341"/>
      <c r="AY181" s="314"/>
      <c r="AZ181" s="311"/>
      <c r="BA181" s="341"/>
      <c r="BB181" s="314"/>
      <c r="BC181" s="364"/>
      <c r="BD181" s="299"/>
      <c r="BE181" s="299"/>
      <c r="BF181" s="323" t="str">
        <f t="shared" si="22"/>
        <v/>
      </c>
      <c r="BG181" s="324" t="str">
        <f t="shared" ca="1" si="19"/>
        <v/>
      </c>
      <c r="BH181" s="299"/>
      <c r="BI181" s="325">
        <f t="shared" ca="1" si="20"/>
        <v>0</v>
      </c>
      <c r="BJ181" s="299"/>
      <c r="BK181" s="325">
        <f t="shared" ca="1" si="21"/>
        <v>0</v>
      </c>
      <c r="BL181" s="299"/>
      <c r="BM181" s="326"/>
      <c r="BN181" s="408"/>
      <c r="BO181" s="327"/>
      <c r="BP181" s="327"/>
      <c r="BQ181" s="328"/>
      <c r="BR181" s="326"/>
      <c r="BS181" s="331"/>
      <c r="BT181" s="327"/>
      <c r="BU181" s="327"/>
      <c r="BV181" s="327"/>
      <c r="BW181" s="331"/>
      <c r="BX181" s="302"/>
      <c r="BY181" s="302"/>
      <c r="BZ181" s="302"/>
      <c r="CA181" s="295"/>
      <c r="CB181" s="332"/>
      <c r="CC181" s="332"/>
      <c r="CD181" s="332"/>
      <c r="CE181" s="333"/>
      <c r="CF181" s="334" t="str">
        <f t="shared" si="23"/>
        <v/>
      </c>
    </row>
    <row r="182" spans="1:84" s="334" customFormat="1" ht="17" hidden="1">
      <c r="A182" s="373"/>
      <c r="B182" s="430"/>
      <c r="C182" s="307"/>
      <c r="D182" s="308"/>
      <c r="E182" s="309" cm="1">
        <f t="array" ref="E182">IFERROR(LOOKUP(2,1/('[1]Contracts Log'!$F:$F=$D182),'[1]Contracts Log'!$G:$G),"")</f>
        <v>0</v>
      </c>
      <c r="F182" s="309" cm="1">
        <f t="array" ref="F182">IFERROR(LOOKUP(2,1/('[1]Contracts Log'!$F:$F=$D182),'[1]Contracts Log'!$C:$C),"")</f>
        <v>0</v>
      </c>
      <c r="G182" s="309" cm="1">
        <f t="array" ref="G182">IFERROR(LOOKUP(2,1/('[1]Contracts Log'!$F:$F=$D182),'[1]Contracts Log'!$K:$K),"")</f>
        <v>0</v>
      </c>
      <c r="H182" s="309" cm="1">
        <f t="array" ref="H182">IFERROR(LOOKUP(2,1/('[1]Contracts Log'!$F:$F=$D182),'[1]Contracts Log'!$J:$J),"")</f>
        <v>0</v>
      </c>
      <c r="I182" s="310"/>
      <c r="J182" s="310"/>
      <c r="K182" s="310"/>
      <c r="L182" s="310"/>
      <c r="M182" s="310"/>
      <c r="N182" s="310"/>
      <c r="O182" s="206"/>
      <c r="P182" s="205"/>
      <c r="Q182" s="206"/>
      <c r="R182" s="205"/>
      <c r="S182" s="203"/>
      <c r="T182" s="205"/>
      <c r="U182" s="206"/>
      <c r="V182" s="335"/>
      <c r="W182" s="240"/>
      <c r="X182" s="203"/>
      <c r="Y182" s="203"/>
      <c r="Z182" s="335"/>
      <c r="AA182" s="240"/>
      <c r="AB182" s="240"/>
      <c r="AC182" s="240"/>
      <c r="AD182" s="335"/>
      <c r="AE182" s="240"/>
      <c r="AF182" s="315"/>
      <c r="AG182" s="315"/>
      <c r="AH182" s="315"/>
      <c r="AI182" s="315"/>
      <c r="AJ182" s="363"/>
      <c r="AK182" s="311"/>
      <c r="AL182" s="315"/>
      <c r="AM182" s="315"/>
      <c r="AN182" s="365"/>
      <c r="AO182" s="311"/>
      <c r="AP182" s="314"/>
      <c r="AQ182" s="366"/>
      <c r="AR182" s="314"/>
      <c r="AS182" s="311"/>
      <c r="AT182" s="340"/>
      <c r="AU182" s="341"/>
      <c r="AV182" s="314"/>
      <c r="AW182" s="311"/>
      <c r="AX182" s="341"/>
      <c r="AY182" s="314"/>
      <c r="AZ182" s="311"/>
      <c r="BA182" s="341"/>
      <c r="BB182" s="314"/>
      <c r="BC182" s="364"/>
      <c r="BD182" s="299"/>
      <c r="BE182" s="299"/>
      <c r="BF182" s="323" t="str">
        <f t="shared" si="22"/>
        <v/>
      </c>
      <c r="BG182" s="324" t="str">
        <f t="shared" ca="1" si="19"/>
        <v/>
      </c>
      <c r="BH182" s="299"/>
      <c r="BI182" s="325">
        <f t="shared" ca="1" si="20"/>
        <v>0</v>
      </c>
      <c r="BJ182" s="299"/>
      <c r="BK182" s="325">
        <f t="shared" ca="1" si="21"/>
        <v>0</v>
      </c>
      <c r="BL182" s="299"/>
      <c r="BM182" s="326"/>
      <c r="BN182" s="408"/>
      <c r="BO182" s="327"/>
      <c r="BP182" s="327"/>
      <c r="BQ182" s="328"/>
      <c r="BR182" s="326"/>
      <c r="BS182" s="331"/>
      <c r="BT182" s="327"/>
      <c r="BU182" s="327"/>
      <c r="BV182" s="327"/>
      <c r="BW182" s="331"/>
      <c r="BX182" s="302"/>
      <c r="BY182" s="302"/>
      <c r="BZ182" s="302"/>
      <c r="CA182" s="295"/>
      <c r="CB182" s="332"/>
      <c r="CC182" s="332"/>
      <c r="CD182" s="332"/>
      <c r="CE182" s="333"/>
      <c r="CF182" s="334" t="str">
        <f t="shared" si="23"/>
        <v/>
      </c>
    </row>
    <row r="183" spans="1:84" s="334" customFormat="1" ht="17" hidden="1">
      <c r="A183" s="373"/>
      <c r="B183" s="430"/>
      <c r="C183" s="307"/>
      <c r="D183" s="308"/>
      <c r="E183" s="309" cm="1">
        <f t="array" ref="E183">IFERROR(LOOKUP(2,1/('[1]Contracts Log'!$F:$F=$D183),'[1]Contracts Log'!$G:$G),"")</f>
        <v>0</v>
      </c>
      <c r="F183" s="309" cm="1">
        <f t="array" ref="F183">IFERROR(LOOKUP(2,1/('[1]Contracts Log'!$F:$F=$D183),'[1]Contracts Log'!$C:$C),"")</f>
        <v>0</v>
      </c>
      <c r="G183" s="309" cm="1">
        <f t="array" ref="G183">IFERROR(LOOKUP(2,1/('[1]Contracts Log'!$F:$F=$D183),'[1]Contracts Log'!$K:$K),"")</f>
        <v>0</v>
      </c>
      <c r="H183" s="309" cm="1">
        <f t="array" ref="H183">IFERROR(LOOKUP(2,1/('[1]Contracts Log'!$F:$F=$D183),'[1]Contracts Log'!$J:$J),"")</f>
        <v>0</v>
      </c>
      <c r="I183" s="310"/>
      <c r="J183" s="310"/>
      <c r="K183" s="310"/>
      <c r="L183" s="310"/>
      <c r="M183" s="310"/>
      <c r="N183" s="310"/>
      <c r="O183" s="206"/>
      <c r="P183" s="205"/>
      <c r="Q183" s="206"/>
      <c r="R183" s="205"/>
      <c r="S183" s="203"/>
      <c r="T183" s="205"/>
      <c r="U183" s="206"/>
      <c r="V183" s="335"/>
      <c r="W183" s="240"/>
      <c r="X183" s="203"/>
      <c r="Y183" s="203"/>
      <c r="Z183" s="335"/>
      <c r="AA183" s="240"/>
      <c r="AB183" s="240"/>
      <c r="AC183" s="240"/>
      <c r="AD183" s="335"/>
      <c r="AE183" s="240"/>
      <c r="AF183" s="315"/>
      <c r="AG183" s="315"/>
      <c r="AH183" s="315"/>
      <c r="AI183" s="315"/>
      <c r="AJ183" s="363"/>
      <c r="AK183" s="311"/>
      <c r="AL183" s="315"/>
      <c r="AM183" s="315"/>
      <c r="AN183" s="365"/>
      <c r="AO183" s="311"/>
      <c r="AP183" s="314"/>
      <c r="AQ183" s="366"/>
      <c r="AR183" s="314"/>
      <c r="AS183" s="311"/>
      <c r="AT183" s="340"/>
      <c r="AU183" s="341"/>
      <c r="AV183" s="314"/>
      <c r="AW183" s="311"/>
      <c r="AX183" s="341"/>
      <c r="AY183" s="314"/>
      <c r="AZ183" s="311"/>
      <c r="BA183" s="341"/>
      <c r="BB183" s="314"/>
      <c r="BC183" s="364"/>
      <c r="BD183" s="299"/>
      <c r="BE183" s="299"/>
      <c r="BF183" s="323" t="str">
        <f t="shared" si="22"/>
        <v/>
      </c>
      <c r="BG183" s="324" t="str">
        <f t="shared" ca="1" si="19"/>
        <v/>
      </c>
      <c r="BH183" s="299"/>
      <c r="BI183" s="325">
        <f t="shared" ca="1" si="20"/>
        <v>0</v>
      </c>
      <c r="BJ183" s="299"/>
      <c r="BK183" s="325">
        <f t="shared" ca="1" si="21"/>
        <v>0</v>
      </c>
      <c r="BL183" s="299"/>
      <c r="BM183" s="326"/>
      <c r="BN183" s="408"/>
      <c r="BO183" s="327"/>
      <c r="BP183" s="327"/>
      <c r="BQ183" s="328"/>
      <c r="BR183" s="326"/>
      <c r="BS183" s="331"/>
      <c r="BT183" s="327"/>
      <c r="BU183" s="327"/>
      <c r="BV183" s="327"/>
      <c r="BW183" s="331"/>
      <c r="BX183" s="302"/>
      <c r="BY183" s="302"/>
      <c r="BZ183" s="302"/>
      <c r="CA183" s="295"/>
      <c r="CB183" s="332"/>
      <c r="CC183" s="332"/>
      <c r="CD183" s="332"/>
      <c r="CE183" s="333"/>
      <c r="CF183" s="334" t="str">
        <f t="shared" si="23"/>
        <v/>
      </c>
    </row>
  </sheetData>
  <protectedRanges>
    <protectedRange sqref="AR184:AR1048576 AR1:AR10" name="Range2_1_1_2"/>
    <protectedRange sqref="BM11:BM18 BM20:BM26 BM31:BM107" name="Range2_1_1_1_1"/>
    <protectedRange sqref="BQ11:BR11" name="Range3_1_1_1"/>
    <protectedRange sqref="AD12" name="Range2_3_1_1"/>
    <protectedRange sqref="CD15:CD26 CD31:CD107" name="Range3_3_2_2_1_1"/>
    <protectedRange sqref="BQ15:BQ16 BQ24 BQ26 BQ31:BQ33 BQ36:BQ47 BQ106:BQ117 BQ95:BQ104 BQ50:BQ60 BQ62:BQ66 BQ68:BQ74 BQ76 BQ78:BQ83 BQ119:BQ183" name="Range3_3_2_1_2_1"/>
    <protectedRange sqref="BM19" name="Range2_1_1_1"/>
    <protectedRange sqref="BQ19 BQ23" name="Range3_3_2_1_2_1_2"/>
    <protectedRange sqref="BQ20 BQ25" name="Range3_3_2_1_2_1_1"/>
    <protectedRange sqref="BQ17:BQ18" name="Range3_3_2_1_2_1_3"/>
    <protectedRange sqref="BQ21:BQ22" name="Range3_3_2_1_2_1_4_1"/>
    <protectedRange sqref="BM27:BM30" name="Range2_1_1_1_1_1"/>
    <protectedRange sqref="CD27:CD30" name="Range3_3_2_2_1_1_1"/>
    <protectedRange sqref="BQ48:BQ49 BQ27:BQ30" name="Range3_3_2_1_2_1_4"/>
    <protectedRange sqref="BQ34:BQ35" name="Range3_3_2_1_2_1_5"/>
    <protectedRange sqref="BN11:BN14" name="Range2_1_1_1_2"/>
    <protectedRange sqref="BN22 BN24:BN32 BN34:BN39 BN41:BN48" name="Range2_1_1_1_1_1_1"/>
    <protectedRange sqref="BN15" name="Range2_1_1_1_1_2"/>
    <protectedRange sqref="BN16:BN20" name="Range2_1_1_1_2_1"/>
    <protectedRange sqref="BN21" name="Range2_1_1_1_3"/>
    <protectedRange sqref="BN23 BN33 BN40 BN49 BN52 BN54:BN56 BN62:BN63 BN66 BN77 BN84:BN103 BN118" name="Range2_1_1_1_1_1_1_4"/>
    <protectedRange sqref="BQ77 BQ84:BQ94 BQ105 BQ118" name="Range3_3_2_1_2_1_8_1"/>
    <protectedRange sqref="AB12" name="Range2_2"/>
    <protectedRange sqref="BQ61" name="Range3_3_2_1_2_1_6"/>
    <protectedRange sqref="BQ67" name="Range3_3_2_1_2_1_7"/>
    <protectedRange sqref="BQ75" name="Range3_3_2_1_2_1_8"/>
  </protectedRanges>
  <autoFilter ref="A14:CE183" xr:uid="{35BF11DB-7399-4B64-AD81-72451CC1D139}">
    <filterColumn colId="7">
      <filters>
        <filter val="Nova Composite Industrial Company"/>
      </filters>
    </filterColumn>
  </autoFilter>
  <mergeCells count="32">
    <mergeCell ref="L12:L13"/>
    <mergeCell ref="A12:A13"/>
    <mergeCell ref="B12:B13"/>
    <mergeCell ref="C12:C13"/>
    <mergeCell ref="D12:D13"/>
    <mergeCell ref="E12:E13"/>
    <mergeCell ref="F12:F13"/>
    <mergeCell ref="G12:G13"/>
    <mergeCell ref="H12:H13"/>
    <mergeCell ref="I12:I13"/>
    <mergeCell ref="J12:J13"/>
    <mergeCell ref="K12:K13"/>
    <mergeCell ref="BU12:BU13"/>
    <mergeCell ref="M12:M13"/>
    <mergeCell ref="N12:N13"/>
    <mergeCell ref="P12:Q12"/>
    <mergeCell ref="T12:U12"/>
    <mergeCell ref="V12:W12"/>
    <mergeCell ref="BN12:BN13"/>
    <mergeCell ref="BO12:BO13"/>
    <mergeCell ref="BP12:BP13"/>
    <mergeCell ref="BQ12:BQ13"/>
    <mergeCell ref="BR12:BR13"/>
    <mergeCell ref="BT12:BT13"/>
    <mergeCell ref="CD12:CD13"/>
    <mergeCell ref="CE12:CE13"/>
    <mergeCell ref="BV12:BV13"/>
    <mergeCell ref="BX12:BX13"/>
    <mergeCell ref="BY12:BY13"/>
    <mergeCell ref="BZ12:BZ13"/>
    <mergeCell ref="CB12:CB13"/>
    <mergeCell ref="CC12:CC13"/>
  </mergeCells>
  <conditionalFormatting sqref="I122 I120:J121">
    <cfRule type="iconSet" priority="55">
      <iconSet iconSet="3Symbols2" showValue="0">
        <cfvo type="percent" val="0"/>
        <cfvo type="percent" val="0"/>
        <cfvo type="percent" val="1"/>
      </iconSet>
    </cfRule>
  </conditionalFormatting>
  <conditionalFormatting sqref="I17:J18">
    <cfRule type="iconSet" priority="73">
      <iconSet iconSet="3Symbols2" showValue="0">
        <cfvo type="percent" val="0"/>
        <cfvo type="percent" val="0"/>
        <cfvo type="percent" val="1"/>
      </iconSet>
    </cfRule>
  </conditionalFormatting>
  <conditionalFormatting sqref="I19:J19">
    <cfRule type="iconSet" priority="72">
      <iconSet iconSet="3Symbols2" showValue="0">
        <cfvo type="percent" val="0"/>
        <cfvo type="percent" val="0"/>
        <cfvo type="percent" val="1"/>
      </iconSet>
    </cfRule>
  </conditionalFormatting>
  <conditionalFormatting sqref="I20:J107">
    <cfRule type="iconSet" priority="80">
      <iconSet iconSet="3Symbols2" showValue="0">
        <cfvo type="percent" val="0"/>
        <cfvo type="percent" val="0"/>
        <cfvo type="percent" val="1"/>
      </iconSet>
    </cfRule>
  </conditionalFormatting>
  <conditionalFormatting sqref="I108:J119 I125:J125">
    <cfRule type="iconSet" priority="58">
      <iconSet iconSet="3Symbols2" showValue="0">
        <cfvo type="percent" val="0"/>
        <cfvo type="percent" val="0"/>
        <cfvo type="percent" val="1"/>
      </iconSet>
    </cfRule>
  </conditionalFormatting>
  <conditionalFormatting sqref="I120:J122">
    <cfRule type="iconSet" priority="56">
      <iconSet iconSet="3Symbols2" showValue="0">
        <cfvo type="percent" val="0"/>
        <cfvo type="percent" val="0"/>
        <cfvo type="percent" val="1"/>
      </iconSet>
    </cfRule>
  </conditionalFormatting>
  <conditionalFormatting sqref="I123:J123">
    <cfRule type="iconSet" priority="54">
      <iconSet iconSet="3Symbols2" showValue="0">
        <cfvo type="percent" val="0"/>
        <cfvo type="percent" val="0"/>
        <cfvo type="percent" val="1"/>
      </iconSet>
    </cfRule>
    <cfRule type="iconSet" priority="53">
      <iconSet iconSet="3Symbols2" showValue="0">
        <cfvo type="percent" val="0"/>
        <cfvo type="percent" val="0"/>
        <cfvo type="percent" val="1"/>
      </iconSet>
    </cfRule>
  </conditionalFormatting>
  <conditionalFormatting sqref="I124:J124">
    <cfRule type="iconSet" priority="52">
      <iconSet iconSet="3Symbols2" showValue="0">
        <cfvo type="percent" val="0"/>
        <cfvo type="percent" val="0"/>
        <cfvo type="percent" val="1"/>
      </iconSet>
    </cfRule>
    <cfRule type="iconSet" priority="51">
      <iconSet iconSet="3Symbols2" showValue="0">
        <cfvo type="percent" val="0"/>
        <cfvo type="percent" val="0"/>
        <cfvo type="percent" val="1"/>
      </iconSet>
    </cfRule>
  </conditionalFormatting>
  <conditionalFormatting sqref="I126:J183">
    <cfRule type="iconSet" priority="82">
      <iconSet iconSet="3Symbols2" showValue="0">
        <cfvo type="percent" val="0"/>
        <cfvo type="percent" val="0"/>
        <cfvo type="percent" val="1"/>
      </iconSet>
    </cfRule>
  </conditionalFormatting>
  <conditionalFormatting sqref="I15:N107">
    <cfRule type="iconSet" priority="81">
      <iconSet iconSet="3Symbols2" showValue="0">
        <cfvo type="percent" val="0"/>
        <cfvo type="percent" val="0"/>
        <cfvo type="percent" val="1"/>
      </iconSet>
    </cfRule>
  </conditionalFormatting>
  <conditionalFormatting sqref="I108:N119 I125:N125 K120:N124">
    <cfRule type="iconSet" priority="59">
      <iconSet iconSet="3Symbols2" showValue="0">
        <cfvo type="percent" val="0"/>
        <cfvo type="percent" val="0"/>
        <cfvo type="percent" val="1"/>
      </iconSet>
    </cfRule>
  </conditionalFormatting>
  <conditionalFormatting sqref="I126:N183">
    <cfRule type="iconSet" priority="83">
      <iconSet iconSet="3Symbols2" showValue="0">
        <cfvo type="percent" val="0"/>
        <cfvo type="percent" val="0"/>
        <cfvo type="percent" val="1"/>
      </iconSet>
    </cfRule>
  </conditionalFormatting>
  <conditionalFormatting sqref="BG15:BG997">
    <cfRule type="cellIs" priority="29" stopIfTrue="1" operator="equal">
      <formula>"N/A"</formula>
    </cfRule>
    <cfRule type="expression" dxfId="65" priority="41">
      <formula>AND($B15="COST EAR",$BG15&gt;140)</formula>
    </cfRule>
    <cfRule type="expression" dxfId="64" priority="40">
      <formula>AND($B15="COST EAR",$BG15&gt;=91,$BG15&lt;=140)</formula>
    </cfRule>
    <cfRule type="expression" dxfId="63" priority="39">
      <formula>AND($B15="COST EAR",$BG15&gt;=46,$BG15&lt;=90)</formula>
    </cfRule>
    <cfRule type="expression" dxfId="62" priority="38">
      <formula>AND($B15="COST EAR",$BG15&gt;=1,$BG15&lt;=45)</formula>
    </cfRule>
    <cfRule type="expression" dxfId="61" priority="37">
      <formula>AND($B15="HLEAR",$BG15&gt;=20)</formula>
    </cfRule>
    <cfRule type="expression" dxfId="60" priority="36">
      <formula>AND($B15="HLEAR",$BG15&gt;=15,$BG15&lt;=20)</formula>
    </cfRule>
    <cfRule type="expression" dxfId="59" priority="35">
      <formula>AND($B15="HLEAR",$BG15&gt;=8,$BG15&lt;=14)</formula>
    </cfRule>
    <cfRule type="expression" dxfId="58" priority="34">
      <formula>AND($B15="HLEAR",$BG15&gt;=1,$BC15&lt;=7)</formula>
    </cfRule>
    <cfRule type="expression" dxfId="57" priority="33">
      <formula>AND($B15="FULL TIA EAR",$BG15&gt;70)</formula>
    </cfRule>
    <cfRule type="expression" dxfId="56" priority="32">
      <formula>AND($B15="FULL TIA EAR",$BG15&gt;=51,$BG15&lt;=70)</formula>
    </cfRule>
    <cfRule type="expression" dxfId="55" priority="31">
      <formula>AND($B15="FULL TIA EAR",$BG15&gt;=26,$BG15&lt;=50)</formula>
    </cfRule>
    <cfRule type="expression" dxfId="54" priority="30">
      <formula>AND(B15="FULL TIA EAR",BG15&gt;=1,BG15&lt;=25)</formula>
    </cfRule>
    <cfRule type="cellIs" priority="28" stopIfTrue="1" operator="lessThan">
      <formula>1</formula>
    </cfRule>
  </conditionalFormatting>
  <conditionalFormatting sqref="BI15:BI997">
    <cfRule type="cellIs" priority="42" stopIfTrue="1" operator="lessThan">
      <formula>1</formula>
    </cfRule>
    <cfRule type="expression" dxfId="53" priority="50">
      <formula>AND($B15="HLEAR",$BI15&gt;30)</formula>
    </cfRule>
    <cfRule type="expression" dxfId="52" priority="43">
      <formula>AND($B15="FULL TIA EAR",BI15&gt;=1,BI15&lt;=7)</formula>
    </cfRule>
    <cfRule type="expression" dxfId="51" priority="44">
      <formula>AND($B15="FULL TIA EAR",$BI15&gt;=8,$BI15&lt;=14)</formula>
    </cfRule>
    <cfRule type="expression" dxfId="50" priority="45">
      <formula>AND($B15="FULL TIA EAR",$BI15&gt;=15,$BI15&lt;=21)</formula>
    </cfRule>
    <cfRule type="expression" dxfId="49" priority="46">
      <formula>AND($B15="FULL TIA EAR",$BI15&gt;21)</formula>
    </cfRule>
    <cfRule type="expression" dxfId="48" priority="47">
      <formula>AND($B15="HLEAR",$BI15&gt;=1,$BI15&lt;=10)</formula>
    </cfRule>
    <cfRule type="expression" dxfId="47" priority="48">
      <formula>AND($B15="HLEAR",$BI15&gt;=11,$BI15&lt;=20)</formula>
    </cfRule>
    <cfRule type="expression" dxfId="46" priority="49">
      <formula>AND($B15="HLEAR",$BI15&gt;=21,$BI15&lt;=30)</formula>
    </cfRule>
  </conditionalFormatting>
  <conditionalFormatting sqref="BK15:BK183">
    <cfRule type="expression" dxfId="45" priority="26">
      <formula>AND($B15="COST EAR",$BK15&gt;=7,$BK15&lt;=10)</formula>
    </cfRule>
    <cfRule type="expression" dxfId="44" priority="25">
      <formula>AND($B15="COST EAR",$BK15&gt;=4,$BK15&lt;=6)</formula>
    </cfRule>
    <cfRule type="expression" dxfId="43" priority="24">
      <formula>AND($B15="COST EAR",$BK15&gt;=1,$BK15&lt;=3)</formula>
    </cfRule>
    <cfRule type="expression" dxfId="42" priority="23">
      <formula>AND($B15="HLEAR",$BK15&gt;=10)</formula>
    </cfRule>
    <cfRule type="expression" dxfId="41" priority="22">
      <formula>AND($B15="HLEAR",$BK15&gt;=7,$BK15&lt;=10)</formula>
    </cfRule>
    <cfRule type="expression" dxfId="40" priority="21">
      <formula>AND($B15="HLEAR",$BK15&gt;=4,$BK15&lt;=6)</formula>
    </cfRule>
    <cfRule type="expression" dxfId="39" priority="20">
      <formula>AND($B15="HLEAR",$BK15&gt;=1,$BK15&lt;=3)</formula>
    </cfRule>
    <cfRule type="expression" dxfId="38" priority="19">
      <formula>AND($B15="FULL TIA EAR",$BK15&gt;10)</formula>
    </cfRule>
    <cfRule type="expression" dxfId="37" priority="18">
      <formula>AND($B15="FULL TIA EAR",$BK15&gt;=7,$BK15&lt;=10)</formula>
    </cfRule>
    <cfRule type="expression" dxfId="36" priority="17">
      <formula>AND($B15="FULL TIA EAR",$BK15&gt;=4,$BK15&lt;=6)</formula>
    </cfRule>
    <cfRule type="expression" dxfId="35" priority="16">
      <formula>AND($B15="FULL TIA EAR",BK15&gt;=1,BK15&lt;=3)</formula>
    </cfRule>
    <cfRule type="expression" dxfId="34" priority="27">
      <formula>AND($B15="COST EAR",$BK15&gt;10)</formula>
    </cfRule>
  </conditionalFormatting>
  <conditionalFormatting sqref="BP15:BP183">
    <cfRule type="cellIs" dxfId="33" priority="57" operator="equal">
      <formula>"For Presentation to Management"</formula>
    </cfRule>
  </conditionalFormatting>
  <conditionalFormatting sqref="BP15:BQ183">
    <cfRule type="cellIs" dxfId="32" priority="10" operator="equal">
      <formula>"Planning Team"</formula>
    </cfRule>
  </conditionalFormatting>
  <conditionalFormatting sqref="BQ15:BQ183">
    <cfRule type="cellIs" dxfId="31" priority="14" operator="equal">
      <formula>"DVO in WF"</formula>
    </cfRule>
    <cfRule type="cellIs" dxfId="30" priority="13" operator="equal">
      <formula>"VO in WF"</formula>
    </cfRule>
    <cfRule type="cellIs" dxfId="29" priority="12" operator="equal">
      <formula>"EI in WF"</formula>
    </cfRule>
    <cfRule type="cellIs" dxfId="28" priority="11" operator="equal">
      <formula>"Assessment in WF"</formula>
    </cfRule>
    <cfRule type="cellIs" dxfId="27" priority="9" operator="equal">
      <formula>"Commercial and Planning"</formula>
    </cfRule>
    <cfRule type="cellIs" dxfId="26" priority="15" operator="equal">
      <formula>"Legal Team"</formula>
    </cfRule>
    <cfRule type="cellIs" dxfId="25" priority="8" operator="equal">
      <formula>"Awaiting conclusion of EoT"</formula>
    </cfRule>
    <cfRule type="cellIs" dxfId="24" priority="7" operator="equal">
      <formula>"Commercial and Planning"</formula>
    </cfRule>
  </conditionalFormatting>
  <conditionalFormatting sqref="BT15:BV183 CB31:CD183">
    <cfRule type="cellIs" dxfId="23" priority="1" operator="equal">
      <formula>"Closed"</formula>
    </cfRule>
    <cfRule type="cellIs" dxfId="22" priority="6" operator="equal">
      <formula>"Contractor"</formula>
    </cfRule>
    <cfRule type="cellIs" dxfId="21" priority="5" operator="equal">
      <formula>"Commercial Team"</formula>
    </cfRule>
    <cfRule type="cellIs" dxfId="20" priority="4" operator="equal">
      <formula>"Planning Team"</formula>
    </cfRule>
    <cfRule type="cellIs" dxfId="19" priority="3" operator="equal">
      <formula>"Claims Team"</formula>
    </cfRule>
    <cfRule type="cellIs" dxfId="18" priority="2" operator="equal">
      <formula>"For Presentation to Management"</formula>
    </cfRule>
  </conditionalFormatting>
  <conditionalFormatting sqref="CB17:CC30">
    <cfRule type="cellIs" dxfId="17" priority="61" operator="equal">
      <formula>"For Presentation to Management"</formula>
    </cfRule>
    <cfRule type="cellIs" dxfId="16" priority="62" operator="equal">
      <formula>"Claims Team"</formula>
    </cfRule>
    <cfRule type="cellIs" dxfId="15" priority="63" operator="equal">
      <formula>"Planning Team"</formula>
    </cfRule>
    <cfRule type="cellIs" dxfId="14" priority="64" operator="equal">
      <formula>"Commercial Team"</formula>
    </cfRule>
    <cfRule type="cellIs" dxfId="13" priority="65" operator="equal">
      <formula>"Contractor"</formula>
    </cfRule>
    <cfRule type="cellIs" dxfId="12" priority="60" operator="equal">
      <formula>"Closed"</formula>
    </cfRule>
  </conditionalFormatting>
  <conditionalFormatting sqref="CB15:CD18">
    <cfRule type="cellIs" dxfId="11" priority="74" operator="equal">
      <formula>"Closed"</formula>
    </cfRule>
    <cfRule type="cellIs" dxfId="10" priority="75" operator="equal">
      <formula>"For Presentation to Management"</formula>
    </cfRule>
    <cfRule type="cellIs" dxfId="9" priority="76" operator="equal">
      <formula>"Claims Team"</formula>
    </cfRule>
    <cfRule type="cellIs" dxfId="8" priority="77" operator="equal">
      <formula>"Planning Team"</formula>
    </cfRule>
    <cfRule type="cellIs" dxfId="7" priority="78" operator="equal">
      <formula>"Commercial Team"</formula>
    </cfRule>
    <cfRule type="cellIs" dxfId="6" priority="79" operator="equal">
      <formula>"Contractor"</formula>
    </cfRule>
  </conditionalFormatting>
  <conditionalFormatting sqref="CD19:CD30">
    <cfRule type="cellIs" dxfId="5" priority="66" operator="equal">
      <formula>"Closed"</formula>
    </cfRule>
    <cfRule type="cellIs" dxfId="4" priority="68" operator="equal">
      <formula>"Claims Team"</formula>
    </cfRule>
    <cfRule type="cellIs" dxfId="3" priority="69" operator="equal">
      <formula>"Planning Team"</formula>
    </cfRule>
    <cfRule type="cellIs" dxfId="2" priority="70" operator="equal">
      <formula>"Commercial Team"</formula>
    </cfRule>
    <cfRule type="cellIs" dxfId="1" priority="71" operator="equal">
      <formula>"Contractor"</formula>
    </cfRule>
    <cfRule type="cellIs" dxfId="0" priority="67" operator="equal">
      <formula>"For Presentation to Management"</formula>
    </cfRule>
  </conditionalFormatting>
  <dataValidations disablePrompts="1" count="2">
    <dataValidation type="list" allowBlank="1" showInputMessage="1" showErrorMessage="1" sqref="BT111:BT112 BT116:BT117 BT120 BT15:BT109 BT123 BT125:BT183" xr:uid="{782E0564-E1EF-4097-A75F-64C10A31A067}">
      <formula1>"Merit,Revise &amp; resubmit"</formula1>
    </dataValidation>
    <dataValidation type="list" allowBlank="1" showInputMessage="1" showErrorMessage="1" sqref="BU15:BV107" xr:uid="{252ED05F-1174-489B-999E-7022B2E1E4D2}">
      <formula1>"Yes,No"</formula1>
    </dataValidation>
  </dataValidations>
  <pageMargins left="0.7" right="0.7" top="0.75" bottom="0.75" header="0.3" footer="0.3"/>
  <pageSetup paperSize="8" scale="1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9528c21-00ee-45a7-9fc9-b9f112d7673e" origin="userSelected"/>
</file>

<file path=customXml/itemProps1.xml><?xml version="1.0" encoding="utf-8"?>
<ds:datastoreItem xmlns:ds="http://schemas.openxmlformats.org/officeDocument/2006/customXml" ds:itemID="{F29B5840-FCC9-4D9C-B058-C8DFFACA0ED1}">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444d106c-bc4a-4aaf-9c85-148f3eb893b9}" enabled="0" method="" siteId="{444d106c-bc4a-4aaf-9c85-148f3eb893b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Required actions</vt:lpstr>
      <vt:lpstr>Summary</vt:lpstr>
      <vt:lpstr>Program_01</vt:lpstr>
      <vt:lpstr>Program_01!Print_Area</vt:lpstr>
      <vt:lpstr>Summary!Print_Titles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Merroon Corera</dc:creator>
  <cp:keywords/>
  <dc:description/>
  <cp:lastModifiedBy>Nikesh Chintawar</cp:lastModifiedBy>
  <cp:revision/>
  <dcterms:created xsi:type="dcterms:W3CDTF">2026-10-03T06:19:55Z</dcterms:created>
  <dcterms:modified xsi:type="dcterms:W3CDTF">2026-10-05T07:41:48Z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12a1b3b9-bae2-404f-b2bf-87add01c2b9a</vt:lpwstr>
  </property>
  <property fmtid="{D5CDD505-2E9C-101B-9397-08002B2CF9AE}" pid="3" name="bjDocumentSecurityLabel">
    <vt:lpwstr>This item has no classification</vt:lpwstr>
  </property>
  <property fmtid="{D5CDD505-2E9C-101B-9397-08002B2CF9AE}" pid="4" name="bjSaver">
    <vt:lpwstr>LcmUe2Yi9PjPkdVqqtxKr6kWYOrnGHW3</vt:lpwstr>
  </property>
  <property fmtid="{D5CDD505-2E9C-101B-9397-08002B2CF9AE}" pid="5" name="bjClsUserRVM">
    <vt:lpwstr>[]</vt:lpwstr>
  </property>
</Properties>
</file>